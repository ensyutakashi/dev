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syu\Documents\Speculation\TDnet\TDnet適時情報開示サービス\Quants\rakuten\"/>
    </mc:Choice>
  </mc:AlternateContent>
  <xr:revisionPtr revIDLastSave="0" documentId="13_ncr:1_{D6CC572A-7EE2-414B-AA48-0379E63E839F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1" l="1" a="1"/>
  <c r="A3" i="1" a="1"/>
  <c r="A186" i="1" a="1"/>
  <c r="L211" i="1" a="1"/>
  <c r="S206" i="1" a="1"/>
  <c r="Z214" i="1" a="1"/>
  <c r="F210" i="1" a="1"/>
  <c r="M205" i="1" a="1"/>
  <c r="J211" i="1" a="1"/>
  <c r="W203" i="1" a="1"/>
  <c r="Q196" i="1" a="1"/>
  <c r="P196" i="1" a="1"/>
  <c r="X210" i="1" a="1"/>
  <c r="J203" i="1" a="1"/>
  <c r="O196" i="1" a="1"/>
  <c r="B200" i="1" a="1"/>
  <c r="G211" i="1" a="1"/>
  <c r="H203" i="1" a="1"/>
  <c r="M196" i="1" a="1"/>
  <c r="AA205" i="1" a="1"/>
  <c r="W190" i="1" a="1"/>
  <c r="Y207" i="1" a="1"/>
  <c r="J202" i="1" a="1"/>
  <c r="N212" i="1" a="1"/>
  <c r="B211" i="1" a="1"/>
  <c r="S202" i="1" a="1"/>
  <c r="K204" i="1" a="1"/>
  <c r="AA188" i="1" a="1"/>
  <c r="X179" i="1" a="1"/>
  <c r="Y211" i="1" a="1"/>
  <c r="B190" i="1" a="1"/>
  <c r="O180" i="1" a="1"/>
  <c r="J204" i="1" a="1"/>
  <c r="Z192" i="1" a="1"/>
  <c r="I182" i="1" a="1"/>
  <c r="D209" i="1" a="1"/>
  <c r="Q189" i="1" a="1"/>
  <c r="L214" i="1" a="1"/>
  <c r="Y190" i="1" a="1"/>
  <c r="F181" i="1" a="1"/>
  <c r="Y193" i="1" a="1"/>
  <c r="A184" i="1" a="1"/>
  <c r="A210" i="1" a="1"/>
  <c r="X193" i="1" a="1"/>
  <c r="H183" i="1" a="1"/>
  <c r="G193" i="1" a="1"/>
  <c r="P213" i="1" a="1"/>
  <c r="W194" i="1" a="1"/>
  <c r="AA182" i="1" a="1"/>
  <c r="V171" i="1" a="1"/>
  <c r="S181" i="1" a="1"/>
  <c r="G168" i="1" a="1"/>
  <c r="I159" i="1" a="1"/>
  <c r="C191" i="1" a="1"/>
  <c r="J176" i="1" a="1"/>
  <c r="AA164" i="1" a="1"/>
  <c r="N155" i="1" a="1"/>
  <c r="E193" i="1" a="1"/>
  <c r="J175" i="1" a="1"/>
  <c r="H165" i="1" a="1"/>
  <c r="V155" i="1" a="1"/>
  <c r="C187" i="1" a="1"/>
  <c r="J174" i="1" a="1"/>
  <c r="E167" i="1" a="1"/>
  <c r="H206" i="1" a="1"/>
  <c r="G180" i="1" a="1"/>
  <c r="AA202" i="1" a="1"/>
  <c r="P200" i="1" a="1"/>
  <c r="F198" i="1" a="1"/>
  <c r="C179" i="1" a="1"/>
  <c r="W164" i="1" a="1"/>
  <c r="J155" i="1" a="1"/>
  <c r="Y183" i="1" a="1"/>
  <c r="Q184" i="1" a="1"/>
  <c r="O197" i="1" a="1"/>
  <c r="H192" i="1" a="1"/>
  <c r="N176" i="1" a="1"/>
  <c r="R173" i="1" a="1"/>
  <c r="C159" i="1" a="1"/>
  <c r="T150" i="1" a="1"/>
  <c r="W170" i="1" a="1"/>
  <c r="R155" i="1" a="1"/>
  <c r="M143" i="1" a="1"/>
  <c r="T138" i="1" a="1"/>
  <c r="V167" i="1" a="1"/>
  <c r="B156" i="1" a="1"/>
  <c r="L172" i="1" a="1"/>
  <c r="Q155" i="1" a="1"/>
  <c r="T143" i="1" a="1"/>
  <c r="I168" i="1" a="1"/>
  <c r="J154" i="1" a="1"/>
  <c r="H174" i="1" a="1"/>
  <c r="D163" i="1" a="1"/>
  <c r="J149" i="1" a="1"/>
  <c r="Y141" i="1" a="1"/>
  <c r="S167" i="1" a="1"/>
  <c r="Y152" i="1" a="1"/>
  <c r="Y144" i="1" a="1"/>
  <c r="X164" i="1" a="1"/>
  <c r="E173" i="1" a="1"/>
  <c r="U159" i="1" a="1"/>
  <c r="C188" i="1" a="1"/>
  <c r="K164" i="1" a="1"/>
  <c r="L146" i="1" a="1"/>
  <c r="J140" i="1" a="1"/>
  <c r="F169" i="1" a="1"/>
  <c r="G178" i="1" a="1"/>
  <c r="D160" i="1" a="1"/>
  <c r="AA170" i="1" a="1"/>
  <c r="W157" i="1" a="1"/>
  <c r="I146" i="1" a="1"/>
  <c r="M158" i="1" a="1"/>
  <c r="B139" i="1" a="1"/>
  <c r="Z133" i="1" a="1"/>
  <c r="F129" i="1" a="1"/>
  <c r="L145" i="1" a="1"/>
  <c r="W149" i="1" a="1"/>
  <c r="M137" i="1" a="1"/>
  <c r="AA161" i="1" a="1"/>
  <c r="W140" i="1" a="1"/>
  <c r="T149" i="1" a="1"/>
  <c r="T137" i="1" a="1"/>
  <c r="AA132" i="1" a="1"/>
  <c r="G128" i="1" a="1"/>
  <c r="E152" i="1" a="1"/>
  <c r="V172" i="1" a="1"/>
  <c r="S140" i="1" a="1"/>
  <c r="AA134" i="1" a="1"/>
  <c r="M141" i="1" a="1"/>
  <c r="A135" i="1" a="1"/>
  <c r="D211" i="1" a="1"/>
  <c r="K206" i="1" a="1"/>
  <c r="R214" i="1" a="1"/>
  <c r="Y209" i="1" a="1"/>
  <c r="E205" i="1" a="1"/>
  <c r="Y210" i="1" a="1"/>
  <c r="P202" i="1" a="1"/>
  <c r="E196" i="1" a="1"/>
  <c r="K195" i="1" a="1"/>
  <c r="J210" i="1" a="1"/>
  <c r="N202" i="1" a="1"/>
  <c r="D196" i="1" a="1"/>
  <c r="X198" i="1" a="1"/>
  <c r="U210" i="1" a="1"/>
  <c r="L202" i="1" a="1"/>
  <c r="C196" i="1" a="1"/>
  <c r="D204" i="1" a="1"/>
  <c r="D190" i="1" a="1"/>
  <c r="K207" i="1" a="1"/>
  <c r="O201" i="1" a="1"/>
  <c r="D210" i="1" a="1"/>
  <c r="Q210" i="1" a="1"/>
  <c r="X201" i="1" a="1"/>
  <c r="G203" i="1" a="1"/>
  <c r="Q188" i="1" a="1"/>
  <c r="O179" i="1" a="1"/>
  <c r="S205" i="1" a="1"/>
  <c r="I189" i="1" a="1"/>
  <c r="E179" i="1" a="1"/>
  <c r="F202" i="1" a="1"/>
  <c r="N192" i="1" a="1"/>
  <c r="Q181" i="1" a="1"/>
  <c r="V207" i="1" a="1"/>
  <c r="G189" i="1" a="1"/>
  <c r="L210" i="1" a="1"/>
  <c r="Z189" i="1" a="1"/>
  <c r="M180" i="1" a="1"/>
  <c r="I193" i="1" a="1"/>
  <c r="Y182" i="1" a="1"/>
  <c r="Q208" i="1" a="1"/>
  <c r="H193" i="1" a="1"/>
  <c r="O182" i="1" a="1"/>
  <c r="V192" i="1" a="1"/>
  <c r="K212" i="1" a="1"/>
  <c r="D214" i="1" a="1"/>
  <c r="J182" i="1" a="1"/>
  <c r="AA213" i="1" a="1"/>
  <c r="A181" i="1" a="1"/>
  <c r="Y167" i="1" a="1"/>
  <c r="S158" i="1" a="1"/>
  <c r="E190" i="1" a="1"/>
  <c r="K175" i="1" a="1"/>
  <c r="J164" i="1" a="1"/>
  <c r="X154" i="1" a="1"/>
  <c r="C192" i="1" a="1"/>
  <c r="X174" i="1" a="1"/>
  <c r="R164" i="1" a="1"/>
  <c r="E155" i="1" a="1"/>
  <c r="R185" i="1" a="1"/>
  <c r="Y173" i="1" a="1"/>
  <c r="W166" i="1" a="1"/>
  <c r="M203" i="1" a="1"/>
  <c r="T179" i="1" a="1"/>
  <c r="L198" i="1" a="1"/>
  <c r="G198" i="1" a="1"/>
  <c r="V194" i="1" a="1"/>
  <c r="D178" i="1" a="1"/>
  <c r="F164" i="1" a="1"/>
  <c r="T154" i="1" a="1"/>
  <c r="F183" i="1" a="1"/>
  <c r="H181" i="1" a="1"/>
  <c r="A196" i="1" a="1"/>
  <c r="I190" i="1" a="1"/>
  <c r="AA175" i="1" a="1"/>
  <c r="N172" i="1" a="1"/>
  <c r="Q158" i="1" a="1"/>
  <c r="C150" i="1" a="1"/>
  <c r="P169" i="1" a="1"/>
  <c r="B154" i="1" a="1"/>
  <c r="E143" i="1" a="1"/>
  <c r="S207" i="1" a="1"/>
  <c r="K166" i="1" a="1"/>
  <c r="G155" i="1" a="1"/>
  <c r="M171" i="1" a="1"/>
  <c r="U154" i="1" a="1"/>
  <c r="L143" i="1" a="1"/>
  <c r="U167" i="1" a="1"/>
  <c r="R153" i="1" a="1"/>
  <c r="H172" i="1" a="1"/>
  <c r="Q162" i="1" a="1"/>
  <c r="T148" i="1" a="1"/>
  <c r="Q141" i="1" a="1"/>
  <c r="T166" i="1" a="1"/>
  <c r="P152" i="1" a="1"/>
  <c r="H144" i="1" a="1"/>
  <c r="L164" i="1" a="1"/>
  <c r="F171" i="1" a="1"/>
  <c r="J159" i="1" a="1"/>
  <c r="M184" i="1" a="1"/>
  <c r="X163" i="1" a="1"/>
  <c r="V145" i="1" a="1"/>
  <c r="B140" i="1" a="1"/>
  <c r="S168" i="1" a="1"/>
  <c r="F177" i="1" a="1"/>
  <c r="S159" i="1" a="1"/>
  <c r="R169" i="1" a="1"/>
  <c r="L157" i="1" a="1"/>
  <c r="S145" i="1" a="1"/>
  <c r="D157" i="1" a="1"/>
  <c r="K138" i="1" a="1"/>
  <c r="R133" i="1" a="1"/>
  <c r="Y128" i="1" a="1"/>
  <c r="M142" i="1" a="1"/>
  <c r="F149" i="1" a="1"/>
  <c r="E137" i="1" a="1"/>
  <c r="B160" i="1" a="1"/>
  <c r="J139" i="1" a="1"/>
  <c r="C149" i="1" a="1"/>
  <c r="L137" i="1" a="1"/>
  <c r="S132" i="1" a="1"/>
  <c r="Z127" i="1" a="1"/>
  <c r="M151" i="1" a="1"/>
  <c r="C169" i="1" a="1"/>
  <c r="I140" i="1" a="1"/>
  <c r="R168" i="1" a="1"/>
  <c r="Z139" i="1" a="1"/>
  <c r="S214" i="1" a="1"/>
  <c r="Z209" i="1" a="1"/>
  <c r="F205" i="1" a="1"/>
  <c r="M213" i="1" a="1"/>
  <c r="T208" i="1" a="1"/>
  <c r="W214" i="1" a="1"/>
  <c r="AA208" i="1" a="1"/>
  <c r="Y200" i="1" a="1"/>
  <c r="H213" i="1" a="1"/>
  <c r="K192" i="1" a="1"/>
  <c r="N208" i="1" a="1"/>
  <c r="X200" i="1" a="1"/>
  <c r="T213" i="1" a="1"/>
  <c r="E194" i="1" a="1"/>
  <c r="X208" i="1" a="1"/>
  <c r="W200" i="1" a="1"/>
  <c r="O194" i="1" a="1"/>
  <c r="L200" i="1" a="1"/>
  <c r="C213" i="1" a="1"/>
  <c r="O205" i="1" a="1"/>
  <c r="V196" i="1" a="1"/>
  <c r="P203" i="1" a="1"/>
  <c r="S208" i="1" a="1"/>
  <c r="H200" i="1" a="1"/>
  <c r="M197" i="1" a="1"/>
  <c r="S185" i="1" a="1"/>
  <c r="W177" i="1" a="1"/>
  <c r="O199" i="1" a="1"/>
  <c r="N187" i="1" a="1"/>
  <c r="L174" i="1" a="1"/>
  <c r="Z197" i="1" a="1"/>
  <c r="H189" i="1" a="1"/>
  <c r="M179" i="1" a="1"/>
  <c r="D202" i="1" a="1"/>
  <c r="L187" i="1" a="1"/>
  <c r="K199" i="1" a="1"/>
  <c r="K187" i="1" a="1"/>
  <c r="B177" i="1" a="1"/>
  <c r="H190" i="1" a="1"/>
  <c r="C181" i="1" a="1"/>
  <c r="Q203" i="1" a="1"/>
  <c r="M189" i="1" a="1"/>
  <c r="X213" i="1" a="1"/>
  <c r="G190" i="1" a="1"/>
  <c r="F207" i="1" a="1"/>
  <c r="D199" i="1" a="1"/>
  <c r="Y177" i="1" a="1"/>
  <c r="A199" i="1" a="1"/>
  <c r="K176" i="1" a="1"/>
  <c r="Z165" i="1" a="1"/>
  <c r="M156" i="1" a="1"/>
  <c r="AA184" i="1" a="1"/>
  <c r="E172" i="1" a="1"/>
  <c r="D162" i="1" a="1"/>
  <c r="A153" i="1" a="1"/>
  <c r="T185" i="1" a="1"/>
  <c r="P172" i="1" a="1"/>
  <c r="L162" i="1" a="1"/>
  <c r="B210" i="1" a="1"/>
  <c r="E182" i="1" a="1"/>
  <c r="D172" i="1" a="1"/>
  <c r="I164" i="1" a="1"/>
  <c r="AA193" i="1" a="1"/>
  <c r="W174" i="1" a="1"/>
  <c r="V191" i="1" a="1"/>
  <c r="D189" i="1" a="1"/>
  <c r="I188" i="1" a="1"/>
  <c r="V173" i="1" a="1"/>
  <c r="S161" i="1" a="1"/>
  <c r="AA199" i="1" a="1"/>
  <c r="B180" i="1" a="1"/>
  <c r="P177" i="1" a="1"/>
  <c r="K190" i="1" a="1"/>
  <c r="K184" i="1" a="1"/>
  <c r="Q173" i="1" a="1"/>
  <c r="Q169" i="1" a="1"/>
  <c r="H155" i="1" a="1"/>
  <c r="X147" i="1" a="1"/>
  <c r="Y166" i="1" a="1"/>
  <c r="L149" i="1" a="1"/>
  <c r="AA141" i="1" a="1"/>
  <c r="C183" i="1" a="1"/>
  <c r="S162" i="1" a="1"/>
  <c r="W205" i="1" a="1"/>
  <c r="I167" i="1" a="1"/>
  <c r="A150" i="1" a="1"/>
  <c r="AA204" i="1" a="1"/>
  <c r="H161" i="1" a="1"/>
  <c r="H152" i="1" a="1"/>
  <c r="H168" i="1" a="1"/>
  <c r="R157" i="1" a="1"/>
  <c r="F146" i="1" a="1"/>
  <c r="U202" i="1" a="1"/>
  <c r="G161" i="1" a="1"/>
  <c r="G151" i="1" a="1"/>
  <c r="Z179" i="1" a="1"/>
  <c r="T160" i="1" a="1"/>
  <c r="D168" i="1" a="1"/>
  <c r="M155" i="1" a="1"/>
  <c r="D174" i="1" a="1"/>
  <c r="L158" i="1" a="1"/>
  <c r="Q143" i="1" a="1"/>
  <c r="U199" i="1" a="1"/>
  <c r="A162" i="1" a="1"/>
  <c r="B171" i="1" a="1"/>
  <c r="R156" i="1" a="1"/>
  <c r="M166" i="1" a="1"/>
  <c r="T155" i="1" a="1"/>
  <c r="V143" i="1" a="1"/>
  <c r="D151" i="1" a="1"/>
  <c r="F137" i="1" a="1"/>
  <c r="M132" i="1" a="1"/>
  <c r="T127" i="1" a="1"/>
  <c r="K139" i="1" a="1"/>
  <c r="X144" i="1" a="1"/>
  <c r="AA135" i="1" a="1"/>
  <c r="E153" i="1" a="1"/>
  <c r="X173" i="1" a="1"/>
  <c r="J146" i="1" a="1"/>
  <c r="G136" i="1" a="1"/>
  <c r="N131" i="1" a="1"/>
  <c r="U126" i="1" a="1"/>
  <c r="Z148" i="1" a="1"/>
  <c r="G159" i="1" a="1"/>
  <c r="G138" i="1" a="1"/>
  <c r="C152" i="1" a="1"/>
  <c r="N168" i="1" a="1"/>
  <c r="A72" i="1" a="1"/>
  <c r="R209" i="1" a="1"/>
  <c r="A204" i="1" a="1"/>
  <c r="K211" i="1" a="1"/>
  <c r="U205" i="1" a="1"/>
  <c r="M209" i="1" a="1"/>
  <c r="T199" i="1" a="1"/>
  <c r="Z202" i="1" a="1"/>
  <c r="V211" i="1" a="1"/>
  <c r="S201" i="1" a="1"/>
  <c r="F212" i="1" a="1"/>
  <c r="U214" i="1" a="1"/>
  <c r="B205" i="1" a="1"/>
  <c r="T195" i="1" a="1"/>
  <c r="G199" i="1" a="1"/>
  <c r="F211" i="1" a="1"/>
  <c r="N204" i="1" a="1"/>
  <c r="P214" i="1" a="1"/>
  <c r="E209" i="1" a="1"/>
  <c r="C199" i="1" a="1"/>
  <c r="B192" i="1" a="1"/>
  <c r="P180" i="1" a="1"/>
  <c r="K201" i="1" a="1"/>
  <c r="K186" i="1" a="1"/>
  <c r="X211" i="1" a="1"/>
  <c r="R196" i="1" a="1"/>
  <c r="G181" i="1" a="1"/>
  <c r="D201" i="1" a="1"/>
  <c r="N184" i="1" a="1"/>
  <c r="Y192" i="1" a="1"/>
  <c r="P181" i="1" a="1"/>
  <c r="U190" i="1" a="1"/>
  <c r="AA177" i="1" a="1"/>
  <c r="A197" i="1" a="1"/>
  <c r="J184" i="1" a="1"/>
  <c r="E191" i="1" a="1"/>
  <c r="U204" i="1" a="1"/>
  <c r="Z187" i="1" a="1"/>
  <c r="D173" i="1" a="1"/>
  <c r="J179" i="1" a="1"/>
  <c r="I165" i="1" a="1"/>
  <c r="E210" i="1" a="1"/>
  <c r="X178" i="1" a="1"/>
  <c r="Q165" i="1" a="1"/>
  <c r="I153" i="1" a="1"/>
  <c r="AA180" i="1" a="1"/>
  <c r="F168" i="1" a="1"/>
  <c r="B157" i="1" a="1"/>
  <c r="N183" i="1" a="1"/>
  <c r="G171" i="1" a="1"/>
  <c r="M161" i="1" a="1"/>
  <c r="D182" i="1" a="1"/>
  <c r="T196" i="1" a="1"/>
  <c r="L188" i="1" a="1"/>
  <c r="Z183" i="1" a="1"/>
  <c r="B167" i="1" a="1"/>
  <c r="S155" i="1" a="1"/>
  <c r="R180" i="1" a="1"/>
  <c r="T173" i="1" a="1"/>
  <c r="N201" i="1" a="1"/>
  <c r="M177" i="1" a="1"/>
  <c r="Z170" i="1" a="1"/>
  <c r="L154" i="1" a="1"/>
  <c r="B179" i="1" a="1"/>
  <c r="J161" i="1" a="1"/>
  <c r="X142" i="1" a="1"/>
  <c r="A179" i="1" a="1"/>
  <c r="AA159" i="1" a="1"/>
  <c r="T177" i="1" a="1"/>
  <c r="U157" i="1" a="1"/>
  <c r="O142" i="1" a="1"/>
  <c r="X159" i="1" a="1"/>
  <c r="S149" i="1" a="1"/>
  <c r="AA163" i="1" a="1"/>
  <c r="M147" i="1" a="1"/>
  <c r="V188" i="1" a="1"/>
  <c r="C158" i="1" a="1"/>
  <c r="N146" i="1" a="1"/>
  <c r="N163" i="1" a="1"/>
  <c r="R167" i="1" a="1"/>
  <c r="X153" i="1" a="1"/>
  <c r="E166" i="1" a="1"/>
  <c r="B147" i="1" a="1"/>
  <c r="E139" i="1" a="1"/>
  <c r="S191" i="1" a="1"/>
  <c r="G164" i="1" a="1"/>
  <c r="S173" i="1" a="1"/>
  <c r="P156" i="1" a="1"/>
  <c r="F143" i="1" a="1"/>
  <c r="AA146" i="1" a="1"/>
  <c r="W134" i="1" a="1"/>
  <c r="Q128" i="1" a="1"/>
  <c r="S138" i="1" a="1"/>
  <c r="R141" i="1" a="1"/>
  <c r="Y133" i="1" a="1"/>
  <c r="F141" i="1" a="1"/>
  <c r="J147" i="1" a="1"/>
  <c r="J135" i="1" a="1"/>
  <c r="T129" i="1" a="1"/>
  <c r="Z153" i="1" a="1"/>
  <c r="V163" i="1" a="1"/>
  <c r="R137" i="1" a="1"/>
  <c r="Y148" i="1" a="1"/>
  <c r="E147" i="1" a="1"/>
  <c r="D136" i="1" a="1"/>
  <c r="K131" i="1" a="1"/>
  <c r="Z143" i="1" a="1"/>
  <c r="Q132" i="1" a="1"/>
  <c r="M123" i="1" a="1"/>
  <c r="D117" i="1" a="1"/>
  <c r="T183" i="1" a="1"/>
  <c r="M130" i="1" a="1"/>
  <c r="S118" i="1" a="1"/>
  <c r="A109" i="1" a="1"/>
  <c r="K96" i="1" a="1"/>
  <c r="N166" i="1" a="1"/>
  <c r="V110" i="1" a="1"/>
  <c r="A133" i="1" a="1"/>
  <c r="U123" i="1" a="1"/>
  <c r="J141" i="1" a="1"/>
  <c r="Y124" i="1" a="1"/>
  <c r="L115" i="1" a="1"/>
  <c r="S150" i="1" a="1"/>
  <c r="Z154" i="1" a="1"/>
  <c r="V128" i="1" a="1"/>
  <c r="S121" i="1" a="1"/>
  <c r="J115" i="1" a="1"/>
  <c r="J209" i="1" a="1"/>
  <c r="T203" i="1" a="1"/>
  <c r="C211" i="1" a="1"/>
  <c r="X204" i="1" a="1"/>
  <c r="O208" i="1" a="1"/>
  <c r="J199" i="1" a="1"/>
  <c r="I201" i="1" a="1"/>
  <c r="H211" i="1" a="1"/>
  <c r="H201" i="1" a="1"/>
  <c r="W209" i="1" a="1"/>
  <c r="F214" i="1" a="1"/>
  <c r="R204" i="1" a="1"/>
  <c r="H195" i="1" a="1"/>
  <c r="B198" i="1" a="1"/>
  <c r="S210" i="1" a="1"/>
  <c r="C204" i="1" a="1"/>
  <c r="U207" i="1" a="1"/>
  <c r="G208" i="1" a="1"/>
  <c r="Q214" i="1" a="1"/>
  <c r="N191" i="1" a="1"/>
  <c r="F180" i="1" a="1"/>
  <c r="K200" i="1" a="1"/>
  <c r="H185" i="1" a="1"/>
  <c r="P210" i="1" a="1"/>
  <c r="X195" i="1" a="1"/>
  <c r="X180" i="1" a="1"/>
  <c r="G200" i="1" a="1"/>
  <c r="D184" i="1" a="1"/>
  <c r="M192" i="1" a="1"/>
  <c r="U179" i="1" a="1"/>
  <c r="X189" i="1" a="1"/>
  <c r="R177" i="1" a="1"/>
  <c r="I196" i="1" a="1"/>
  <c r="R183" i="1" a="1"/>
  <c r="T190" i="1" a="1"/>
  <c r="Q202" i="1" a="1"/>
  <c r="G187" i="1" a="1"/>
  <c r="S172" i="1" a="1"/>
  <c r="Y178" i="1" a="1"/>
  <c r="S164" i="1" a="1"/>
  <c r="D207" i="1" a="1"/>
  <c r="J178" i="1" a="1"/>
  <c r="T163" i="1" a="1"/>
  <c r="T152" i="1" a="1"/>
  <c r="I180" i="1" a="1"/>
  <c r="X167" i="1" a="1"/>
  <c r="L156" i="1" a="1"/>
  <c r="W182" i="1" a="1"/>
  <c r="X170" i="1" a="1"/>
  <c r="W160" i="1" a="1"/>
  <c r="N181" i="1" a="1"/>
  <c r="D195" i="1" a="1"/>
  <c r="S187" i="1" a="1"/>
  <c r="G183" i="1" a="1"/>
  <c r="L166" i="1" a="1"/>
  <c r="C212" i="1" a="1"/>
  <c r="V199" i="1" a="1"/>
  <c r="H173" i="1" a="1"/>
  <c r="F199" i="1" a="1"/>
  <c r="Z176" i="1" a="1"/>
  <c r="H170" i="1" a="1"/>
  <c r="T153" i="1" a="1"/>
  <c r="A178" i="1" a="1"/>
  <c r="N159" i="1" a="1"/>
  <c r="P142" i="1" a="1"/>
  <c r="S176" i="1" a="1"/>
  <c r="B159" i="1" a="1"/>
  <c r="P175" i="1" a="1"/>
  <c r="A154" i="1" a="1"/>
  <c r="B189" i="1" a="1"/>
  <c r="L159" i="1" a="1"/>
  <c r="B149" i="1" a="1"/>
  <c r="O163" i="1" a="1"/>
  <c r="W146" i="1" a="1"/>
  <c r="E185" i="1" a="1"/>
  <c r="Z155" i="1" a="1"/>
  <c r="E146" i="1" a="1"/>
  <c r="P162" i="1" a="1"/>
  <c r="D167" i="1" a="1"/>
  <c r="O153" i="1" a="1"/>
  <c r="T165" i="1" a="1"/>
  <c r="E145" i="1" a="1"/>
  <c r="J192" i="1" a="1"/>
  <c r="M187" i="1" a="1"/>
  <c r="I163" i="1" a="1"/>
  <c r="U172" i="1" a="1"/>
  <c r="E156" i="1" a="1"/>
  <c r="Y142" i="1" a="1"/>
  <c r="AA145" i="1" a="1"/>
  <c r="O134" i="1" a="1"/>
  <c r="I128" i="1" a="1"/>
  <c r="J191" i="1" a="1"/>
  <c r="M140" i="1" a="1"/>
  <c r="Q133" i="1" a="1"/>
  <c r="AA138" i="1" a="1"/>
  <c r="J145" i="1" a="1"/>
  <c r="B135" i="1" a="1"/>
  <c r="L129" i="1" a="1"/>
  <c r="AA152" i="1" a="1"/>
  <c r="L161" i="1" a="1"/>
  <c r="J137" i="1" a="1"/>
  <c r="I148" i="1" a="1"/>
  <c r="D146" i="1" a="1"/>
  <c r="W135" i="1" a="1"/>
  <c r="C131" i="1" a="1"/>
  <c r="C142" i="1" a="1"/>
  <c r="AA129" i="1" a="1"/>
  <c r="B123" i="1" a="1"/>
  <c r="U116" i="1" a="1"/>
  <c r="R160" i="1" a="1"/>
  <c r="Z129" i="1" a="1"/>
  <c r="Y117" i="1" a="1"/>
  <c r="H108" i="1" a="1"/>
  <c r="C96" i="1" a="1"/>
  <c r="F156" i="1" a="1"/>
  <c r="B110" i="1" a="1"/>
  <c r="N132" i="1" a="1"/>
  <c r="J123" i="1" a="1"/>
  <c r="K140" i="1" a="1"/>
  <c r="D124" i="1" a="1"/>
  <c r="R114" i="1" a="1"/>
  <c r="AA148" i="1" a="1"/>
  <c r="I152" i="1" a="1"/>
  <c r="J128" i="1" a="1"/>
  <c r="H121" i="1" a="1"/>
  <c r="AA114" i="1" a="1"/>
  <c r="K214" i="1" a="1"/>
  <c r="U208" i="1" a="1"/>
  <c r="D203" i="1" a="1"/>
  <c r="N210" i="1" a="1"/>
  <c r="Y214" i="1" a="1"/>
  <c r="Q207" i="1" a="1"/>
  <c r="O198" i="1" a="1"/>
  <c r="Z198" i="1" a="1"/>
  <c r="L209" i="1" a="1"/>
  <c r="C200" i="1" a="1"/>
  <c r="C205" i="1" a="1"/>
  <c r="S212" i="1" a="1"/>
  <c r="A202" i="1" a="1"/>
  <c r="D194" i="1" a="1"/>
  <c r="S195" i="1" a="1"/>
  <c r="U209" i="1" a="1"/>
  <c r="V202" i="1" a="1"/>
  <c r="B204" i="1" a="1"/>
  <c r="I207" i="1" a="1"/>
  <c r="R210" i="1" a="1"/>
  <c r="P190" i="1" a="1"/>
  <c r="N178" i="1" a="1"/>
  <c r="L197" i="1" a="1"/>
  <c r="F184" i="1" a="1"/>
  <c r="C208" i="1" a="1"/>
  <c r="L191" i="1" a="1"/>
  <c r="D179" i="1" a="1"/>
  <c r="Y197" i="1" a="1"/>
  <c r="B183" i="1" a="1"/>
  <c r="K191" i="1" a="1"/>
  <c r="K177" i="1" a="1"/>
  <c r="U188" i="1" a="1"/>
  <c r="H175" i="1" a="1"/>
  <c r="AA194" i="1" a="1"/>
  <c r="T180" i="1" a="1"/>
  <c r="T188" i="1" a="1"/>
  <c r="R200" i="1" a="1"/>
  <c r="B185" i="1" a="1"/>
  <c r="E207" i="1" a="1"/>
  <c r="Y175" i="1" a="1"/>
  <c r="L163" i="1" a="1"/>
  <c r="B201" i="1" a="1"/>
  <c r="J177" i="1" a="1"/>
  <c r="U162" i="1" a="1"/>
  <c r="D152" i="1" a="1"/>
  <c r="V178" i="1" a="1"/>
  <c r="O166" i="1" a="1"/>
  <c r="Y153" i="1" a="1"/>
  <c r="H180" i="1" a="1"/>
  <c r="B170" i="1" a="1"/>
  <c r="P159" i="1" a="1"/>
  <c r="T178" i="1" a="1"/>
  <c r="Y189" i="1" a="1"/>
  <c r="N185" i="1" a="1"/>
  <c r="J181" i="1" a="1"/>
  <c r="E165" i="1" a="1"/>
  <c r="H205" i="1" a="1"/>
  <c r="T194" i="1" a="1"/>
  <c r="Y171" i="1" a="1"/>
  <c r="K194" i="1" a="1"/>
  <c r="AA174" i="1" a="1"/>
  <c r="L168" i="1" a="1"/>
  <c r="B153" i="1" a="1"/>
  <c r="S175" i="1" a="1"/>
  <c r="A151" i="1" a="1"/>
  <c r="S141" i="1" a="1"/>
  <c r="L173" i="1" a="1"/>
  <c r="E158" i="1" a="1"/>
  <c r="K173" i="1" a="1"/>
  <c r="J150" i="1" a="1"/>
  <c r="D180" i="1" a="1"/>
  <c r="O158" i="1" a="1"/>
  <c r="AA179" i="1" a="1"/>
  <c r="Y158" i="1" a="1"/>
  <c r="G145" i="1" a="1"/>
  <c r="S178" i="1" a="1"/>
  <c r="I154" i="1" a="1"/>
  <c r="Z201" i="1" a="1"/>
  <c r="V159" i="1" a="1"/>
  <c r="U165" i="1" a="1"/>
  <c r="X152" i="1" a="1"/>
  <c r="V164" i="1" a="1"/>
  <c r="Y143" i="1" a="1"/>
  <c r="U181" i="1" a="1"/>
  <c r="E176" i="1" a="1"/>
  <c r="O161" i="1" a="1"/>
  <c r="Z167" i="1" a="1"/>
  <c r="C154" i="1" a="1"/>
  <c r="I142" i="1" a="1"/>
  <c r="M144" i="1" a="1"/>
  <c r="J133" i="1" a="1"/>
  <c r="L127" i="1" a="1"/>
  <c r="T164" i="1" a="1"/>
  <c r="T139" i="1" a="1"/>
  <c r="W169" i="1" a="1"/>
  <c r="X186" i="1" a="1"/>
  <c r="W143" i="1" a="1"/>
  <c r="M134" i="1" a="1"/>
  <c r="W128" i="1" a="1"/>
  <c r="F150" i="1" a="1"/>
  <c r="C155" i="1" a="1"/>
  <c r="U136" i="1" a="1"/>
  <c r="S146" i="1" a="1"/>
  <c r="S142" i="1" a="1"/>
  <c r="G135" i="1" a="1"/>
  <c r="N130" i="1" a="1"/>
  <c r="T186" i="1" a="1"/>
  <c r="A129" i="1" a="1"/>
  <c r="H122" i="1" a="1"/>
  <c r="Z115" i="1" a="1"/>
  <c r="Q149" i="1" a="1"/>
  <c r="R126" i="1" a="1"/>
  <c r="T116" i="1" a="1"/>
  <c r="F107" i="1" a="1"/>
  <c r="N95" i="1" a="1"/>
  <c r="Y147" i="1" a="1"/>
  <c r="AA108" i="1" a="1"/>
  <c r="L131" i="1" a="1"/>
  <c r="P122" i="1" a="1"/>
  <c r="K137" i="1" a="1"/>
  <c r="Z122" i="1" a="1"/>
  <c r="M113" i="1" a="1"/>
  <c r="O143" i="1" a="1"/>
  <c r="X148" i="1" a="1"/>
  <c r="K127" i="1" a="1"/>
  <c r="N120" i="1" a="1"/>
  <c r="E114" i="1" a="1"/>
  <c r="V213" i="1" a="1"/>
  <c r="E208" i="1" a="1"/>
  <c r="O202" i="1" a="1"/>
  <c r="I209" i="1" a="1"/>
  <c r="G214" i="1" a="1"/>
  <c r="Q206" i="1" a="1"/>
  <c r="V197" i="1" a="1"/>
  <c r="G194" i="1" a="1"/>
  <c r="AA207" i="1" a="1"/>
  <c r="I199" i="1" a="1"/>
  <c r="I203" i="1" a="1"/>
  <c r="U211" i="1" a="1"/>
  <c r="F201" i="1" a="1"/>
  <c r="S192" i="1" a="1"/>
  <c r="U193" i="1" a="1"/>
  <c r="W208" i="1" a="1"/>
  <c r="E199" i="1" a="1"/>
  <c r="I202" i="1" a="1"/>
  <c r="I206" i="1" a="1"/>
  <c r="F208" i="1" a="1"/>
  <c r="X187" i="1" a="1"/>
  <c r="N177" i="1" a="1"/>
  <c r="Z195" i="1" a="1"/>
  <c r="M183" i="1" a="1"/>
  <c r="L205" i="1" a="1"/>
  <c r="AA189" i="1" a="1"/>
  <c r="U176" i="1" a="1"/>
  <c r="E195" i="1" a="1"/>
  <c r="Z181" i="1" a="1"/>
  <c r="D188" i="1" a="1"/>
  <c r="S174" i="1" a="1"/>
  <c r="Z186" i="1" a="1"/>
  <c r="Y172" i="1" a="1"/>
  <c r="T191" i="1" a="1"/>
  <c r="A211" i="1" a="1"/>
  <c r="AA187" i="1" a="1"/>
  <c r="H198" i="1" a="1"/>
  <c r="Q183" i="1" a="1"/>
  <c r="L201" i="1" a="1"/>
  <c r="Y174" i="1" a="1"/>
  <c r="M162" i="1" a="1"/>
  <c r="H194" i="1" a="1"/>
  <c r="C173" i="1" a="1"/>
  <c r="X160" i="1" a="1"/>
  <c r="O151" i="1" a="1"/>
  <c r="I177" i="1" a="1"/>
  <c r="A164" i="1" a="1"/>
  <c r="L206" i="1" a="1"/>
  <c r="U178" i="1" a="1"/>
  <c r="H169" i="1" a="1"/>
  <c r="K213" i="1" a="1"/>
  <c r="H176" i="1" a="1"/>
  <c r="T187" i="1" a="1"/>
  <c r="T182" i="1" a="1"/>
  <c r="C180" i="1" a="1"/>
  <c r="Z162" i="1" a="1"/>
  <c r="J196" i="1" a="1"/>
  <c r="P191" i="1" a="1"/>
  <c r="N211" i="1" a="1"/>
  <c r="B188" i="1" a="1"/>
  <c r="T172" i="1" a="1"/>
  <c r="R163" i="1" a="1"/>
  <c r="J152" i="1" a="1"/>
  <c r="O171" i="1" a="1"/>
  <c r="U149" i="1" a="1"/>
  <c r="C141" i="1" a="1"/>
  <c r="N171" i="1" a="1"/>
  <c r="Y156" i="1" a="1"/>
  <c r="F170" i="1" a="1"/>
  <c r="U148" i="1" a="1"/>
  <c r="Q176" i="1" a="1"/>
  <c r="H157" i="1" a="1"/>
  <c r="L171" i="1" a="1"/>
  <c r="G157" i="1" a="1"/>
  <c r="AA143" i="1" a="1"/>
  <c r="G174" i="1" a="1"/>
  <c r="G153" i="1" a="1"/>
  <c r="B182" i="1" a="1"/>
  <c r="V201" i="1" a="1"/>
  <c r="AA162" i="1" a="1"/>
  <c r="F152" i="1" a="1"/>
  <c r="O162" i="1" a="1"/>
  <c r="A143" i="1" a="1"/>
  <c r="G177" i="1" a="1"/>
  <c r="V183" i="1" a="1"/>
  <c r="U158" i="1" a="1"/>
  <c r="A166" i="1" a="1"/>
  <c r="L150" i="1" a="1"/>
  <c r="A176" i="1" a="1"/>
  <c r="H141" i="1" a="1"/>
  <c r="U132" i="1" a="1"/>
  <c r="J170" i="1" a="1"/>
  <c r="K158" i="1" a="1"/>
  <c r="B138" i="1" a="1"/>
  <c r="O155" i="1" a="1"/>
  <c r="AA166" i="1" a="1"/>
  <c r="P141" i="1" a="1"/>
  <c r="X133" i="1" a="1"/>
  <c r="R127" i="1" a="1"/>
  <c r="W147" i="1" a="1"/>
  <c r="J148" i="1" a="1"/>
  <c r="E136" i="1" a="1"/>
  <c r="R143" i="1" a="1"/>
  <c r="B141" i="1" a="1"/>
  <c r="R134" i="1" a="1"/>
  <c r="A177" i="1" a="1"/>
  <c r="AA160" i="1" a="1"/>
  <c r="C128" i="1" a="1"/>
  <c r="N121" i="1" a="1"/>
  <c r="E115" i="1" a="1"/>
  <c r="R142" i="1" a="1"/>
  <c r="A125" i="1" a="1"/>
  <c r="O115" i="1" a="1"/>
  <c r="M106" i="1" a="1"/>
  <c r="Y94" i="1" a="1"/>
  <c r="C145" i="1" a="1"/>
  <c r="S165" i="1" a="1"/>
  <c r="K129" i="1" a="1"/>
  <c r="V121" i="1" a="1"/>
  <c r="B136" i="1" a="1"/>
  <c r="U121" i="1" a="1"/>
  <c r="H112" i="1" a="1"/>
  <c r="E141" i="1" a="1"/>
  <c r="P144" i="1" a="1"/>
  <c r="N126" i="1" a="1"/>
  <c r="T119" i="1" a="1"/>
  <c r="H143" i="1" a="1"/>
  <c r="AA214" i="1" a="1"/>
  <c r="H207" i="1" a="1"/>
  <c r="P212" i="1" a="1"/>
  <c r="P204" i="1" a="1"/>
  <c r="G205" i="1" a="1"/>
  <c r="Z208" i="1" a="1"/>
  <c r="X209" i="1" a="1"/>
  <c r="D198" i="1" a="1"/>
  <c r="V193" i="1" a="1"/>
  <c r="U203" i="1" a="1"/>
  <c r="G191" i="1" a="1"/>
  <c r="Q213" i="1" a="1"/>
  <c r="R203" i="1" a="1"/>
  <c r="A214" i="1" a="1"/>
  <c r="C201" i="1" a="1"/>
  <c r="B191" i="1" a="1"/>
  <c r="D176" i="1" a="1"/>
  <c r="Z188" i="1" a="1"/>
  <c r="F209" i="1" a="1"/>
  <c r="B187" i="1" a="1"/>
  <c r="M210" i="1" a="1"/>
  <c r="U183" i="1" a="1"/>
  <c r="I186" i="1" a="1"/>
  <c r="K198" i="1" a="1"/>
  <c r="Q175" i="1" a="1"/>
  <c r="C189" i="1" a="1"/>
  <c r="P197" i="1" a="1"/>
  <c r="P201" i="1" a="1"/>
  <c r="K178" i="1" a="1"/>
  <c r="M186" i="1" a="1"/>
  <c r="B164" i="1" a="1"/>
  <c r="Y187" i="1" a="1"/>
  <c r="P168" i="1" a="1"/>
  <c r="L152" i="1" a="1"/>
  <c r="Z173" i="1" a="1"/>
  <c r="H159" i="1" a="1"/>
  <c r="Y180" i="1" a="1"/>
  <c r="N167" i="1" a="1"/>
  <c r="M188" i="1" a="1"/>
  <c r="X192" i="1" a="1"/>
  <c r="U180" i="1" a="1"/>
  <c r="T170" i="1" a="1"/>
  <c r="V208" i="1" a="1"/>
  <c r="O187" i="1" a="1"/>
  <c r="J187" i="1" a="1"/>
  <c r="N175" i="1" a="1"/>
  <c r="Z160" i="1" a="1"/>
  <c r="G147" i="1" a="1"/>
  <c r="V157" i="1" a="1"/>
  <c r="F140" i="1" a="1"/>
  <c r="Q163" i="1" a="1"/>
  <c r="O174" i="1" a="1"/>
  <c r="X146" i="1" a="1"/>
  <c r="R162" i="1" a="1"/>
  <c r="M204" i="1" a="1"/>
  <c r="AA155" i="1" a="1"/>
  <c r="I141" i="1" a="1"/>
  <c r="S154" i="1" a="1"/>
  <c r="F174" i="1" a="1"/>
  <c r="E174" i="1" a="1"/>
  <c r="F153" i="1" a="1"/>
  <c r="A155" i="1" a="1"/>
  <c r="Z140" i="1" a="1"/>
  <c r="M178" i="1" a="1"/>
  <c r="K155" i="1" a="1"/>
  <c r="W162" i="1" a="1"/>
  <c r="Q142" i="1" a="1"/>
  <c r="N137" i="1" a="1"/>
  <c r="K130" i="1" a="1"/>
  <c r="I170" i="1" a="1"/>
  <c r="P136" i="1" a="1"/>
  <c r="W144" i="1" a="1"/>
  <c r="I144" i="1" a="1"/>
  <c r="K132" i="1" a="1"/>
  <c r="W163" i="1" a="1"/>
  <c r="X157" i="1" a="1"/>
  <c r="H135" i="1" a="1"/>
  <c r="Q157" i="1" a="1"/>
  <c r="O135" i="1" a="1"/>
  <c r="T158" i="1" a="1"/>
  <c r="H138" i="1" a="1"/>
  <c r="S122" i="1" a="1"/>
  <c r="AA113" i="1" a="1"/>
  <c r="S133" i="1" a="1"/>
  <c r="N117" i="1" a="1"/>
  <c r="H103" i="1" a="1"/>
  <c r="L141" i="1" a="1"/>
  <c r="J109" i="1" a="1"/>
  <c r="AA127" i="1" a="1"/>
  <c r="X150" i="1" a="1"/>
  <c r="T123" i="1" a="1"/>
  <c r="U110" i="1" a="1"/>
  <c r="Y132" i="1" a="1"/>
  <c r="W127" i="1" a="1"/>
  <c r="O118" i="1" a="1"/>
  <c r="K133" i="1" a="1"/>
  <c r="H119" i="1" a="1"/>
  <c r="C147" i="1" a="1"/>
  <c r="J111" i="1" a="1"/>
  <c r="L134" i="1" a="1"/>
  <c r="J124" i="1" a="1"/>
  <c r="U140" i="1" a="1"/>
  <c r="E110" i="1" a="1"/>
  <c r="Y123" i="1" a="1"/>
  <c r="C110" i="1" a="1"/>
  <c r="Q98" i="1" a="1"/>
  <c r="U91" i="1" a="1"/>
  <c r="G144" i="1" a="1"/>
  <c r="D108" i="1" a="1"/>
  <c r="F98" i="1" a="1"/>
  <c r="T122" i="1" a="1"/>
  <c r="N109" i="1" a="1"/>
  <c r="P98" i="1" a="1"/>
  <c r="A92" i="1" a="1"/>
  <c r="H87" i="1" a="1"/>
  <c r="U125" i="1" a="1"/>
  <c r="N108" i="1" a="1"/>
  <c r="Y98" i="1" a="1"/>
  <c r="N122" i="1" a="1"/>
  <c r="K106" i="1" a="1"/>
  <c r="O96" i="1" a="1"/>
  <c r="O119" i="1" a="1"/>
  <c r="J106" i="1" a="1"/>
  <c r="M97" i="1" a="1"/>
  <c r="M119" i="1" a="1"/>
  <c r="L119" i="1" a="1"/>
  <c r="AA107" i="1" a="1"/>
  <c r="E99" i="1" a="1"/>
  <c r="D120" i="1" a="1"/>
  <c r="C107" i="1" a="1"/>
  <c r="T97" i="1" a="1"/>
  <c r="S114" i="1" a="1"/>
  <c r="V103" i="1" a="1"/>
  <c r="J136" i="1" a="1"/>
  <c r="F124" i="1" a="1"/>
  <c r="F109" i="1" a="1"/>
  <c r="C214" i="1" a="1"/>
  <c r="AA206" i="1" a="1"/>
  <c r="H212" i="1" a="1"/>
  <c r="O214" i="1" a="1"/>
  <c r="T204" i="1" a="1"/>
  <c r="P206" i="1" a="1"/>
  <c r="Y208" i="1" a="1"/>
  <c r="T197" i="1" a="1"/>
  <c r="C193" i="1" a="1"/>
  <c r="R201" i="1" a="1"/>
  <c r="N190" i="1" a="1"/>
  <c r="R212" i="1" a="1"/>
  <c r="J200" i="1" a="1"/>
  <c r="O213" i="1" a="1"/>
  <c r="S200" i="1" a="1"/>
  <c r="S189" i="1" a="1"/>
  <c r="V175" i="1" a="1"/>
  <c r="P188" i="1" a="1"/>
  <c r="U206" i="1" a="1"/>
  <c r="J186" i="1" a="1"/>
  <c r="T206" i="1" a="1"/>
  <c r="S182" i="1" a="1"/>
  <c r="Z185" i="1" a="1"/>
  <c r="A195" i="1" a="1"/>
  <c r="G173" i="1" a="1"/>
  <c r="K188" i="1" a="1"/>
  <c r="H196" i="1" a="1"/>
  <c r="W199" i="1" a="1"/>
  <c r="L177" i="1" a="1"/>
  <c r="U185" i="1" a="1"/>
  <c r="V162" i="1" a="1"/>
  <c r="F187" i="1" a="1"/>
  <c r="F167" i="1" a="1"/>
  <c r="W151" i="1" a="1"/>
  <c r="N173" i="1" a="1"/>
  <c r="R158" i="1" a="1"/>
  <c r="H179" i="1" a="1"/>
  <c r="F166" i="1" a="1"/>
  <c r="H186" i="1" a="1"/>
  <c r="E189" i="1" a="1"/>
  <c r="O212" i="1" a="1"/>
  <c r="O169" i="1" a="1"/>
  <c r="X197" i="1" a="1"/>
  <c r="V186" i="1" a="1"/>
  <c r="R186" i="1" a="1"/>
  <c r="B174" i="1" a="1"/>
  <c r="M160" i="1" a="1"/>
  <c r="H208" i="1" a="1"/>
  <c r="K150" i="1" a="1"/>
  <c r="Y139" i="1" a="1"/>
  <c r="U161" i="1" a="1"/>
  <c r="U170" i="1" a="1"/>
  <c r="G146" i="1" a="1"/>
  <c r="T161" i="1" a="1"/>
  <c r="P176" i="1" a="1"/>
  <c r="P155" i="1" a="1"/>
  <c r="A141" i="1" a="1"/>
  <c r="P153" i="1" a="1"/>
  <c r="F173" i="1" a="1"/>
  <c r="Q170" i="1" a="1"/>
  <c r="O152" i="1" a="1"/>
  <c r="E151" i="1" a="1"/>
  <c r="R140" i="1" a="1"/>
  <c r="B175" i="1" a="1"/>
  <c r="V153" i="1" a="1"/>
  <c r="Y161" i="1" a="1"/>
  <c r="W197" i="1" a="1"/>
  <c r="Y136" i="1" a="1"/>
  <c r="C130" i="1" a="1"/>
  <c r="J162" i="1" a="1"/>
  <c r="H136" i="1" a="1"/>
  <c r="J144" i="1" a="1"/>
  <c r="K142" i="1" a="1"/>
  <c r="C132" i="1" a="1"/>
  <c r="R159" i="1" a="1"/>
  <c r="W153" i="1" a="1"/>
  <c r="F159" i="1" a="1"/>
  <c r="H156" i="1" a="1"/>
  <c r="Z134" i="1" a="1"/>
  <c r="F157" i="1" a="1"/>
  <c r="P137" i="1" a="1"/>
  <c r="X121" i="1" a="1"/>
  <c r="P113" i="1" a="1"/>
  <c r="B132" i="1" a="1"/>
  <c r="I116" i="1" a="1"/>
  <c r="Y100" i="1" a="1"/>
  <c r="P140" i="1" a="1"/>
  <c r="Q108" i="1" a="1"/>
  <c r="N127" i="1" a="1"/>
  <c r="R147" i="1" a="1"/>
  <c r="O122" i="1" a="1"/>
  <c r="K110" i="1" a="1"/>
  <c r="H130" i="1" a="1"/>
  <c r="Y126" i="1" a="1"/>
  <c r="D118" i="1" a="1"/>
  <c r="W132" i="1" a="1"/>
  <c r="N118" i="1" a="1"/>
  <c r="U145" i="1" a="1"/>
  <c r="AA110" i="1" a="1"/>
  <c r="W133" i="1" a="1"/>
  <c r="Z123" i="1" a="1"/>
  <c r="X139" i="1" a="1"/>
  <c r="V109" i="1" a="1"/>
  <c r="V122" i="1" a="1"/>
  <c r="P109" i="1" a="1"/>
  <c r="G98" i="1" a="1"/>
  <c r="M91" i="1" a="1"/>
  <c r="O137" i="1" a="1"/>
  <c r="T107" i="1" a="1"/>
  <c r="O97" i="1" a="1"/>
  <c r="Q121" i="1" a="1"/>
  <c r="S107" i="1" a="1"/>
  <c r="E98" i="1" a="1"/>
  <c r="T91" i="1" a="1"/>
  <c r="AA86" i="1" a="1"/>
  <c r="T124" i="1" a="1"/>
  <c r="C108" i="1" a="1"/>
  <c r="N98" i="1" a="1"/>
  <c r="O121" i="1" a="1"/>
  <c r="AA105" i="1" a="1"/>
  <c r="Y95" i="1" a="1"/>
  <c r="U118" i="1" a="1"/>
  <c r="Z105" i="1" a="1"/>
  <c r="W96" i="1" a="1"/>
  <c r="R118" i="1" a="1"/>
  <c r="Q118" i="1" a="1"/>
  <c r="O107" i="1" a="1"/>
  <c r="L98" i="1" a="1"/>
  <c r="J119" i="1" a="1"/>
  <c r="X105" i="1" a="1"/>
  <c r="C97" i="1" a="1"/>
  <c r="A114" i="1" a="1"/>
  <c r="C103" i="1" a="1"/>
  <c r="L132" i="1" a="1"/>
  <c r="D123" i="1" a="1"/>
  <c r="U108" i="1" a="1"/>
  <c r="K107" i="1" a="1"/>
  <c r="Q212" i="1" a="1"/>
  <c r="Y204" i="1" a="1"/>
  <c r="Q209" i="1" a="1"/>
  <c r="B213" i="1" a="1"/>
  <c r="J201" i="1" a="1"/>
  <c r="U197" i="1" a="1"/>
  <c r="D206" i="1" a="1"/>
  <c r="J195" i="1" a="1"/>
  <c r="E212" i="1" a="1"/>
  <c r="H199" i="1" a="1"/>
  <c r="X202" i="1" a="1"/>
  <c r="H209" i="1" a="1"/>
  <c r="T193" i="1" a="1"/>
  <c r="O211" i="1" a="1"/>
  <c r="N209" i="1" a="1"/>
  <c r="Z184" i="1" a="1"/>
  <c r="N214" i="1" a="1"/>
  <c r="W183" i="1" a="1"/>
  <c r="M214" i="1" a="1"/>
  <c r="O184" i="1" a="1"/>
  <c r="F197" i="1" a="1"/>
  <c r="AA201" i="1" a="1"/>
  <c r="A183" i="1" a="1"/>
  <c r="R187" i="1" a="1"/>
  <c r="F206" i="1" a="1"/>
  <c r="M185" i="1" a="1"/>
  <c r="J188" i="1" a="1"/>
  <c r="Z210" i="1" a="1"/>
  <c r="N174" i="1" a="1"/>
  <c r="L175" i="1" a="1"/>
  <c r="Z159" i="1" a="1"/>
  <c r="G182" i="1" a="1"/>
  <c r="N161" i="1" a="1"/>
  <c r="B197" i="1" a="1"/>
  <c r="N170" i="1" a="1"/>
  <c r="L213" i="1" a="1"/>
  <c r="I176" i="1" a="1"/>
  <c r="J163" i="1" a="1"/>
  <c r="U177" i="1" a="1"/>
  <c r="V182" i="1" a="1"/>
  <c r="P187" i="1" a="1"/>
  <c r="P163" i="1" a="1"/>
  <c r="T189" i="1" a="1"/>
  <c r="B178" i="1" a="1"/>
  <c r="J193" i="1" a="1"/>
  <c r="J190" i="1" a="1"/>
  <c r="O156" i="1" a="1"/>
  <c r="P174" i="1" a="1"/>
  <c r="Y146" i="1" a="1"/>
  <c r="B195" i="1" a="1"/>
  <c r="I157" i="1" a="1"/>
  <c r="L165" i="1" a="1"/>
  <c r="A144" i="1" a="1"/>
  <c r="D158" i="1" a="1"/>
  <c r="H167" i="1" a="1"/>
  <c r="Q150" i="1" a="1"/>
  <c r="G175" i="1" a="1"/>
  <c r="Y150" i="1" a="1"/>
  <c r="U168" i="1" a="1"/>
  <c r="Y163" i="1" a="1"/>
  <c r="E175" i="1" a="1"/>
  <c r="R148" i="1" a="1"/>
  <c r="O178" i="1" a="1"/>
  <c r="W173" i="1" a="1"/>
  <c r="I183" i="1" a="1"/>
  <c r="B151" i="1" a="1"/>
  <c r="N154" i="1" a="1"/>
  <c r="T135" i="1" a="1"/>
  <c r="D127" i="1" a="1"/>
  <c r="M150" i="1" a="1"/>
  <c r="V134" i="1" a="1"/>
  <c r="V169" i="1" a="1"/>
  <c r="I138" i="1" a="1"/>
  <c r="Q130" i="1" a="1"/>
  <c r="P149" i="1" a="1"/>
  <c r="T144" i="1" a="1"/>
  <c r="V150" i="1" a="1"/>
  <c r="G142" i="1" a="1"/>
  <c r="M133" i="1" a="1"/>
  <c r="A146" i="1" a="1"/>
  <c r="P128" i="1" a="1"/>
  <c r="Y119" i="1" a="1"/>
  <c r="A112" i="1" a="1"/>
  <c r="V125" i="1" a="1"/>
  <c r="E113" i="1" a="1"/>
  <c r="H97" i="1" a="1"/>
  <c r="O146" i="1" a="1"/>
  <c r="O140" i="1" a="1"/>
  <c r="Z124" i="1" a="1"/>
  <c r="S136" i="1" a="1"/>
  <c r="K119" i="1" a="1"/>
  <c r="F165" i="1" a="1"/>
  <c r="B146" i="1" a="1"/>
  <c r="M124" i="1" a="1"/>
  <c r="O116" i="1" a="1"/>
  <c r="Q125" i="1" a="1"/>
  <c r="D116" i="1" a="1"/>
  <c r="H139" i="1" a="1"/>
  <c r="Y162" i="1" a="1"/>
  <c r="Q129" i="1" a="1"/>
  <c r="K122" i="1" a="1"/>
  <c r="I134" i="1" a="1"/>
  <c r="G107" i="1" a="1"/>
  <c r="Z118" i="1" a="1"/>
  <c r="B106" i="1" a="1"/>
  <c r="J95" i="1" a="1"/>
  <c r="H90" i="1" a="1"/>
  <c r="N128" i="1" a="1"/>
  <c r="K104" i="1" a="1"/>
  <c r="A95" i="1" a="1"/>
  <c r="B118" i="1" a="1"/>
  <c r="F105" i="1" a="1"/>
  <c r="Z95" i="1" a="1"/>
  <c r="O90" i="1" a="1"/>
  <c r="V85" i="1" a="1"/>
  <c r="A118" i="1" a="1"/>
  <c r="E105" i="1" a="1"/>
  <c r="Q95" i="1" a="1"/>
  <c r="F117" i="1" a="1"/>
  <c r="W102" i="1" a="1"/>
  <c r="B94" i="1" a="1"/>
  <c r="Q115" i="1" a="1"/>
  <c r="Y103" i="1" a="1"/>
  <c r="D159" i="1" a="1"/>
  <c r="N115" i="1" a="1"/>
  <c r="M115" i="1" a="1"/>
  <c r="N105" i="1" a="1"/>
  <c r="A212" i="1" a="1"/>
  <c r="I204" i="1" a="1"/>
  <c r="L208" i="1" a="1"/>
  <c r="U212" i="1" a="1"/>
  <c r="E200" i="1" a="1"/>
  <c r="D193" i="1" a="1"/>
  <c r="D205" i="1" a="1"/>
  <c r="G213" i="1" a="1"/>
  <c r="V209" i="1" a="1"/>
  <c r="M198" i="1" a="1"/>
  <c r="Q201" i="1" a="1"/>
  <c r="Y206" i="1" a="1"/>
  <c r="Q192" i="1" a="1"/>
  <c r="S209" i="1" a="1"/>
  <c r="T205" i="1" a="1"/>
  <c r="X183" i="1" a="1"/>
  <c r="F203" i="1" a="1"/>
  <c r="K182" i="1" a="1"/>
  <c r="C203" i="1" a="1"/>
  <c r="L183" i="1" a="1"/>
  <c r="A194" i="1" a="1"/>
  <c r="E197" i="1" a="1"/>
  <c r="H182" i="1" a="1"/>
  <c r="F186" i="1" a="1"/>
  <c r="R202" i="1" a="1"/>
  <c r="T184" i="1" a="1"/>
  <c r="Y186" i="1" a="1"/>
  <c r="Z203" i="1" a="1"/>
  <c r="P173" i="1" a="1"/>
  <c r="O173" i="1" a="1"/>
  <c r="T157" i="1" a="1"/>
  <c r="I179" i="1" a="1"/>
  <c r="Q159" i="1" a="1"/>
  <c r="J189" i="1" a="1"/>
  <c r="I169" i="1" a="1"/>
  <c r="Q198" i="1" a="1"/>
  <c r="I175" i="1" a="1"/>
  <c r="C162" i="1" a="1"/>
  <c r="AA172" i="1" a="1"/>
  <c r="V212" i="1" a="1"/>
  <c r="R184" i="1" a="1"/>
  <c r="B161" i="1" a="1"/>
  <c r="H188" i="1" a="1"/>
  <c r="Q174" i="1" a="1"/>
  <c r="Q186" i="1" a="1"/>
  <c r="E183" i="1" a="1"/>
  <c r="W154" i="1" a="1"/>
  <c r="W167" i="1" a="1"/>
  <c r="R145" i="1" a="1"/>
  <c r="X185" i="1" a="1"/>
  <c r="V154" i="1" a="1"/>
  <c r="N164" i="1" a="1"/>
  <c r="W142" i="1" a="1"/>
  <c r="A156" i="1" a="1"/>
  <c r="I166" i="1" a="1"/>
  <c r="C148" i="1" a="1"/>
  <c r="R170" i="1" a="1"/>
  <c r="R149" i="1" a="1"/>
  <c r="J165" i="1" a="1"/>
  <c r="D161" i="1" a="1"/>
  <c r="AA171" i="1" a="1"/>
  <c r="K147" i="1" a="1"/>
  <c r="C175" i="1" a="1"/>
  <c r="K170" i="1" a="1"/>
  <c r="U175" i="1" a="1"/>
  <c r="E149" i="1" a="1"/>
  <c r="N152" i="1" a="1"/>
  <c r="D135" i="1" a="1"/>
  <c r="U155" i="1" a="1"/>
  <c r="K146" i="1" a="1"/>
  <c r="F134" i="1" a="1"/>
  <c r="Z161" i="1" a="1"/>
  <c r="D137" i="1" a="1"/>
  <c r="A130" i="1" a="1"/>
  <c r="F145" i="1" a="1"/>
  <c r="X141" i="1" a="1"/>
  <c r="O149" i="1" a="1"/>
  <c r="W138" i="1" a="1"/>
  <c r="X132" i="1" a="1"/>
  <c r="AA144" i="1" a="1"/>
  <c r="E127" i="1" a="1"/>
  <c r="D119" i="1" a="1"/>
  <c r="X110" i="1" a="1"/>
  <c r="W123" i="1" a="1"/>
  <c r="AA111" i="1" a="1"/>
  <c r="S96" i="1" a="1"/>
  <c r="C136" i="1" a="1"/>
  <c r="V138" i="1" a="1"/>
  <c r="E124" i="1" a="1"/>
  <c r="C134" i="1" a="1"/>
  <c r="F118" i="1" a="1"/>
  <c r="R152" i="1" a="1"/>
  <c r="Y135" i="1" a="1"/>
  <c r="R123" i="1" a="1"/>
  <c r="U115" i="1" a="1"/>
  <c r="L124" i="1" a="1"/>
  <c r="D171" i="1" a="1"/>
  <c r="W137" i="1" a="1"/>
  <c r="D154" i="1" a="1"/>
  <c r="S128" i="1" a="1"/>
  <c r="P121" i="1" a="1"/>
  <c r="R132" i="1" a="1"/>
  <c r="V105" i="1" a="1"/>
  <c r="K117" i="1" a="1"/>
  <c r="G105" i="1" a="1"/>
  <c r="L94" i="1" a="1"/>
  <c r="S89" i="1" a="1"/>
  <c r="Z125" i="1" a="1"/>
  <c r="R103" i="1" a="1"/>
  <c r="D144" i="1" a="1"/>
  <c r="N116" i="1" a="1"/>
  <c r="AA103" i="1" a="1"/>
  <c r="S94" i="1" a="1"/>
  <c r="Z89" i="1" a="1"/>
  <c r="F85" i="1" a="1"/>
  <c r="M116" i="1" a="1"/>
  <c r="J104" i="1" a="1"/>
  <c r="X162" i="1" a="1"/>
  <c r="Y114" i="1" a="1"/>
  <c r="K101" i="1" a="1"/>
  <c r="D139" i="1" a="1"/>
  <c r="N113" i="1" a="1"/>
  <c r="M102" i="1" a="1"/>
  <c r="D131" i="1" a="1"/>
  <c r="D114" i="1" a="1"/>
  <c r="C114" i="1" a="1"/>
  <c r="G104" i="1" a="1"/>
  <c r="N213" i="1" a="1"/>
  <c r="L203" i="1" a="1"/>
  <c r="Z206" i="1" a="1"/>
  <c r="H204" i="1" a="1"/>
  <c r="A192" i="1" a="1"/>
  <c r="N200" i="1" a="1"/>
  <c r="T192" i="1" a="1"/>
  <c r="C198" i="1" a="1"/>
  <c r="Z191" i="1" a="1"/>
  <c r="AA197" i="1" a="1"/>
  <c r="T207" i="1" a="1"/>
  <c r="L195" i="1" a="1"/>
  <c r="M175" i="1" a="1"/>
  <c r="R181" i="1" a="1"/>
  <c r="O193" i="1" a="1"/>
  <c r="I205" i="1" a="1"/>
  <c r="L196" i="1" a="1"/>
  <c r="Y213" i="1" a="1"/>
  <c r="L212" i="1" a="1"/>
  <c r="L181" i="1" a="1"/>
  <c r="AA210" i="1" a="1"/>
  <c r="L176" i="1" a="1"/>
  <c r="U171" i="1" a="1"/>
  <c r="X203" i="1" a="1"/>
  <c r="X166" i="1" a="1"/>
  <c r="E187" i="1" a="1"/>
  <c r="V161" i="1" a="1"/>
  <c r="H178" i="1" a="1"/>
  <c r="F160" i="1" a="1"/>
  <c r="E168" i="1" a="1"/>
  <c r="R191" i="1" a="1"/>
  <c r="L160" i="1" a="1"/>
  <c r="F196" i="1" a="1"/>
  <c r="Y185" i="1" a="1"/>
  <c r="Q180" i="1" a="1"/>
  <c r="J151" i="1" a="1"/>
  <c r="V148" i="1" a="1"/>
  <c r="R175" i="1" a="1"/>
  <c r="L185" i="1" a="1"/>
  <c r="Q145" i="1" a="1"/>
  <c r="H153" i="1" a="1"/>
  <c r="F162" i="1" a="1"/>
  <c r="T140" i="1" a="1"/>
  <c r="A149" i="1" a="1"/>
  <c r="R179" i="1" a="1"/>
  <c r="F200" i="1" a="1"/>
  <c r="O144" i="1" a="1"/>
  <c r="Q167" i="1" a="1"/>
  <c r="M153" i="1" a="1"/>
  <c r="W148" i="1" a="1"/>
  <c r="Z144" i="1" a="1"/>
  <c r="V129" i="1" a="1"/>
  <c r="Y145" i="1" a="1"/>
  <c r="P148" i="1" a="1"/>
  <c r="L140" i="1" a="1"/>
  <c r="D129" i="1" a="1"/>
  <c r="D141" i="1" a="1"/>
  <c r="J156" i="1" a="1"/>
  <c r="N138" i="1" a="1"/>
  <c r="V130" i="1" a="1"/>
  <c r="Z136" i="1" a="1"/>
  <c r="T118" i="1" a="1"/>
  <c r="F136" i="1" a="1"/>
  <c r="D115" i="1" a="1"/>
  <c r="V95" i="1" a="1"/>
  <c r="M128" i="1" a="1"/>
  <c r="A127" i="1" a="1"/>
  <c r="N133" i="1" a="1"/>
  <c r="G114" i="1" a="1"/>
  <c r="X127" i="1" a="1"/>
  <c r="H123" i="1" a="1"/>
  <c r="X137" i="1" a="1"/>
  <c r="C118" i="1" a="1"/>
  <c r="I133" i="1" a="1"/>
  <c r="A140" i="1" a="1"/>
  <c r="P123" i="1" a="1"/>
  <c r="D132" i="1" a="1"/>
  <c r="U131" i="1" a="1"/>
  <c r="C109" i="1" a="1"/>
  <c r="D94" i="1" a="1"/>
  <c r="F88" i="1" a="1"/>
  <c r="I107" i="1" a="1"/>
  <c r="E135" i="1" a="1"/>
  <c r="J112" i="1" a="1"/>
  <c r="W97" i="1" a="1"/>
  <c r="R89" i="1" a="1"/>
  <c r="N139" i="1" a="1"/>
  <c r="H107" i="1" a="1"/>
  <c r="C133" i="1" a="1"/>
  <c r="B111" i="1" a="1"/>
  <c r="H95" i="1" a="1"/>
  <c r="Y112" i="1" a="1"/>
  <c r="P99" i="1" a="1"/>
  <c r="X117" i="1" a="1"/>
  <c r="W112" i="1" a="1"/>
  <c r="AA100" i="1" a="1"/>
  <c r="I122" i="1" a="1"/>
  <c r="M105" i="1" a="1"/>
  <c r="X94" i="1" a="1"/>
  <c r="I110" i="1" a="1"/>
  <c r="K98" i="1" a="1"/>
  <c r="B120" i="1" a="1"/>
  <c r="B112" i="1" a="1"/>
  <c r="C113" i="1" a="1"/>
  <c r="Q85" i="1" a="1"/>
  <c r="X112" i="1" a="1"/>
  <c r="M92" i="1" a="1"/>
  <c r="S80" i="1" a="1"/>
  <c r="G65" i="1" a="1"/>
  <c r="M58" i="1" a="1"/>
  <c r="J107" i="1" a="1"/>
  <c r="M83" i="1" a="1"/>
  <c r="AA73" i="1" a="1"/>
  <c r="V119" i="1" a="1"/>
  <c r="Y93" i="1" a="1"/>
  <c r="S84" i="1" a="1"/>
  <c r="Y104" i="1" a="1"/>
  <c r="O85" i="1" a="1"/>
  <c r="R78" i="1" a="1"/>
  <c r="I72" i="1" a="1"/>
  <c r="S62" i="1" a="1"/>
  <c r="N100" i="1" a="1"/>
  <c r="M94" i="1" a="1"/>
  <c r="P80" i="1" a="1"/>
  <c r="C71" i="1" a="1"/>
  <c r="I62" i="1" a="1"/>
  <c r="S99" i="1" a="1"/>
  <c r="A88" i="1" a="1"/>
  <c r="AA101" i="1" a="1"/>
  <c r="S83" i="1" a="1"/>
  <c r="J77" i="1" a="1"/>
  <c r="A132" i="1" a="1"/>
  <c r="R93" i="1" a="1"/>
  <c r="N80" i="1" a="1"/>
  <c r="E100" i="1" a="1"/>
  <c r="Z87" i="1" a="1"/>
  <c r="C78" i="1" a="1"/>
  <c r="C93" i="1" a="1"/>
  <c r="Q81" i="1" a="1"/>
  <c r="W120" i="1" a="1"/>
  <c r="V87" i="1" a="1"/>
  <c r="L78" i="1" a="1"/>
  <c r="F213" i="1" a="1"/>
  <c r="W202" i="1" a="1"/>
  <c r="R206" i="1" a="1"/>
  <c r="C202" i="1" a="1"/>
  <c r="I191" i="1" a="1"/>
  <c r="S199" i="1" a="1"/>
  <c r="AA191" i="1" a="1"/>
  <c r="R197" i="1" a="1"/>
  <c r="F191" i="1" a="1"/>
  <c r="Q195" i="1" a="1"/>
  <c r="V206" i="1" a="1"/>
  <c r="S194" i="1" a="1"/>
  <c r="D175" i="1" a="1"/>
  <c r="W178" i="1" a="1"/>
  <c r="M190" i="1" a="1"/>
  <c r="B203" i="1" a="1"/>
  <c r="W195" i="1" a="1"/>
  <c r="R208" i="1" a="1"/>
  <c r="E211" i="1" a="1"/>
  <c r="J180" i="1" a="1"/>
  <c r="T209" i="1" a="1"/>
  <c r="Z175" i="1" a="1"/>
  <c r="I171" i="1" a="1"/>
  <c r="C197" i="1" a="1"/>
  <c r="G166" i="1" a="1"/>
  <c r="L186" i="1" a="1"/>
  <c r="E161" i="1" a="1"/>
  <c r="V177" i="1" a="1"/>
  <c r="Z158" i="1" a="1"/>
  <c r="W212" i="1" a="1"/>
  <c r="S190" i="1" a="1"/>
  <c r="C160" i="1" a="1"/>
  <c r="P192" i="1" a="1"/>
  <c r="M211" i="1" a="1"/>
  <c r="AA176" i="1" a="1"/>
  <c r="M149" i="1" a="1"/>
  <c r="E148" i="1" a="1"/>
  <c r="M172" i="1" a="1"/>
  <c r="Q182" i="1" a="1"/>
  <c r="H145" i="1" a="1"/>
  <c r="Z152" i="1" a="1"/>
  <c r="N158" i="1" a="1"/>
  <c r="P193" i="1" a="1"/>
  <c r="K148" i="1" a="1"/>
  <c r="Q178" i="1" a="1"/>
  <c r="V181" i="1" a="1"/>
  <c r="I143" i="1" a="1"/>
  <c r="R166" i="1" a="1"/>
  <c r="D153" i="1" a="1"/>
  <c r="F148" i="1" a="1"/>
  <c r="AA142" i="1" a="1"/>
  <c r="N129" i="1" a="1"/>
  <c r="K144" i="1" a="1"/>
  <c r="AA147" i="1" a="1"/>
  <c r="S139" i="1" a="1"/>
  <c r="O128" i="1" a="1"/>
  <c r="AA139" i="1" a="1"/>
  <c r="W152" i="1" a="1"/>
  <c r="F138" i="1" a="1"/>
  <c r="F130" i="1" a="1"/>
  <c r="D133" i="1" a="1"/>
  <c r="I118" i="1" a="1"/>
  <c r="N135" i="1" a="1"/>
  <c r="J114" i="1" a="1"/>
  <c r="F95" i="1" a="1"/>
  <c r="Q126" i="1" a="1"/>
  <c r="T125" i="1" a="1"/>
  <c r="X130" i="1" a="1"/>
  <c r="B113" i="1" a="1"/>
  <c r="W171" i="1" a="1"/>
  <c r="X122" i="1" a="1"/>
  <c r="G137" i="1" a="1"/>
  <c r="I117" i="1" a="1"/>
  <c r="V132" i="1" a="1"/>
  <c r="C137" i="1" a="1"/>
  <c r="E123" i="1" a="1"/>
  <c r="Q131" i="1" a="1"/>
  <c r="R128" i="1" a="1"/>
  <c r="E108" i="1" a="1"/>
  <c r="W93" i="1" a="1"/>
  <c r="Y87" i="1" a="1"/>
  <c r="Y106" i="1" a="1"/>
  <c r="G133" i="1" a="1"/>
  <c r="U111" i="1" a="1"/>
  <c r="F97" i="1" a="1"/>
  <c r="J89" i="1" a="1"/>
  <c r="F133" i="1" a="1"/>
  <c r="V106" i="1" a="1"/>
  <c r="J131" i="1" a="1"/>
  <c r="N110" i="1" a="1"/>
  <c r="R94" i="1" a="1"/>
  <c r="R111" i="1" a="1"/>
  <c r="F99" i="1" a="1"/>
  <c r="C117" i="1" a="1"/>
  <c r="E112" i="1" a="1"/>
  <c r="Q100" i="1" a="1"/>
  <c r="G121" i="1" a="1"/>
  <c r="A105" i="1" a="1"/>
  <c r="P94" i="1" a="1"/>
  <c r="W109" i="1" a="1"/>
  <c r="K97" i="1" a="1"/>
  <c r="G119" i="1" a="1"/>
  <c r="K111" i="1" a="1"/>
  <c r="U109" i="1" a="1"/>
  <c r="E85" i="1" a="1"/>
  <c r="I111" i="1" a="1"/>
  <c r="AA91" i="1" a="1"/>
  <c r="N79" i="1" a="1"/>
  <c r="X64" i="1" a="1"/>
  <c r="E58" i="1" a="1"/>
  <c r="E106" i="1" a="1"/>
  <c r="R82" i="1" a="1"/>
  <c r="E73" i="1" a="1"/>
  <c r="N114" i="1" a="1"/>
  <c r="J93" i="1" a="1"/>
  <c r="L83" i="1" a="1"/>
  <c r="X103" i="1" a="1"/>
  <c r="B85" i="1" a="1"/>
  <c r="G78" i="1" a="1"/>
  <c r="Z71" i="1" a="1"/>
  <c r="J62" i="1" a="1"/>
  <c r="I127" i="1" a="1"/>
  <c r="V92" i="1" a="1"/>
  <c r="F80" i="1" a="1"/>
  <c r="T70" i="1" a="1"/>
  <c r="AA61" i="1" a="1"/>
  <c r="T98" i="1" a="1"/>
  <c r="Q87" i="1" a="1"/>
  <c r="F101" i="1" a="1"/>
  <c r="H83" i="1" a="1"/>
  <c r="AA76" i="1" a="1"/>
  <c r="C126" i="1" a="1"/>
  <c r="D93" i="1" a="1"/>
  <c r="Y131" i="1" a="1"/>
  <c r="K99" i="1" a="1"/>
  <c r="M87" i="1" a="1"/>
  <c r="S77" i="1" a="1"/>
  <c r="R91" i="1" a="1"/>
  <c r="F81" i="1" a="1"/>
  <c r="Q117" i="1" a="1"/>
  <c r="K87" i="1" a="1"/>
  <c r="Q77" i="1" a="1"/>
  <c r="W210" i="1" a="1"/>
  <c r="U213" i="1" a="1"/>
  <c r="R213" i="1" a="1"/>
  <c r="E198" i="1" a="1"/>
  <c r="H214" i="1" a="1"/>
  <c r="Z196" i="1" a="1"/>
  <c r="K208" i="1" a="1"/>
  <c r="L193" i="1" a="1"/>
  <c r="R211" i="1" a="1"/>
  <c r="O191" i="1" a="1"/>
  <c r="L204" i="1" a="1"/>
  <c r="B186" i="1" a="1"/>
  <c r="S196" i="1" a="1"/>
  <c r="B172" i="1" a="1"/>
  <c r="Q185" i="1" a="1"/>
  <c r="L190" i="1" a="1"/>
  <c r="W188" i="1" a="1"/>
  <c r="G192" i="1" a="1"/>
  <c r="V200" i="1" a="1"/>
  <c r="X199" i="1" a="1"/>
  <c r="G196" i="1" a="1"/>
  <c r="Y203" i="1" a="1"/>
  <c r="P167" i="1" a="1"/>
  <c r="P183" i="1" a="1"/>
  <c r="J158" i="1" a="1"/>
  <c r="I178" i="1" a="1"/>
  <c r="S157" i="1" a="1"/>
  <c r="A173" i="1" a="1"/>
  <c r="W191" i="1" a="1"/>
  <c r="V184" i="1" a="1"/>
  <c r="S180" i="1" a="1"/>
  <c r="P157" i="1" a="1"/>
  <c r="P179" i="1" a="1"/>
  <c r="L182" i="1" a="1"/>
  <c r="Z166" i="1" a="1"/>
  <c r="V189" i="1" a="1"/>
  <c r="S144" i="1" a="1"/>
  <c r="J168" i="1" a="1"/>
  <c r="V166" i="1" a="1"/>
  <c r="S177" i="1" a="1"/>
  <c r="H151" i="1" a="1"/>
  <c r="AA153" i="1" a="1"/>
  <c r="Z163" i="1" a="1"/>
  <c r="K193" i="1" a="1"/>
  <c r="K169" i="1" a="1"/>
  <c r="T168" i="1" a="1"/>
  <c r="W141" i="1" a="1"/>
  <c r="N179" i="1" a="1"/>
  <c r="L167" i="1" a="1"/>
  <c r="L144" i="1" a="1"/>
  <c r="I136" i="1" a="1"/>
  <c r="J153" i="1" a="1"/>
  <c r="J138" i="1" a="1"/>
  <c r="A142" i="1" a="1"/>
  <c r="O136" i="1" a="1"/>
  <c r="E126" i="1" a="1"/>
  <c r="H147" i="1" a="1"/>
  <c r="E144" i="1" a="1"/>
  <c r="A137" i="1" a="1"/>
  <c r="V151" i="1" a="1"/>
  <c r="H126" i="1" a="1"/>
  <c r="P115" i="1" a="1"/>
  <c r="A131" i="1" a="1"/>
  <c r="F111" i="1" a="1"/>
  <c r="F151" i="1" a="1"/>
  <c r="I149" i="1" a="1"/>
  <c r="E122" i="1" a="1"/>
  <c r="P126" i="1" a="1"/>
  <c r="Z108" i="1" a="1"/>
  <c r="J132" i="1" a="1"/>
  <c r="C120" i="1" a="1"/>
  <c r="U128" i="1" a="1"/>
  <c r="A171" i="1" a="1"/>
  <c r="H127" i="1" a="1"/>
  <c r="R130" i="1" a="1"/>
  <c r="V120" i="1" a="1"/>
  <c r="T126" i="1" a="1"/>
  <c r="T120" i="1" a="1"/>
  <c r="I103" i="1" a="1"/>
  <c r="R92" i="1" a="1"/>
  <c r="R131" i="1" a="1"/>
  <c r="O102" i="1" a="1"/>
  <c r="Y125" i="1" a="1"/>
  <c r="L106" i="1" a="1"/>
  <c r="C94" i="1" a="1"/>
  <c r="E88" i="1" a="1"/>
  <c r="Q119" i="1" a="1"/>
  <c r="P103" i="1" a="1"/>
  <c r="S125" i="1" a="1"/>
  <c r="I104" i="1" a="1"/>
  <c r="Z132" i="1" a="1"/>
  <c r="M108" i="1" a="1"/>
  <c r="P95" i="1" a="1"/>
  <c r="T132" i="1" a="1"/>
  <c r="X109" i="1" a="1"/>
  <c r="V96" i="1" a="1"/>
  <c r="F116" i="1" a="1"/>
  <c r="K102" i="1" a="1"/>
  <c r="W130" i="1" a="1"/>
  <c r="S106" i="1" a="1"/>
  <c r="V146" i="1" a="1"/>
  <c r="O127" i="1" a="1"/>
  <c r="M107" i="1" a="1"/>
  <c r="Q101" i="1" a="1"/>
  <c r="C83" i="1" a="1"/>
  <c r="P101" i="1" a="1"/>
  <c r="Q89" i="1" a="1"/>
  <c r="U74" i="1" a="1"/>
  <c r="L62" i="1" a="1"/>
  <c r="AA56" i="1" a="1"/>
  <c r="K93" i="1" a="1"/>
  <c r="H80" i="1" a="1"/>
  <c r="V70" i="1" a="1"/>
  <c r="G108" i="1" a="1"/>
  <c r="AA90" i="1" a="1"/>
  <c r="B81" i="1" a="1"/>
  <c r="C98" i="1" a="1"/>
  <c r="AA82" i="1" a="1"/>
  <c r="S76" i="1" a="1"/>
  <c r="J70" i="1" a="1"/>
  <c r="V133" i="1" a="1"/>
  <c r="Y113" i="1" a="1"/>
  <c r="B88" i="1" a="1"/>
  <c r="W77" i="1" a="1"/>
  <c r="U68" i="1" a="1"/>
  <c r="W113" i="1" a="1"/>
  <c r="C95" i="1" a="1"/>
  <c r="AA140" i="1" a="1"/>
  <c r="G210" i="1" a="1"/>
  <c r="X212" i="1" a="1"/>
  <c r="X214" i="1" a="1"/>
  <c r="AA196" i="1" a="1"/>
  <c r="G212" i="1" a="1"/>
  <c r="Z194" i="1" a="1"/>
  <c r="L207" i="1" a="1"/>
  <c r="Q191" i="1" a="1"/>
  <c r="I208" i="1" a="1"/>
  <c r="C190" i="1" a="1"/>
  <c r="M201" i="1" a="1"/>
  <c r="G184" i="1" a="1"/>
  <c r="C194" i="1" a="1"/>
  <c r="A213" i="1" a="1"/>
  <c r="E184" i="1" a="1"/>
  <c r="N188" i="1" a="1"/>
  <c r="A187" i="1" a="1"/>
  <c r="P186" i="1" a="1"/>
  <c r="Q197" i="1" a="1"/>
  <c r="I198" i="1" a="1"/>
  <c r="R207" i="1" a="1"/>
  <c r="P195" i="1" a="1"/>
  <c r="P166" i="1" a="1"/>
  <c r="W179" i="1" a="1"/>
  <c r="K157" i="1" a="1"/>
  <c r="X175" i="1" a="1"/>
  <c r="AA200" i="1" a="1"/>
  <c r="R171" i="1" a="1"/>
  <c r="F189" i="1" a="1"/>
  <c r="S179" i="1" a="1"/>
  <c r="Q177" i="1" a="1"/>
  <c r="I156" i="1" a="1"/>
  <c r="C176" i="1" a="1"/>
  <c r="B181" i="1" a="1"/>
  <c r="K161" i="1" a="1"/>
  <c r="K168" i="1" a="1"/>
  <c r="U143" i="1" a="1"/>
  <c r="O164" i="1" a="1"/>
  <c r="A165" i="1" a="1"/>
  <c r="J173" i="1" a="1"/>
  <c r="I150" i="1" a="1"/>
  <c r="AA149" i="1" a="1"/>
  <c r="E162" i="1" a="1"/>
  <c r="O176" i="1" a="1"/>
  <c r="B162" i="1" a="1"/>
  <c r="C167" i="1" a="1"/>
  <c r="G141" i="1" a="1"/>
  <c r="W172" i="1" a="1"/>
  <c r="C165" i="1" a="1"/>
  <c r="N143" i="1" a="1"/>
  <c r="L135" i="1" a="1"/>
  <c r="Q148" i="1" a="1"/>
  <c r="X136" i="1" a="1"/>
  <c r="H164" i="1" a="1"/>
  <c r="R135" i="1" a="1"/>
  <c r="X172" i="1" a="1"/>
  <c r="G143" i="1" a="1"/>
  <c r="F139" i="1" a="1"/>
  <c r="L136" i="1" a="1"/>
  <c r="M145" i="1" a="1"/>
  <c r="L125" i="1" a="1"/>
  <c r="K114" i="1" a="1"/>
  <c r="Q124" i="1" a="1"/>
  <c r="K109" i="1" a="1"/>
  <c r="P146" i="1" a="1"/>
  <c r="R139" i="1" a="1"/>
  <c r="AA120" i="1" a="1"/>
  <c r="I125" i="1" a="1"/>
  <c r="V158" i="1" a="1"/>
  <c r="I131" i="1" a="1"/>
  <c r="Y118" i="1" a="1"/>
  <c r="F125" i="1" a="1"/>
  <c r="Z157" i="1" a="1"/>
  <c r="AA125" i="1" a="1"/>
  <c r="E129" i="1" a="1"/>
  <c r="M157" i="1" a="1"/>
  <c r="O110" i="1" a="1"/>
  <c r="E118" i="1" a="1"/>
  <c r="F102" i="1" a="1"/>
  <c r="B92" i="1" a="1"/>
  <c r="C127" i="1" a="1"/>
  <c r="C101" i="1" a="1"/>
  <c r="S123" i="1" a="1"/>
  <c r="V104" i="1" a="1"/>
  <c r="N93" i="1" a="1"/>
  <c r="P87" i="1" a="1"/>
  <c r="G117" i="1" a="1"/>
  <c r="N102" i="1" a="1"/>
  <c r="Q123" i="1" a="1"/>
  <c r="D102" i="1" a="1"/>
  <c r="D128" i="1" a="1"/>
  <c r="U106" i="1" a="1"/>
  <c r="H148" i="1" a="1"/>
  <c r="Y127" i="1" a="1"/>
  <c r="W108" i="1" a="1"/>
  <c r="O95" i="1" a="1"/>
  <c r="T114" i="1" a="1"/>
  <c r="I101" i="1" a="1"/>
  <c r="O126" i="1" a="1"/>
  <c r="AA104" i="1" a="1"/>
  <c r="L138" i="1" a="1"/>
  <c r="A120" i="1" a="1"/>
  <c r="J105" i="1" a="1"/>
  <c r="AA93" i="1" a="1"/>
  <c r="I82" i="1" a="1"/>
  <c r="Y99" i="1" a="1"/>
  <c r="G88" i="1" a="1"/>
  <c r="K72" i="1" a="1"/>
  <c r="D61" i="1" a="1"/>
  <c r="T128" i="1" a="1"/>
  <c r="A91" i="1" a="1"/>
  <c r="C79" i="1" a="1"/>
  <c r="Q69" i="1" a="1"/>
  <c r="D106" i="1" a="1"/>
  <c r="B90" i="1" a="1"/>
  <c r="X79" i="1" a="1"/>
  <c r="N94" i="1" a="1"/>
  <c r="F82" i="1" a="1"/>
  <c r="X75" i="1" a="1"/>
  <c r="P69" i="1" a="1"/>
  <c r="E119" i="1" a="1"/>
  <c r="T110" i="1" a="1"/>
  <c r="U86" i="1" a="1"/>
  <c r="R76" i="1" a="1"/>
  <c r="S67" i="1" a="1"/>
  <c r="S110" i="1" a="1"/>
  <c r="H93" i="1" a="1"/>
  <c r="Y212" i="1" a="1"/>
  <c r="AA211" i="1" a="1"/>
  <c r="A208" i="1" a="1"/>
  <c r="Z190" i="1" a="1"/>
  <c r="M207" i="1" a="1"/>
  <c r="M200" i="1" a="1"/>
  <c r="T214" i="1" a="1"/>
  <c r="K205" i="1" a="1"/>
  <c r="H202" i="1" a="1"/>
  <c r="V174" i="1" a="1"/>
  <c r="I200" i="1" a="1"/>
  <c r="J172" i="1" a="1"/>
  <c r="P194" i="1" a="1"/>
  <c r="W185" i="1" a="1"/>
  <c r="A188" i="1" a="1"/>
  <c r="P208" i="1" a="1"/>
  <c r="F193" i="1" a="1"/>
  <c r="C157" i="1" a="1"/>
  <c r="C163" i="1" a="1"/>
  <c r="B173" i="1" a="1"/>
  <c r="A190" i="1" a="1"/>
  <c r="Q200" i="1" a="1"/>
  <c r="O209" i="1" a="1"/>
  <c r="V168" i="1" a="1"/>
  <c r="Q190" i="1" a="1"/>
  <c r="K179" i="1" a="1"/>
  <c r="K153" i="1" a="1"/>
  <c r="O147" i="1" a="1"/>
  <c r="Y160" i="1" a="1"/>
  <c r="AA150" i="1" a="1"/>
  <c r="Q152" i="1" a="1"/>
  <c r="X145" i="1" a="1"/>
  <c r="G152" i="1" a="1"/>
  <c r="O177" i="1" a="1"/>
  <c r="G165" i="1" a="1"/>
  <c r="E171" i="1" a="1"/>
  <c r="K196" i="1" a="1"/>
  <c r="M167" i="1" a="1"/>
  <c r="P131" i="1" a="1"/>
  <c r="X143" i="1" a="1"/>
  <c r="T159" i="1" a="1"/>
  <c r="V131" i="1" a="1"/>
  <c r="D181" i="1" a="1"/>
  <c r="X171" i="1" a="1"/>
  <c r="P132" i="1" a="1"/>
  <c r="O129" i="1" a="1"/>
  <c r="F113" i="1" a="1"/>
  <c r="B121" i="1" a="1"/>
  <c r="G179" i="1" a="1"/>
  <c r="D138" i="1" a="1"/>
  <c r="P143" i="1" a="1"/>
  <c r="X111" i="1" a="1"/>
  <c r="U130" i="1" a="1"/>
  <c r="P114" i="1" a="1"/>
  <c r="Y116" i="1" a="1"/>
  <c r="Q110" i="1" a="1"/>
  <c r="J126" i="1" a="1"/>
  <c r="B131" i="1" a="1"/>
  <c r="P116" i="1" a="1"/>
  <c r="G97" i="1" a="1"/>
  <c r="E169" i="1" a="1"/>
  <c r="K100" i="1" a="1"/>
  <c r="S115" i="1" a="1"/>
  <c r="P96" i="1" a="1"/>
  <c r="S86" i="1" a="1"/>
  <c r="I112" i="1" a="1"/>
  <c r="S129" i="1" a="1"/>
  <c r="S100" i="1" a="1"/>
  <c r="AA117" i="1" a="1"/>
  <c r="W98" i="1" a="1"/>
  <c r="N125" i="1" a="1"/>
  <c r="W103" i="1" a="1"/>
  <c r="P118" i="1" a="1"/>
  <c r="P100" i="1" a="1"/>
  <c r="J113" i="1" a="1"/>
  <c r="U96" i="1" a="1"/>
  <c r="F119" i="1" a="1"/>
  <c r="C124" i="1" a="1"/>
  <c r="J84" i="1" a="1"/>
  <c r="B99" i="1" a="1"/>
  <c r="T84" i="1" a="1"/>
  <c r="L63" i="1" a="1"/>
  <c r="AA123" i="1" a="1"/>
  <c r="AA85" i="1" a="1"/>
  <c r="V72" i="1" a="1"/>
  <c r="B104" i="1" a="1"/>
  <c r="G87" i="1" a="1"/>
  <c r="B103" i="1" a="1"/>
  <c r="V81" i="1" a="1"/>
  <c r="Y73" i="1" a="1"/>
  <c r="A62" i="1" a="1"/>
  <c r="G109" i="1" a="1"/>
  <c r="Z82" i="1" a="1"/>
  <c r="Y69" i="1" a="1"/>
  <c r="E109" i="1" a="1"/>
  <c r="K90" i="1" a="1"/>
  <c r="Z102" i="1" a="1"/>
  <c r="N82" i="1" a="1"/>
  <c r="K75" i="1" a="1"/>
  <c r="R106" i="1" a="1"/>
  <c r="Z84" i="1" a="1"/>
  <c r="M104" i="1" a="1"/>
  <c r="V89" i="1" a="1"/>
  <c r="X78" i="1" a="1"/>
  <c r="H89" i="1" a="1"/>
  <c r="R79" i="1" a="1"/>
  <c r="E104" i="1" a="1"/>
  <c r="J82" i="1" a="1"/>
  <c r="S71" i="1" a="1"/>
  <c r="L107" i="1" a="1"/>
  <c r="T89" i="1" a="1"/>
  <c r="P79" i="1" a="1"/>
  <c r="R84" i="1" a="1"/>
  <c r="T65" i="1" a="1"/>
  <c r="D57" i="1" a="1"/>
  <c r="B52" i="1" a="1"/>
  <c r="E94" i="1" a="1"/>
  <c r="H91" i="1" a="1"/>
  <c r="T68" i="1" a="1"/>
  <c r="S93" i="1" a="1"/>
  <c r="F68" i="1" a="1"/>
  <c r="K57" i="1" a="1"/>
  <c r="C72" i="1" a="1"/>
  <c r="H60" i="1" a="1"/>
  <c r="E53" i="1" a="1"/>
  <c r="W73" i="1" a="1"/>
  <c r="B93" i="1" a="1"/>
  <c r="K74" i="1" a="1"/>
  <c r="N59" i="1" a="1"/>
  <c r="T73" i="1" a="1"/>
  <c r="V62" i="1" a="1"/>
  <c r="G54" i="1" a="1"/>
  <c r="AA72" i="1" a="1"/>
  <c r="V60" i="1" a="1"/>
  <c r="G71" i="1" a="1"/>
  <c r="L60" i="1" a="1"/>
  <c r="Y53" i="1" a="1"/>
  <c r="I59" i="1" a="1"/>
  <c r="S44" i="1" a="1"/>
  <c r="Q39" i="1" a="1"/>
  <c r="X34" i="1" a="1"/>
  <c r="D100" i="1" a="1"/>
  <c r="T53" i="1" a="1"/>
  <c r="W64" i="1" a="1"/>
  <c r="K80" i="1" a="1"/>
  <c r="Q54" i="1" a="1"/>
  <c r="W85" i="1" a="1"/>
  <c r="R51" i="1" a="1"/>
  <c r="V42" i="1" a="1"/>
  <c r="B38" i="1" a="1"/>
  <c r="I33" i="1" a="1"/>
  <c r="T59" i="1" a="1"/>
  <c r="H47" i="1" a="1"/>
  <c r="X56" i="1" a="1"/>
  <c r="X45" i="1" a="1"/>
  <c r="Z57" i="1" a="1"/>
  <c r="W44" i="1" a="1"/>
  <c r="U71" i="1" a="1"/>
  <c r="Y51" i="1" a="1"/>
  <c r="T71" i="1" a="1"/>
  <c r="Q48" i="1" a="1"/>
  <c r="C42" i="1" a="1"/>
  <c r="K54" i="1" a="1"/>
  <c r="M82" i="1" a="1"/>
  <c r="G56" i="1" a="1"/>
  <c r="D44" i="1" a="1"/>
  <c r="G67" i="1" a="1"/>
  <c r="P49" i="1" a="1"/>
  <c r="P41" i="1" a="1"/>
  <c r="V31" i="1" a="1"/>
  <c r="L46" i="1" a="1"/>
  <c r="D34" i="1" a="1"/>
  <c r="W25" i="1" a="1"/>
  <c r="Q50" i="1" a="1"/>
  <c r="C34" i="1" a="1"/>
  <c r="W23" i="1" a="1"/>
  <c r="J14" i="1" a="1"/>
  <c r="H16" i="1" a="1"/>
  <c r="D4" i="1" a="1"/>
  <c r="P40" i="1" a="1"/>
  <c r="C31" i="1" a="1"/>
  <c r="W21" i="1" a="1"/>
  <c r="Z2" i="1" a="1"/>
  <c r="O30" i="1" a="1"/>
  <c r="N15" i="1" a="1"/>
  <c r="F35" i="1" a="1"/>
  <c r="Z24" i="1" a="1"/>
  <c r="Z39" i="1" a="1"/>
  <c r="Y24" i="1" a="1"/>
  <c r="L15" i="1" a="1"/>
  <c r="A44" i="1" a="1"/>
  <c r="U32" i="1" a="1"/>
  <c r="V39" i="1" a="1"/>
  <c r="Q68" i="1" a="1"/>
  <c r="A35" i="1" a="1"/>
  <c r="V43" i="1" a="1"/>
  <c r="Q32" i="1" a="1"/>
  <c r="G62" i="1" a="1"/>
  <c r="D36" i="1" a="1"/>
  <c r="P27" i="1" a="1"/>
  <c r="B18" i="1" a="1"/>
  <c r="Q8" i="1" a="1"/>
  <c r="X28" i="1" a="1"/>
  <c r="J11" i="1" a="1"/>
  <c r="H37" i="1" a="1"/>
  <c r="T26" i="1" a="1"/>
  <c r="U30" i="1" a="1"/>
  <c r="J22" i="1" a="1"/>
  <c r="F66" i="1" a="1"/>
  <c r="A36" i="1" a="1"/>
  <c r="M25" i="1" a="1"/>
  <c r="AA15" i="1" a="1"/>
  <c r="D16" i="1" a="1"/>
  <c r="L3" i="1" a="1"/>
  <c r="H25" i="1" a="1"/>
  <c r="H10" i="1" a="1"/>
  <c r="AA7" i="1" a="1"/>
  <c r="S20" i="1" a="1"/>
  <c r="A19" i="1" a="1"/>
  <c r="I6" i="1" a="1"/>
  <c r="K4" i="1" a="1"/>
  <c r="F14" i="1" a="1"/>
  <c r="O20" i="1" a="1"/>
  <c r="Y2" i="1" a="1"/>
  <c r="J19" i="1" a="1"/>
  <c r="K13" i="1" a="1"/>
  <c r="J13" i="1" a="1"/>
  <c r="B26" i="1" a="1"/>
  <c r="Z9" i="1" a="1"/>
  <c r="Q12" i="1" a="1"/>
  <c r="G23" i="1" a="1"/>
  <c r="U8" i="1" a="1"/>
  <c r="W13" i="1" a="1"/>
  <c r="S25" i="1" a="1"/>
  <c r="N10" i="1" a="1"/>
  <c r="F16" i="1" a="1"/>
  <c r="P14" i="1" a="1"/>
  <c r="K2" i="1" a="1"/>
  <c r="I212" i="1" a="1"/>
  <c r="S211" i="1" a="1"/>
  <c r="C207" i="1" a="1"/>
  <c r="F190" i="1" a="1"/>
  <c r="E204" i="1" a="1"/>
  <c r="A200" i="1" a="1"/>
  <c r="E214" i="1" a="1"/>
  <c r="T202" i="1" a="1"/>
  <c r="P199" i="1" a="1"/>
  <c r="I213" i="1" a="1"/>
  <c r="M199" i="1" a="1"/>
  <c r="A172" i="1" a="1"/>
  <c r="N193" i="1" a="1"/>
  <c r="D185" i="1" a="1"/>
  <c r="H187" i="1" a="1"/>
  <c r="Y205" i="1" a="1"/>
  <c r="E192" i="1" a="1"/>
  <c r="W155" i="1" a="1"/>
  <c r="G160" i="1" a="1"/>
  <c r="S171" i="1" a="1"/>
  <c r="O188" i="1" a="1"/>
  <c r="P198" i="1" a="1"/>
  <c r="C195" i="1" a="1"/>
  <c r="K167" i="1" a="1"/>
  <c r="G188" i="1" a="1"/>
  <c r="Z178" i="1" a="1"/>
  <c r="S152" i="1" a="1"/>
  <c r="H146" i="1" a="1"/>
  <c r="K160" i="1" a="1"/>
  <c r="K149" i="1" a="1"/>
  <c r="Z151" i="1" a="1"/>
  <c r="Q144" i="1" a="1"/>
  <c r="Y151" i="1" a="1"/>
  <c r="F175" i="1" a="1"/>
  <c r="M163" i="1" a="1"/>
  <c r="P170" i="1" a="1"/>
  <c r="C178" i="1" a="1"/>
  <c r="N162" i="1" a="1"/>
  <c r="H131" i="1" a="1"/>
  <c r="Z142" i="1" a="1"/>
  <c r="V156" i="1" a="1"/>
  <c r="F131" i="1" a="1"/>
  <c r="D166" i="1" a="1"/>
  <c r="B166" i="1" a="1"/>
  <c r="H132" i="1" a="1"/>
  <c r="Q127" i="1" a="1"/>
  <c r="V112" i="1" a="1"/>
  <c r="H120" i="1" a="1"/>
  <c r="Q166" i="1" a="1"/>
  <c r="T134" i="1" a="1"/>
  <c r="J142" i="1" a="1"/>
  <c r="D111" i="1" a="1"/>
  <c r="G130" i="1" a="1"/>
  <c r="I147" i="1" a="1"/>
  <c r="T115" i="1" a="1"/>
  <c r="O109" i="1" a="1"/>
  <c r="O125" i="1" a="1"/>
  <c r="O130" i="1" a="1"/>
  <c r="V115" i="1" a="1"/>
  <c r="Q96" i="1" a="1"/>
  <c r="B150" i="1" a="1"/>
  <c r="A100" i="1" a="1"/>
  <c r="H114" i="1" a="1"/>
  <c r="I95" i="1" a="1"/>
  <c r="K86" i="1" a="1"/>
  <c r="T111" i="1" a="1"/>
  <c r="E128" i="1" a="1"/>
  <c r="I100" i="1" a="1"/>
  <c r="E117" i="1" a="1"/>
  <c r="M98" i="1" a="1"/>
  <c r="K123" i="1" a="1"/>
  <c r="D103" i="1" a="1"/>
  <c r="U117" i="1" a="1"/>
  <c r="F100" i="1" a="1"/>
  <c r="S112" i="1" a="1"/>
  <c r="D96" i="1" a="1"/>
  <c r="L118" i="1" a="1"/>
  <c r="AA119" i="1" a="1"/>
  <c r="X83" i="1" a="1"/>
  <c r="I98" i="1" a="1"/>
  <c r="H84" i="1" a="1"/>
  <c r="C63" i="1" a="1"/>
  <c r="W119" i="1" a="1"/>
  <c r="P85" i="1" a="1"/>
  <c r="AA71" i="1" a="1"/>
  <c r="O101" i="1" a="1"/>
  <c r="L86" i="1" a="1"/>
  <c r="H102" i="1" a="1"/>
  <c r="L81" i="1" a="1"/>
  <c r="N73" i="1" a="1"/>
  <c r="S61" i="1" a="1"/>
  <c r="W105" i="1" a="1"/>
  <c r="P82" i="1" a="1"/>
  <c r="O69" i="1" a="1"/>
  <c r="A108" i="1" a="1"/>
  <c r="Y89" i="1" a="1"/>
  <c r="O99" i="1" a="1"/>
  <c r="C82" i="1" a="1"/>
  <c r="Y140" i="1" a="1"/>
  <c r="S105" i="1" a="1"/>
  <c r="M84" i="1" a="1"/>
  <c r="N103" i="1" a="1"/>
  <c r="I89" i="1" a="1"/>
  <c r="Y76" i="1" a="1"/>
  <c r="J88" i="1" a="1"/>
  <c r="G79" i="1" a="1"/>
  <c r="K103" i="1" a="1"/>
  <c r="AA81" i="1" a="1"/>
  <c r="I71" i="1" a="1"/>
  <c r="H105" i="1" a="1"/>
  <c r="F89" i="1" a="1"/>
  <c r="E79" i="1" a="1"/>
  <c r="E80" i="1" a="1"/>
  <c r="V64" i="1" a="1"/>
  <c r="N56" i="1" a="1"/>
  <c r="U51" i="1" a="1"/>
  <c r="K91" i="1" a="1"/>
  <c r="W88" i="1" a="1"/>
  <c r="G68" i="1" a="1"/>
  <c r="F91" i="1" a="1"/>
  <c r="E67" i="1" a="1"/>
  <c r="U56" i="1" a="1"/>
  <c r="M71" i="1" a="1"/>
  <c r="Z58" i="1" a="1"/>
  <c r="X52" i="1" a="1"/>
  <c r="H73" i="1" a="1"/>
  <c r="AA87" i="1" a="1"/>
  <c r="U73" i="1" a="1"/>
  <c r="X58" i="1" a="1"/>
  <c r="A73" i="1" a="1"/>
  <c r="O61" i="1" a="1"/>
  <c r="Z53" i="1" a="1"/>
  <c r="L72" i="1" a="1"/>
  <c r="M60" i="1" a="1"/>
  <c r="Q70" i="1" a="1"/>
  <c r="C60" i="1" a="1"/>
  <c r="V91" i="1" a="1"/>
  <c r="R57" i="1" a="1"/>
  <c r="B44" i="1" a="1"/>
  <c r="I39" i="1" a="1"/>
  <c r="P34" i="1" a="1"/>
  <c r="R87" i="1" a="1"/>
  <c r="M52" i="1" a="1"/>
  <c r="T63" i="1" a="1"/>
  <c r="U75" i="1" a="1"/>
  <c r="S53" i="1" a="1"/>
  <c r="I80" i="1" a="1"/>
  <c r="W49" i="1" a="1"/>
  <c r="N42" i="1" a="1"/>
  <c r="U37" i="1" a="1"/>
  <c r="A33" i="1" a="1"/>
  <c r="E59" i="1" a="1"/>
  <c r="Y45" i="1" a="1"/>
  <c r="K56" i="1" a="1"/>
  <c r="O45" i="1" a="1"/>
  <c r="J57" i="1" a="1"/>
  <c r="F44" i="1" a="1"/>
  <c r="Y68" i="1" a="1"/>
  <c r="O51" i="1" a="1"/>
  <c r="W68" i="1" a="1"/>
  <c r="G48" i="1" a="1"/>
  <c r="V41" i="1" a="1"/>
  <c r="A53" i="1" a="1"/>
  <c r="S78" i="1" a="1"/>
  <c r="X53" i="1" a="1"/>
  <c r="W43" i="1" a="1"/>
  <c r="AA64" i="1" a="1"/>
  <c r="U47" i="1" a="1"/>
  <c r="S40" i="1" a="1"/>
  <c r="F31" i="1" a="1"/>
  <c r="K45" i="1" a="1"/>
  <c r="O33" i="1" a="1"/>
  <c r="L25" i="1" a="1"/>
  <c r="S47" i="1" a="1"/>
  <c r="N33" i="1" a="1"/>
  <c r="L23" i="1" a="1"/>
  <c r="Z13" i="1" a="1"/>
  <c r="Y15" i="1" a="1"/>
  <c r="O3" i="1" a="1"/>
  <c r="AA39" i="1" a="1"/>
  <c r="P30" i="1" a="1"/>
  <c r="A21" i="1" a="1"/>
  <c r="O26" i="1" a="1"/>
  <c r="B30" i="1" a="1"/>
  <c r="I14" i="1" a="1"/>
  <c r="Q34" i="1" a="1"/>
  <c r="U23" i="1" a="1"/>
  <c r="J39" i="1" a="1"/>
  <c r="D24" i="1" a="1"/>
  <c r="R14" i="1" a="1"/>
  <c r="B43" i="1" a="1"/>
  <c r="E32" i="1" a="1"/>
  <c r="F39" i="1" a="1"/>
  <c r="C59" i="1" a="1"/>
  <c r="L34" i="1" a="1"/>
  <c r="Z41" i="1" a="1"/>
  <c r="A32" i="1" a="1"/>
  <c r="Z55" i="1" a="1"/>
  <c r="O35" i="1" a="1"/>
  <c r="E27" i="1" a="1"/>
  <c r="S17" i="1" a="1"/>
  <c r="L75" i="1" a="1"/>
  <c r="AA27" i="1" a="1"/>
  <c r="E10" i="1" a="1"/>
  <c r="S36" i="1" a="1"/>
  <c r="I26" i="1" a="1"/>
  <c r="F30" i="1" a="1"/>
  <c r="Z21" i="1" a="1"/>
  <c r="AA57" i="1" a="1"/>
  <c r="L35" i="1" a="1"/>
  <c r="C25" i="1" a="1"/>
  <c r="Q15" i="1" a="1"/>
  <c r="O14" i="1" a="1"/>
  <c r="T2" i="1" a="1"/>
  <c r="W22" i="1" a="1"/>
  <c r="S9" i="1" a="1"/>
  <c r="T6" i="1" a="1"/>
  <c r="Y19" i="1" a="1"/>
  <c r="G18" i="1" a="1"/>
  <c r="Z5" i="1" a="1"/>
  <c r="S3" i="1" a="1"/>
  <c r="V12" i="1" a="1"/>
  <c r="E18" i="1" a="1"/>
  <c r="F2" i="1" a="1"/>
  <c r="S11" i="1" a="1"/>
  <c r="R12" i="1" a="1"/>
  <c r="Y11" i="1" a="1"/>
  <c r="N24" i="1" a="1"/>
  <c r="B5" i="1" a="1"/>
  <c r="S27" i="1" a="1"/>
  <c r="D21" i="1" a="1"/>
  <c r="V7" i="1" a="1"/>
  <c r="T11" i="1" a="1"/>
  <c r="E23" i="1" a="1"/>
  <c r="X9" i="1" a="1"/>
  <c r="C13" i="1" a="1"/>
  <c r="V13" i="1" a="1"/>
  <c r="C4" i="1" a="1"/>
  <c r="M208" i="1" a="1"/>
  <c r="W207" i="1" a="1"/>
  <c r="O200" i="1" a="1"/>
  <c r="B207" i="1" a="1"/>
  <c r="S197" i="1" a="1"/>
  <c r="Y196" i="1" a="1"/>
  <c r="Z205" i="1" a="1"/>
  <c r="M212" i="1" a="1"/>
  <c r="R193" i="1" a="1"/>
  <c r="O192" i="1" a="1"/>
  <c r="E201" i="1" a="1"/>
  <c r="Q194" i="1" a="1"/>
  <c r="C184" i="1" a="1"/>
  <c r="M181" i="1" a="1"/>
  <c r="O203" i="1" a="1"/>
  <c r="R195" i="1" a="1"/>
  <c r="Z182" i="1" a="1"/>
  <c r="R188" i="1" a="1"/>
  <c r="D156" i="1" a="1"/>
  <c r="Y165" i="1" a="1"/>
  <c r="W175" i="1" a="1"/>
  <c r="W184" i="1" a="1"/>
  <c r="J183" i="1" a="1"/>
  <c r="W158" i="1" a="1"/>
  <c r="C171" i="1" a="1"/>
  <c r="C209" i="1" a="1"/>
  <c r="N148" i="1" a="1"/>
  <c r="K141" i="1" a="1"/>
  <c r="S153" i="1" a="1"/>
  <c r="D143" i="1" a="1"/>
  <c r="A170" i="1" a="1"/>
  <c r="V142" i="1" a="1"/>
  <c r="D147" i="1" a="1"/>
  <c r="H160" i="1" a="1"/>
  <c r="Y149" i="1" a="1"/>
  <c r="C161" i="1" a="1"/>
  <c r="E164" i="1" a="1"/>
  <c r="X149" i="1" a="1"/>
  <c r="U164" i="1" a="1"/>
  <c r="K135" i="1" a="1"/>
  <c r="R151" i="1" a="1"/>
  <c r="B127" i="1" a="1"/>
  <c r="X138" i="1" a="1"/>
  <c r="T147" i="1" a="1"/>
  <c r="N160" i="1" a="1"/>
  <c r="R124" i="1" a="1"/>
  <c r="Q146" i="1" a="1"/>
  <c r="U112" i="1" a="1"/>
  <c r="F178" i="1" a="1"/>
  <c r="X129" i="1" a="1"/>
  <c r="J129" i="1" a="1"/>
  <c r="E142" i="1" a="1"/>
  <c r="G125" i="1" a="1"/>
  <c r="AA133" i="1" a="1"/>
  <c r="AA151" i="1" a="1"/>
  <c r="M148" i="1" a="1"/>
  <c r="AA121" i="1" a="1"/>
  <c r="J108" i="1" a="1"/>
  <c r="A113" i="1" a="1"/>
  <c r="G93" i="1" a="1"/>
  <c r="R120" i="1" a="1"/>
  <c r="H96" i="1" a="1"/>
  <c r="P110" i="1" a="1"/>
  <c r="Y92" i="1" a="1"/>
  <c r="Q84" i="1" a="1"/>
  <c r="U104" i="1" a="1"/>
  <c r="P119" i="1" a="1"/>
  <c r="D98" i="1" a="1"/>
  <c r="Z109" i="1" a="1"/>
  <c r="B128" i="1" a="1"/>
  <c r="B117" i="1" a="1"/>
  <c r="X99" i="1" a="1"/>
  <c r="K113" i="1" a="1"/>
  <c r="B98" i="1" a="1"/>
  <c r="Y107" i="1" a="1"/>
  <c r="S127" i="1" a="1"/>
  <c r="I115" i="1" a="1"/>
  <c r="G106" i="1" a="1"/>
  <c r="N81" i="1" a="1"/>
  <c r="Z93" i="1" a="1"/>
  <c r="D77" i="1" a="1"/>
  <c r="O60" i="1" a="1"/>
  <c r="H111" i="1" a="1"/>
  <c r="M81" i="1" a="1"/>
  <c r="X68" i="1" a="1"/>
  <c r="H98" i="1" a="1"/>
  <c r="G82" i="1" a="1"/>
  <c r="Y91" i="1" a="1"/>
  <c r="W79" i="1" a="1"/>
  <c r="D71" i="1" a="1"/>
  <c r="O112" i="1" a="1"/>
  <c r="T99" i="1" a="1"/>
  <c r="A79" i="1" a="1"/>
  <c r="Z66" i="1" a="1"/>
  <c r="B102" i="1" a="1"/>
  <c r="H86" i="1" a="1"/>
  <c r="T93" i="1" a="1"/>
  <c r="O80" i="1" a="1"/>
  <c r="AA115" i="1" a="1"/>
  <c r="Z101" i="1" a="1"/>
  <c r="S81" i="1" a="1"/>
  <c r="R98" i="1" a="1"/>
  <c r="I85" i="1" a="1"/>
  <c r="Z120" i="1" a="1"/>
  <c r="W84" i="1" a="1"/>
  <c r="O111" i="1" a="1"/>
  <c r="O92" i="1" a="1"/>
  <c r="Q79" i="1" a="1"/>
  <c r="N67" i="1" a="1"/>
  <c r="C100" i="1" a="1"/>
  <c r="N86" i="1" a="1"/>
  <c r="V76" i="1" a="1"/>
  <c r="U76" i="1" a="1"/>
  <c r="Q62" i="1" a="1"/>
  <c r="I55" i="1" a="1"/>
  <c r="P50" i="1" a="1"/>
  <c r="J81" i="1" a="1"/>
  <c r="L77" i="1" a="1"/>
  <c r="S65" i="1" a="1"/>
  <c r="Q76" i="1" a="1"/>
  <c r="S64" i="1" a="1"/>
  <c r="L88" i="1" a="1"/>
  <c r="F69" i="1" a="1"/>
  <c r="L56" i="1" a="1"/>
  <c r="I88" i="1" a="1"/>
  <c r="H70" i="1" a="1"/>
  <c r="I96" i="1" a="1"/>
  <c r="B69" i="1" a="1"/>
  <c r="T95" i="1" a="1"/>
  <c r="E70" i="1" a="1"/>
  <c r="W58" i="1" a="1"/>
  <c r="U52" i="1" a="1"/>
  <c r="N69" i="1" a="1"/>
  <c r="Y56" i="1" a="1"/>
  <c r="K68" i="1" a="1"/>
  <c r="W57" i="1" a="1"/>
  <c r="Z80" i="1" a="1"/>
  <c r="A51" i="1" a="1"/>
  <c r="X42" i="1" a="1"/>
  <c r="D38" i="1" a="1"/>
  <c r="K33" i="1" a="1"/>
  <c r="I68" i="1" a="1"/>
  <c r="O49" i="1" a="1"/>
  <c r="G59" i="1" a="1"/>
  <c r="Y66" i="1" a="1"/>
  <c r="N49" i="1" a="1"/>
  <c r="A68" i="1" a="1"/>
  <c r="R47" i="1" a="1"/>
  <c r="I41" i="1" a="1"/>
  <c r="P36" i="1" a="1"/>
  <c r="W31" i="1" a="1"/>
  <c r="P54" i="1" a="1"/>
  <c r="P44" i="1" a="1"/>
  <c r="P53" i="1" a="1"/>
  <c r="C84" i="1" a="1"/>
  <c r="P51" i="1" a="1"/>
  <c r="A43" i="1" a="1"/>
  <c r="Q61" i="1" a="1"/>
  <c r="J49" i="1" a="1"/>
  <c r="F60" i="1" a="1"/>
  <c r="W46" i="1" a="1"/>
  <c r="X91" i="1" a="1"/>
  <c r="D51" i="1" a="1"/>
  <c r="AA69" i="1" a="1"/>
  <c r="C51" i="1" a="1"/>
  <c r="R42" i="1" a="1"/>
  <c r="R56" i="1" a="1"/>
  <c r="K46" i="1" a="1"/>
  <c r="I38" i="1" a="1"/>
  <c r="T28" i="1" a="1"/>
  <c r="R40" i="1" a="1"/>
  <c r="E31" i="1" a="1"/>
  <c r="X23" i="1" a="1"/>
  <c r="Q40" i="1" a="1"/>
  <c r="D31" i="1" a="1"/>
  <c r="B21" i="1" a="1"/>
  <c r="P11" i="1" a="1"/>
  <c r="O11" i="1" a="1"/>
  <c r="B2" i="1" a="1"/>
  <c r="Q37" i="1" a="1"/>
  <c r="G28" i="1" a="1"/>
  <c r="T14" i="1" a="1"/>
  <c r="P22" i="1" a="1"/>
  <c r="U27" i="1" a="1"/>
  <c r="P9" i="1" a="1"/>
  <c r="G32" i="1" a="1"/>
  <c r="C64" i="1" a="1"/>
  <c r="D43" i="1" a="1"/>
  <c r="U21" i="1" a="1"/>
  <c r="H12" i="1" a="1"/>
  <c r="H39" i="1" a="1"/>
  <c r="Z29" i="1" a="1"/>
  <c r="W36" i="1" a="1"/>
  <c r="Y42" i="1" a="1"/>
  <c r="B32" i="1" a="1"/>
  <c r="D39" i="1" a="1"/>
  <c r="X29" i="1" a="1"/>
  <c r="T44" i="1" a="1"/>
  <c r="E33" i="1" a="1"/>
  <c r="V24" i="1" a="1"/>
  <c r="I15" i="1" a="1"/>
  <c r="K53" i="1" a="1"/>
  <c r="K24" i="1" a="1"/>
  <c r="W61" i="1" a="1"/>
  <c r="I34" i="1" a="1"/>
  <c r="U24" i="1" a="1"/>
  <c r="J28" i="1" a="1"/>
  <c r="P19" i="1" a="1"/>
  <c r="L44" i="1" a="1"/>
  <c r="B33" i="1" a="1"/>
  <c r="T22" i="1" a="1"/>
  <c r="G13" i="1" a="1"/>
  <c r="AA10" i="1" a="1"/>
  <c r="X4" i="1" a="1"/>
  <c r="F19" i="1" a="1"/>
  <c r="E4" i="1" a="1"/>
  <c r="W26" i="1" a="1"/>
  <c r="U16" i="1" a="1"/>
  <c r="B15" i="1" a="1"/>
  <c r="J3" i="1" a="1"/>
  <c r="P6" i="1" a="1"/>
  <c r="R4" i="1" a="1"/>
  <c r="K11" i="1" a="1"/>
  <c r="M20" i="1" a="1"/>
  <c r="S24" i="1" a="1"/>
  <c r="B10" i="1" a="1"/>
  <c r="X2" i="1" a="1"/>
  <c r="I17" i="1" a="1"/>
  <c r="I22" i="1" a="1"/>
  <c r="D22" i="1" a="1"/>
  <c r="Z17" i="1" a="1"/>
  <c r="U5" i="1" a="1"/>
  <c r="H7" i="1" a="1"/>
  <c r="L19" i="1" a="1"/>
  <c r="O6" i="1" a="1"/>
  <c r="F27" i="1" a="1"/>
  <c r="T9" i="1" a="1"/>
  <c r="X207" i="1" a="1"/>
  <c r="O207" i="1" a="1"/>
  <c r="AA198" i="1" a="1"/>
  <c r="O206" i="1" a="1"/>
  <c r="N196" i="1" a="1"/>
  <c r="Y194" i="1" a="1"/>
  <c r="A205" i="1" a="1"/>
  <c r="B212" i="1" a="1"/>
  <c r="U186" i="1" a="1"/>
  <c r="M191" i="1" a="1"/>
  <c r="L199" i="1" a="1"/>
  <c r="AA190" i="1" a="1"/>
  <c r="K183" i="1" a="1"/>
  <c r="K180" i="1" a="1"/>
  <c r="U200" i="1" a="1"/>
  <c r="I194" i="1" a="1"/>
  <c r="Y176" i="1" a="1"/>
  <c r="H184" i="1" a="1"/>
  <c r="P207" i="1" a="1"/>
  <c r="G207" i="1" a="1"/>
  <c r="J197" i="1" a="1"/>
  <c r="Q205" i="1" a="1"/>
  <c r="I195" i="1" a="1"/>
  <c r="I192" i="1" a="1"/>
  <c r="O204" i="1" a="1"/>
  <c r="C210" i="1" a="1"/>
  <c r="I185" i="1" a="1"/>
  <c r="O190" i="1" a="1"/>
  <c r="G197" i="1" a="1"/>
  <c r="X188" i="1" a="1"/>
  <c r="R182" i="1" a="1"/>
  <c r="A180" i="1" a="1"/>
  <c r="B199" i="1" a="1"/>
  <c r="D191" i="1" a="1"/>
  <c r="AA173" i="1" a="1"/>
  <c r="X182" i="1" a="1"/>
  <c r="Q153" i="1" a="1"/>
  <c r="B163" i="1" a="1"/>
  <c r="O172" i="1" a="1"/>
  <c r="I174" i="1" a="1"/>
  <c r="K181" i="1" a="1"/>
  <c r="Z156" i="1" a="1"/>
  <c r="Q199" i="1" a="1"/>
  <c r="D186" i="1" a="1"/>
  <c r="T176" i="1" a="1"/>
  <c r="N140" i="1" a="1"/>
  <c r="O189" i="1" a="1"/>
  <c r="O175" i="1" a="1"/>
  <c r="U166" i="1" a="1"/>
  <c r="F142" i="1" a="1"/>
  <c r="R178" i="1" a="1"/>
  <c r="T156" i="1" a="1"/>
  <c r="A148" i="1" a="1"/>
  <c r="B176" i="1" a="1"/>
  <c r="G163" i="1" a="1"/>
  <c r="B148" i="1" a="1"/>
  <c r="U151" i="1" a="1"/>
  <c r="N134" i="1" a="1"/>
  <c r="Z147" i="1" a="1"/>
  <c r="X125" i="1" a="1"/>
  <c r="Z137" i="1" a="1"/>
  <c r="H140" i="1" a="1"/>
  <c r="M146" i="1" a="1"/>
  <c r="X123" i="1" a="1"/>
  <c r="Z138" i="1" a="1"/>
  <c r="D110" i="1" a="1"/>
  <c r="V136" i="1" a="1"/>
  <c r="L128" i="1" a="1"/>
  <c r="D126" i="1" a="1"/>
  <c r="H137" i="1" a="1"/>
  <c r="B124" i="1" a="1"/>
  <c r="A126" i="1" a="1"/>
  <c r="S148" i="1" a="1"/>
  <c r="V141" i="1" a="1"/>
  <c r="K120" i="1" a="1"/>
  <c r="N106" i="1" a="1"/>
  <c r="V111" i="1" a="1"/>
  <c r="J92" i="1" a="1"/>
  <c r="I114" i="1" a="1"/>
  <c r="Z149" i="1" a="1"/>
  <c r="A106" i="1" a="1"/>
  <c r="I92" i="1" a="1"/>
  <c r="A84" i="1" a="1"/>
  <c r="F103" i="1" a="1"/>
  <c r="L116" i="1" a="1"/>
  <c r="E97" i="1" a="1"/>
  <c r="B108" i="1" a="1"/>
  <c r="N124" i="1" a="1"/>
  <c r="V114" i="1" a="1"/>
  <c r="E96" i="1" a="1"/>
  <c r="D112" i="1" a="1"/>
  <c r="W95" i="1" a="1"/>
  <c r="H106" i="1" a="1"/>
  <c r="H125" i="1" a="1"/>
  <c r="H113" i="1" a="1"/>
  <c r="Q97" i="1" a="1"/>
  <c r="V135" i="1" a="1"/>
  <c r="AA92" i="1" a="1"/>
  <c r="P73" i="1" a="1"/>
  <c r="Z59" i="1" a="1"/>
  <c r="I108" i="1" a="1"/>
  <c r="Y79" i="1" a="1"/>
  <c r="D68" i="1" a="1"/>
  <c r="G95" i="1" a="1"/>
  <c r="R80" i="1" a="1"/>
  <c r="O89" i="1" a="1"/>
  <c r="B79" i="1" a="1"/>
  <c r="Z69" i="1" a="1"/>
  <c r="A107" i="1" a="1"/>
  <c r="I97" i="1" a="1"/>
  <c r="A77" i="1" a="1"/>
  <c r="U64" i="1" a="1"/>
  <c r="M100" i="1" a="1"/>
  <c r="F132" i="1" a="1"/>
  <c r="I91" i="1" a="1"/>
  <c r="T79" i="1" a="1"/>
  <c r="Z111" i="1" a="1"/>
  <c r="Y97" i="1" a="1"/>
  <c r="B126" i="1" a="1"/>
  <c r="J96" i="1" a="1"/>
  <c r="B84" i="1" a="1"/>
  <c r="I113" i="1" a="1"/>
  <c r="AA83" i="1" a="1"/>
  <c r="P106" i="1" a="1"/>
  <c r="E90" i="1" a="1"/>
  <c r="G77" i="1" a="1"/>
  <c r="U66" i="1" a="1"/>
  <c r="Z96" i="1" a="1"/>
  <c r="G85" i="1" a="1"/>
  <c r="Q75" i="1" a="1"/>
  <c r="C74" i="1" a="1"/>
  <c r="V61" i="1" a="1"/>
  <c r="T54" i="1" a="1"/>
  <c r="AA49" i="1" a="1"/>
  <c r="D79" i="1" a="1"/>
  <c r="H75" i="1" a="1"/>
  <c r="H64" i="1" a="1"/>
  <c r="Z73" i="1" a="1"/>
  <c r="K63" i="1" a="1"/>
  <c r="D81" i="1" a="1"/>
  <c r="E68" i="1" a="1"/>
  <c r="W55" i="1" a="1"/>
  <c r="D84" i="1" a="1"/>
  <c r="E69" i="1" a="1"/>
  <c r="W87" i="1" a="1"/>
  <c r="A65" i="1" a="1"/>
  <c r="A90" i="1" a="1"/>
  <c r="M68" i="1" a="1"/>
  <c r="G57" i="1" a="1"/>
  <c r="M95" i="1" a="1"/>
  <c r="K67" i="1" a="1"/>
  <c r="D95" i="1" a="1"/>
  <c r="W66" i="1" a="1"/>
  <c r="P56" i="1" a="1"/>
  <c r="D76" i="1" a="1"/>
  <c r="Y49" i="1" a="1"/>
  <c r="H42" i="1" a="1"/>
  <c r="O37" i="1" a="1"/>
  <c r="V32" i="1" a="1"/>
  <c r="X63" i="1" a="1"/>
  <c r="L48" i="1" a="1"/>
  <c r="O56" i="1" a="1"/>
  <c r="S63" i="1" a="1"/>
  <c r="U48" i="1" a="1"/>
  <c r="T62" i="1" a="1"/>
  <c r="Q46" i="1" a="1"/>
  <c r="T40" i="1" a="1"/>
  <c r="AA35" i="1" a="1"/>
  <c r="G31" i="1" a="1"/>
  <c r="Q53" i="1" a="1"/>
  <c r="J75" i="1" a="1"/>
  <c r="I52" i="1" a="1"/>
  <c r="B75" i="1" a="1"/>
  <c r="W50" i="1" a="1"/>
  <c r="L42" i="1" a="1"/>
  <c r="P59" i="1" a="1"/>
  <c r="N46" i="1" a="1"/>
  <c r="AA58" i="1" a="1"/>
  <c r="D45" i="1" a="1"/>
  <c r="B70" i="1" a="1"/>
  <c r="Z48" i="1" a="1"/>
  <c r="G66" i="1" a="1"/>
  <c r="A50" i="1" a="1"/>
  <c r="B42" i="1" a="1"/>
  <c r="F55" i="1" a="1"/>
  <c r="K44" i="1" a="1"/>
  <c r="D37" i="1" a="1"/>
  <c r="X27" i="1" a="1"/>
  <c r="M39" i="1" a="1"/>
  <c r="D30" i="1" a="1"/>
  <c r="B23" i="1" a="1"/>
  <c r="L39" i="1" a="1"/>
  <c r="Q29" i="1" a="1"/>
  <c r="X19" i="1" a="1"/>
  <c r="K10" i="1" a="1"/>
  <c r="E9" i="1" a="1"/>
  <c r="J25" i="1" a="1"/>
  <c r="L36" i="1" a="1"/>
  <c r="Z26" i="1" a="1"/>
  <c r="J12" i="1" a="1"/>
  <c r="D82" i="1" a="1"/>
  <c r="E26" i="1" a="1"/>
  <c r="L8" i="1" a="1"/>
  <c r="B31" i="1" a="1"/>
  <c r="I54" i="1" a="1"/>
  <c r="AA29" i="1" a="1"/>
  <c r="P20" i="1" a="1"/>
  <c r="C11" i="1" a="1"/>
  <c r="C38" i="1" a="1"/>
  <c r="M78" i="1" a="1"/>
  <c r="R35" i="1" a="1"/>
  <c r="J40" i="1" a="1"/>
  <c r="Y30" i="1" a="1"/>
  <c r="Z37" i="1" a="1"/>
  <c r="M28" i="1" a="1"/>
  <c r="X41" i="1" a="1"/>
  <c r="AA31" i="1" a="1"/>
  <c r="Q23" i="1" a="1"/>
  <c r="D14" i="1" a="1"/>
  <c r="Q49" i="1" a="1"/>
  <c r="A22" i="1" a="1"/>
  <c r="R44" i="1" a="1"/>
  <c r="D33" i="1" a="1"/>
  <c r="N74" i="1" a="1"/>
  <c r="N27" i="1" a="1"/>
  <c r="K18" i="1" a="1"/>
  <c r="R41" i="1" a="1"/>
  <c r="X31" i="1" a="1"/>
  <c r="O21" i="1" a="1"/>
  <c r="B12" i="1" a="1"/>
  <c r="P8" i="1" a="1"/>
  <c r="O8" i="1" a="1"/>
  <c r="R17" i="1" a="1"/>
  <c r="B3" i="1" a="1"/>
  <c r="S23" i="1" a="1"/>
  <c r="E15" i="1" a="1"/>
  <c r="N13" i="1" a="1"/>
  <c r="D10" i="1" a="1"/>
  <c r="Q14" i="1" a="1"/>
  <c r="A13" i="1" a="1"/>
  <c r="C10" i="1" a="1"/>
  <c r="Q6" i="1" a="1"/>
  <c r="N20" i="1" a="1"/>
  <c r="Y7" i="1" a="1"/>
  <c r="AA6" i="1" a="1"/>
  <c r="H11" i="1" a="1"/>
  <c r="Q19" i="1" a="1"/>
  <c r="U18" i="1" a="1"/>
  <c r="J16" i="1" a="1"/>
  <c r="AA4" i="1" a="1"/>
  <c r="C6" i="1" a="1"/>
  <c r="W17" i="1" a="1"/>
  <c r="Q4" i="1" a="1"/>
  <c r="Y22" i="1" a="1"/>
  <c r="R8" i="1" a="1"/>
  <c r="C206" i="1" a="1"/>
  <c r="J206" i="1" a="1"/>
  <c r="V195" i="1" a="1"/>
  <c r="S204" i="1" a="1"/>
  <c r="S213" i="1" a="1"/>
  <c r="D213" i="1" a="1"/>
  <c r="S203" i="1" a="1"/>
  <c r="X205" i="1" a="1"/>
  <c r="D183" i="1" a="1"/>
  <c r="F188" i="1" a="1"/>
  <c r="Y188" i="1" a="1"/>
  <c r="V187" i="1" a="1"/>
  <c r="L179" i="1" a="1"/>
  <c r="J207" i="1" a="1"/>
  <c r="X194" i="1" a="1"/>
  <c r="N186" i="1" a="1"/>
  <c r="D170" i="1" a="1"/>
  <c r="X177" i="1" a="1"/>
  <c r="T211" i="1" a="1"/>
  <c r="J212" i="1" a="1"/>
  <c r="N207" i="1" a="1"/>
  <c r="A206" i="1" a="1"/>
  <c r="G209" i="1" a="1"/>
  <c r="U198" i="1" a="1"/>
  <c r="V176" i="1" a="1"/>
  <c r="S198" i="1" a="1"/>
  <c r="W192" i="1" a="1"/>
  <c r="L189" i="1" a="1"/>
  <c r="K189" i="1" a="1"/>
  <c r="O170" i="1" a="1"/>
  <c r="H171" i="1" a="1"/>
  <c r="M170" i="1" a="1"/>
  <c r="P209" i="1" a="1"/>
  <c r="V165" i="1" a="1"/>
  <c r="M194" i="1" a="1"/>
  <c r="A160" i="1" a="1"/>
  <c r="A145" i="1" a="1"/>
  <c r="E180" i="1" a="1"/>
  <c r="V160" i="1" a="1"/>
  <c r="S143" i="1" a="1"/>
  <c r="C172" i="1" a="1"/>
  <c r="G176" i="1" a="1"/>
  <c r="X169" i="1" a="1"/>
  <c r="G158" i="1" a="1"/>
  <c r="G134" i="1" a="1"/>
  <c r="C140" i="1" a="1"/>
  <c r="Q138" i="1" a="1"/>
  <c r="U144" i="1" a="1"/>
  <c r="A161" i="1" a="1"/>
  <c r="T141" i="1" a="1"/>
  <c r="Z117" i="1" a="1"/>
  <c r="X119" i="1" a="1"/>
  <c r="M135" i="1" a="1"/>
  <c r="Q120" i="1" a="1"/>
  <c r="A110" i="1" a="1"/>
  <c r="M122" i="1" a="1"/>
  <c r="R121" i="1" a="1"/>
  <c r="U169" i="1" a="1"/>
  <c r="N151" i="1" a="1"/>
  <c r="F127" i="1" a="1"/>
  <c r="AA95" i="1" a="1"/>
  <c r="S113" i="1" a="1"/>
  <c r="O120" i="1" a="1"/>
  <c r="K94" i="1" a="1"/>
  <c r="W129" i="1" a="1"/>
  <c r="N97" i="1" a="1"/>
  <c r="Z99" i="1" a="1"/>
  <c r="O105" i="1" a="1"/>
  <c r="H116" i="1" a="1"/>
  <c r="L102" i="1" a="1"/>
  <c r="M111" i="1" a="1"/>
  <c r="K125" i="1" a="1"/>
  <c r="E95" i="1" a="1"/>
  <c r="H110" i="1" a="1"/>
  <c r="S88" i="1" a="1"/>
  <c r="B96" i="1" a="1"/>
  <c r="F71" i="1" a="1"/>
  <c r="X57" i="1" a="1"/>
  <c r="G84" i="1" a="1"/>
  <c r="I66" i="1" a="1"/>
  <c r="D89" i="1" a="1"/>
  <c r="N101" i="1" a="1"/>
  <c r="X77" i="1" a="1"/>
  <c r="H66" i="1" a="1"/>
  <c r="U103" i="1" a="1"/>
  <c r="W75" i="1" a="1"/>
  <c r="V144" i="1" a="1"/>
  <c r="M89" i="1" a="1"/>
  <c r="X89" i="1" a="1"/>
  <c r="U77" i="1" a="1"/>
  <c r="N104" i="1" a="1"/>
  <c r="W121" i="1" a="1"/>
  <c r="E92" i="1" a="1"/>
  <c r="E138" i="1" a="1"/>
  <c r="P83" i="1" a="1"/>
  <c r="G113" i="1" a="1"/>
  <c r="E81" i="1" a="1"/>
  <c r="E130" i="1" a="1"/>
  <c r="C92" i="1" a="1"/>
  <c r="K78" i="1" a="1"/>
  <c r="L73" i="1" a="1"/>
  <c r="S59" i="1" a="1"/>
  <c r="M51" i="1" a="1"/>
  <c r="H78" i="1" a="1"/>
  <c r="E72" i="1" a="1"/>
  <c r="P88" i="1" a="1"/>
  <c r="Z62" i="1" a="1"/>
  <c r="P74" i="1" a="1"/>
  <c r="I58" i="1" a="1"/>
  <c r="O82" i="1" a="1"/>
  <c r="R64" i="1" a="1"/>
  <c r="O72" i="1" a="1"/>
  <c r="N87" i="1" a="1"/>
  <c r="O64" i="1" a="1"/>
  <c r="R53" i="1" a="1"/>
  <c r="X66" i="1" a="1"/>
  <c r="Y74" i="1" a="1"/>
  <c r="U59" i="1" a="1"/>
  <c r="P72" i="1" a="1"/>
  <c r="J46" i="1" a="1"/>
  <c r="A39" i="1" a="1"/>
  <c r="N32" i="1" a="1"/>
  <c r="C57" i="1" a="1"/>
  <c r="X62" i="1" a="1"/>
  <c r="Z61" i="1" a="1"/>
  <c r="H45" i="1" a="1"/>
  <c r="M49" i="1" a="1"/>
  <c r="L40" i="1" a="1"/>
  <c r="N34" i="1" a="1"/>
  <c r="M57" i="1" a="1"/>
  <c r="O73" i="1" a="1"/>
  <c r="I48" i="1" a="1"/>
  <c r="M54" i="1" a="1"/>
  <c r="D42" i="1" a="1"/>
  <c r="X55" i="1" a="1"/>
  <c r="L66" i="1" a="1"/>
  <c r="V44" i="1" a="1"/>
  <c r="E60" i="1" a="1"/>
  <c r="N76" i="1" a="1"/>
  <c r="R49" i="1" a="1"/>
  <c r="L89" i="1" a="1"/>
  <c r="K47" i="1" a="1"/>
  <c r="O36" i="1" a="1"/>
  <c r="T60" i="1" a="1"/>
  <c r="Z32" i="1" a="1"/>
  <c r="S22" i="1" a="1"/>
  <c r="M36" i="1" a="1"/>
  <c r="R22" i="1" a="1"/>
  <c r="Q9" i="1" a="1"/>
  <c r="Q5" i="1" a="1"/>
  <c r="K39" i="1" a="1"/>
  <c r="P26" i="1" a="1"/>
  <c r="N6" i="1" a="1"/>
  <c r="P29" i="1" a="1"/>
  <c r="B8" i="1" a="1"/>
  <c r="Q28" i="1" a="1"/>
  <c r="G50" i="1" a="1"/>
  <c r="E20" i="1" a="1"/>
  <c r="S48" i="1" a="1"/>
  <c r="P31" i="1" a="1"/>
  <c r="O210" i="1" a="1"/>
  <c r="W211" i="1" a="1"/>
  <c r="F204" i="1" a="1"/>
  <c r="P205" i="1" a="1"/>
  <c r="X206" i="1" a="1"/>
  <c r="AA195" i="1" a="1"/>
  <c r="M176" i="1" a="1"/>
  <c r="S186" i="1" a="1"/>
  <c r="N189" i="1" a="1"/>
  <c r="Q187" i="1" a="1"/>
  <c r="S188" i="1" a="1"/>
  <c r="T169" i="1" a="1"/>
  <c r="C170" i="1" a="1"/>
  <c r="S169" i="1" a="1"/>
  <c r="G206" i="1" a="1"/>
  <c r="I162" i="1" a="1"/>
  <c r="M193" i="1" a="1"/>
  <c r="O159" i="1" a="1"/>
  <c r="B144" i="1" a="1"/>
  <c r="AA178" i="1" a="1"/>
  <c r="J160" i="1" a="1"/>
  <c r="K143" i="1" a="1"/>
  <c r="J171" i="1" a="1"/>
  <c r="Z172" i="1" a="1"/>
  <c r="B168" i="1" a="1"/>
  <c r="AA156" i="1" a="1"/>
  <c r="B133" i="1" a="1"/>
  <c r="U137" i="1" a="1"/>
  <c r="A138" i="1" a="1"/>
  <c r="F144" i="1" a="1"/>
  <c r="E159" i="1" a="1"/>
  <c r="AA167" i="1" a="1"/>
  <c r="O117" i="1" a="1"/>
  <c r="C119" i="1" a="1"/>
  <c r="M131" i="1" a="1"/>
  <c r="F120" i="1" a="1"/>
  <c r="U173" i="1" a="1"/>
  <c r="C122" i="1" a="1"/>
  <c r="X120" i="1" a="1"/>
  <c r="O157" i="1" a="1"/>
  <c r="G148" i="1" a="1"/>
  <c r="X124" i="1" a="1"/>
  <c r="T94" i="1" a="1"/>
  <c r="L112" i="1" a="1"/>
  <c r="R119" i="1" a="1"/>
  <c r="V93" i="1" a="1"/>
  <c r="H128" i="1" a="1"/>
  <c r="X96" i="1" a="1"/>
  <c r="G99" i="1" a="1"/>
  <c r="D105" i="1" a="1"/>
  <c r="W114" i="1" a="1"/>
  <c r="S101" i="1" a="1"/>
  <c r="H109" i="1" a="1"/>
  <c r="I124" i="1" a="1"/>
  <c r="U141" i="1" a="1"/>
  <c r="T109" i="1" a="1"/>
  <c r="U87" i="1" a="1"/>
  <c r="K95" i="1" a="1"/>
  <c r="A70" i="1" a="1"/>
  <c r="P57" i="1" a="1"/>
  <c r="W83" i="1" a="1"/>
  <c r="Z65" i="1" a="1"/>
  <c r="Q88" i="1" a="1"/>
  <c r="J97" i="1" a="1"/>
  <c r="M77" i="1" a="1"/>
  <c r="Y65" i="1" a="1"/>
  <c r="A103" i="1" a="1"/>
  <c r="M75" i="1" a="1"/>
  <c r="A119" i="1" a="1"/>
  <c r="O88" i="1" a="1"/>
  <c r="Z88" i="1" a="1"/>
  <c r="P76" i="1" a="1"/>
  <c r="S103" i="1" a="1"/>
  <c r="H118" i="1" a="1"/>
  <c r="S91" i="1" a="1"/>
  <c r="P130" i="1" a="1"/>
  <c r="F83" i="1" a="1"/>
  <c r="L111" i="1" a="1"/>
  <c r="V80" i="1" a="1"/>
  <c r="AA124" i="1" a="1"/>
  <c r="P91" i="1" a="1"/>
  <c r="AA77" i="1" a="1"/>
  <c r="W72" i="1" a="1"/>
  <c r="A59" i="1" a="1"/>
  <c r="E51" i="1" a="1"/>
  <c r="N77" i="1" a="1"/>
  <c r="P71" i="1" a="1"/>
  <c r="U82" i="1" a="1"/>
  <c r="O62" i="1" a="1"/>
  <c r="X73" i="1" a="1"/>
  <c r="S57" i="1" a="1"/>
  <c r="AA80" i="1" a="1"/>
  <c r="U63" i="1" a="1"/>
  <c r="F70" i="1" a="1"/>
  <c r="J85" i="1" a="1"/>
  <c r="B64" i="1" a="1"/>
  <c r="J53" i="1" a="1"/>
  <c r="W65" i="1" a="1"/>
  <c r="F74" i="1" a="1"/>
  <c r="L59" i="1" a="1"/>
  <c r="J68" i="1" a="1"/>
  <c r="A46" i="1" a="1"/>
  <c r="T38" i="1" a="1"/>
  <c r="F32" i="1" a="1"/>
  <c r="C56" i="1" a="1"/>
  <c r="G61" i="1" a="1"/>
  <c r="F61" i="1" a="1"/>
  <c r="Z44" i="1" a="1"/>
  <c r="T48" i="1" a="1"/>
  <c r="D40" i="1" a="1"/>
  <c r="F34" i="1" a="1"/>
  <c r="M56" i="1" a="1"/>
  <c r="O70" i="1" a="1"/>
  <c r="Z47" i="1" a="1"/>
  <c r="S52" i="1" a="1"/>
  <c r="W41" i="1" a="1"/>
  <c r="Y54" i="1" a="1"/>
  <c r="I65" i="1" a="1"/>
  <c r="E44" i="1" a="1"/>
  <c r="V57" i="1" a="1"/>
  <c r="V74" i="1" a="1"/>
  <c r="H49" i="1" a="1"/>
  <c r="M74" i="1" a="1"/>
  <c r="B47" i="1" a="1"/>
  <c r="Z35" i="1" a="1"/>
  <c r="T57" i="1" a="1"/>
  <c r="J32" i="1" a="1"/>
  <c r="H22" i="1" a="1"/>
  <c r="X35" i="1" a="1"/>
  <c r="G22" i="1" a="1"/>
  <c r="F9" i="1" a="1"/>
  <c r="I5" i="1" a="1"/>
  <c r="V38" i="1" a="1"/>
  <c r="U25" i="1" a="1"/>
  <c r="Y5" i="1" a="1"/>
  <c r="C29" i="1" a="1"/>
  <c r="S7" i="1" a="1"/>
  <c r="I27" i="1" a="1"/>
  <c r="C46" i="1" a="1"/>
  <c r="K19" i="1" a="1"/>
  <c r="G47" i="1" a="1"/>
  <c r="AA30" i="1" a="1"/>
  <c r="M34" i="1" a="1"/>
  <c r="V36" i="1" a="1"/>
  <c r="I40" i="1" a="1"/>
  <c r="V26" i="1" a="1"/>
  <c r="Y37" i="1" a="1"/>
  <c r="AA25" i="1" a="1"/>
  <c r="Z12" i="1" a="1"/>
  <c r="V30" i="1" a="1"/>
  <c r="B209" i="1" a="1"/>
  <c r="K210" i="1" a="1"/>
  <c r="V203" i="1" a="1"/>
  <c r="R199" i="1" a="1"/>
  <c r="L194" i="1" a="1"/>
  <c r="F194" i="1" a="1"/>
  <c r="C174" i="1" a="1"/>
  <c r="P185" i="1" a="1"/>
  <c r="U184" i="1" a="1"/>
  <c r="O186" i="1" a="1"/>
  <c r="A185" i="1" a="1"/>
  <c r="J169" i="1" a="1"/>
  <c r="O167" i="1" a="1"/>
  <c r="Y168" i="1" a="1"/>
  <c r="AA186" i="1" a="1"/>
  <c r="M159" i="1" a="1"/>
  <c r="L192" i="1" a="1"/>
  <c r="J157" i="1" a="1"/>
  <c r="H142" i="1" a="1"/>
  <c r="N169" i="1" a="1"/>
  <c r="A159" i="1" a="1"/>
  <c r="C143" i="1" a="1"/>
  <c r="AA169" i="1" a="1"/>
  <c r="Y169" i="1" a="1"/>
  <c r="P161" i="1" a="1"/>
  <c r="Y154" i="1" a="1"/>
  <c r="E132" i="1" a="1"/>
  <c r="S135" i="1" a="1"/>
  <c r="W136" i="1" a="1"/>
  <c r="U142" i="1" a="1"/>
  <c r="AA154" i="1" a="1"/>
  <c r="S156" i="1" a="1"/>
  <c r="J116" i="1" a="1"/>
  <c r="Z113" i="1" a="1"/>
  <c r="Z130" i="1" a="1"/>
  <c r="D177" i="1" a="1"/>
  <c r="Q147" i="1" a="1"/>
  <c r="Y120" i="1" a="1"/>
  <c r="M120" i="1" a="1"/>
  <c r="D150" i="1" a="1"/>
  <c r="U146" i="1" a="1"/>
  <c r="T121" i="1" a="1"/>
  <c r="O93" i="1" a="1"/>
  <c r="B109" i="1" a="1"/>
  <c r="X118" i="1" a="1"/>
  <c r="F93" i="1" a="1"/>
  <c r="Q122" i="1" a="1"/>
  <c r="G96" i="1" a="1"/>
  <c r="X98" i="1" a="1"/>
  <c r="H104" i="1" a="1"/>
  <c r="Y138" i="1" a="1"/>
  <c r="G100" i="1" a="1"/>
  <c r="K108" i="1" a="1"/>
  <c r="F122" i="1" a="1"/>
  <c r="T130" i="1" a="1"/>
  <c r="X107" i="1" a="1"/>
  <c r="J87" i="1" a="1"/>
  <c r="Q94" i="1" a="1"/>
  <c r="V67" i="1" a="1"/>
  <c r="H57" i="1" a="1"/>
  <c r="H82" i="1" a="1"/>
  <c r="P65" i="1" a="1"/>
  <c r="D88" i="1" a="1"/>
  <c r="W92" i="1" a="1"/>
  <c r="B77" i="1" a="1"/>
  <c r="O65" i="1" a="1"/>
  <c r="H101" i="1" a="1"/>
  <c r="R74" i="1" a="1"/>
  <c r="C116" i="1" a="1"/>
  <c r="D87" i="1" a="1"/>
  <c r="O87" i="1" a="1"/>
  <c r="E76" i="1" a="1"/>
  <c r="T102" i="1" a="1"/>
  <c r="X115" i="1" a="1"/>
  <c r="G91" i="1" a="1"/>
  <c r="E125" i="1" a="1"/>
  <c r="V82" i="1" a="1"/>
  <c r="S108" i="1" a="1"/>
  <c r="AA79" i="1" a="1"/>
  <c r="U120" i="1" a="1"/>
  <c r="C91" i="1" a="1"/>
  <c r="F77" i="1" a="1"/>
  <c r="B71" i="1" a="1"/>
  <c r="K58" i="1" a="1"/>
  <c r="X50" i="1" a="1"/>
  <c r="I75" i="1" a="1"/>
  <c r="A71" i="1" a="1"/>
  <c r="K77" i="1" a="1"/>
  <c r="T61" i="1" a="1"/>
  <c r="I73" i="1" a="1"/>
  <c r="B57" i="1" a="1"/>
  <c r="V79" i="1" a="1"/>
  <c r="I63" i="1" a="1"/>
  <c r="R69" i="1" a="1"/>
  <c r="R83" i="1" a="1"/>
  <c r="Q63" i="1" a="1"/>
  <c r="B53" i="1" a="1"/>
  <c r="K65" i="1" a="1"/>
  <c r="Q73" i="1" a="1"/>
  <c r="V58" i="1" a="1"/>
  <c r="F67" i="1" a="1"/>
  <c r="S45" i="1" a="1"/>
  <c r="L38" i="1" a="1"/>
  <c r="Y31" i="1" a="1"/>
  <c r="E55" i="1" a="1"/>
  <c r="X59" i="1" a="1"/>
  <c r="N60" i="1" a="1"/>
  <c r="I44" i="1" a="1"/>
  <c r="A48" i="1" a="1"/>
  <c r="W39" i="1" a="1"/>
  <c r="Y33" i="1" a="1"/>
  <c r="N55" i="1" a="1"/>
  <c r="W67" i="1" a="1"/>
  <c r="P47" i="1" a="1"/>
  <c r="H52" i="1" a="1"/>
  <c r="O41" i="1" a="1"/>
  <c r="AA53" i="1" a="1"/>
  <c r="M62" i="1" a="1"/>
  <c r="X43" i="1" a="1"/>
  <c r="V55" i="1" a="1"/>
  <c r="B73" i="1" a="1"/>
  <c r="M47" i="1" a="1"/>
  <c r="E71" i="1" a="1"/>
  <c r="T46" i="1" a="1"/>
  <c r="J35" i="1" a="1"/>
  <c r="O52" i="1" a="1"/>
  <c r="U31" i="1" a="1"/>
  <c r="J214" i="1" a="1"/>
  <c r="I214" i="1" a="1"/>
  <c r="U195" i="1" a="1"/>
  <c r="K202" i="1" a="1"/>
  <c r="T200" i="1" a="1"/>
  <c r="E178" i="1" a="1"/>
  <c r="E188" i="1" a="1"/>
  <c r="R198" i="1" a="1"/>
  <c r="J198" i="1" a="1"/>
  <c r="N195" i="1" a="1"/>
  <c r="F161" i="1" a="1"/>
  <c r="G154" i="1" a="1"/>
  <c r="O154" i="1" a="1"/>
  <c r="T162" i="1" a="1"/>
  <c r="C182" i="1" a="1"/>
  <c r="A189" i="1" a="1"/>
  <c r="T181" i="1" a="1"/>
  <c r="Y195" i="1" a="1"/>
  <c r="R189" i="1" a="1"/>
  <c r="I161" i="1" a="1"/>
  <c r="T167" i="1" a="1"/>
  <c r="A163" i="1" a="1"/>
  <c r="X181" i="1" a="1"/>
  <c r="H149" i="1" a="1"/>
  <c r="C166" i="1" a="1"/>
  <c r="C144" i="1" a="1"/>
  <c r="M154" i="1" a="1"/>
  <c r="T151" i="1" a="1"/>
  <c r="H133" i="1" a="1"/>
  <c r="O138" i="1" a="1"/>
  <c r="T136" i="1" a="1"/>
  <c r="Q140" i="1" a="1"/>
  <c r="W139" i="1" a="1"/>
  <c r="R104" i="1" a="1"/>
  <c r="S147" i="1" a="1"/>
  <c r="AA126" i="1" a="1"/>
  <c r="L133" i="1" a="1"/>
  <c r="E116" i="1" a="1"/>
  <c r="G150" i="1" a="1"/>
  <c r="D130" i="1" a="1"/>
  <c r="T133" i="1" a="1"/>
  <c r="M112" i="1" a="1"/>
  <c r="AA89" i="1" a="1"/>
  <c r="W101" i="1" a="1"/>
  <c r="X106" i="1" a="1"/>
  <c r="G90" i="1" a="1"/>
  <c r="Q113" i="1" a="1"/>
  <c r="V118" i="1" a="1"/>
  <c r="G131" i="1" a="1"/>
  <c r="H100" i="1" a="1"/>
  <c r="G116" i="1" a="1"/>
  <c r="I129" i="1" a="1"/>
  <c r="A102" i="1" a="1"/>
  <c r="N107" i="1" a="1"/>
  <c r="D121" i="1" a="1"/>
  <c r="AA128" i="1" a="1"/>
  <c r="X151" i="1" a="1"/>
  <c r="E89" i="1" a="1"/>
  <c r="Q65" i="1" a="1"/>
  <c r="R109" i="1" a="1"/>
  <c r="T76" i="1" a="1"/>
  <c r="E107" i="1" a="1"/>
  <c r="W81" i="1" a="1"/>
  <c r="J86" i="1" a="1"/>
  <c r="I74" i="1" a="1"/>
  <c r="F108" i="1" a="1"/>
  <c r="E87" i="1" a="1"/>
  <c r="Y71" i="1" a="1"/>
  <c r="G101" i="1" a="1"/>
  <c r="A116" i="1" a="1"/>
  <c r="Y82" i="1" a="1"/>
  <c r="V113" i="1" a="1"/>
  <c r="W89" i="1" a="1"/>
  <c r="Q106" i="1" a="1"/>
  <c r="X84" i="1" a="1"/>
  <c r="R102" i="1" a="1"/>
  <c r="A80" i="1" a="1"/>
  <c r="Q91" i="1" a="1"/>
  <c r="X74" i="1" a="1"/>
  <c r="R108" i="1" a="1"/>
  <c r="B86" i="1" a="1"/>
  <c r="G73" i="1" a="1"/>
  <c r="E66" i="1" a="1"/>
  <c r="A55" i="1" a="1"/>
  <c r="V48" i="1" a="1"/>
  <c r="X93" i="1" a="1"/>
  <c r="T64" i="1" a="1"/>
  <c r="N71" i="1" a="1"/>
  <c r="A58" i="1" a="1"/>
  <c r="S68" i="1" a="1"/>
  <c r="R54" i="1" a="1"/>
  <c r="O74" i="1" a="1"/>
  <c r="J90" i="1" a="1"/>
  <c r="G63" i="1" a="1"/>
  <c r="Z74" i="1" a="1"/>
  <c r="F58" i="1" a="1"/>
  <c r="P78" i="1" a="1"/>
  <c r="E61" i="1" a="1"/>
  <c r="Y67" i="1" a="1"/>
  <c r="K55" i="1" a="1"/>
  <c r="Y59" i="1" a="1"/>
  <c r="P42" i="1" a="1"/>
  <c r="J36" i="1" a="1"/>
  <c r="L30" i="1" a="1"/>
  <c r="E49" i="1" a="1"/>
  <c r="L52" i="1" a="1"/>
  <c r="P55" i="1" a="1"/>
  <c r="Q64" i="1" a="1"/>
  <c r="H44" i="1" a="1"/>
  <c r="J38" i="1" a="1"/>
  <c r="O31" i="1" a="1"/>
  <c r="Y50" i="1" a="1"/>
  <c r="O58" i="1" a="1"/>
  <c r="C77" i="1" a="1"/>
  <c r="O47" i="1" a="1"/>
  <c r="A75" i="1" a="1"/>
  <c r="AA48" i="1" a="1"/>
  <c r="N53" i="1" a="1"/>
  <c r="K42" i="1" a="1"/>
  <c r="U50" i="1" a="1"/>
  <c r="H62" i="1" a="1"/>
  <c r="U44" i="1" a="1"/>
  <c r="E56" i="1" a="1"/>
  <c r="T52" i="1" a="1"/>
  <c r="K32" i="1" a="1"/>
  <c r="B40" i="1" a="1"/>
  <c r="W27" i="1" a="1"/>
  <c r="L57" i="1" a="1"/>
  <c r="Q30" i="1" a="1"/>
  <c r="N17" i="1" a="1"/>
  <c r="C17" i="1" a="1"/>
  <c r="E28" i="1" a="1"/>
  <c r="B34" i="1" a="1"/>
  <c r="F22" i="1" a="1"/>
  <c r="K21" i="1" a="1"/>
  <c r="L21" i="1" a="1"/>
  <c r="V35" i="1" a="1"/>
  <c r="Z56" i="1" a="1"/>
  <c r="T27" i="1" a="1"/>
  <c r="W15" i="1" a="1"/>
  <c r="S38" i="1" a="1"/>
  <c r="V205" i="1" a="1"/>
  <c r="W213" i="1" a="1"/>
  <c r="K209" i="1" a="1"/>
  <c r="AA192" i="1" a="1"/>
  <c r="E177" i="1" a="1"/>
  <c r="T174" i="1" a="1"/>
  <c r="F182" i="1" a="1"/>
  <c r="K197" i="1" a="1"/>
  <c r="D192" i="1" a="1"/>
  <c r="K163" i="1" a="1"/>
  <c r="F195" i="1" a="1"/>
  <c r="R176" i="1" a="1"/>
  <c r="P189" i="1" a="1"/>
  <c r="J167" i="1" a="1"/>
  <c r="P158" i="1" a="1"/>
  <c r="X156" i="1" a="1"/>
  <c r="U160" i="1" a="1"/>
  <c r="Y155" i="1" a="1"/>
  <c r="E181" i="1" a="1"/>
  <c r="E160" i="1" a="1"/>
  <c r="A157" i="1" a="1"/>
  <c r="Z135" i="1" a="1"/>
  <c r="B137" i="1" a="1"/>
  <c r="AA131" i="1" a="1"/>
  <c r="U114" i="1" a="1"/>
  <c r="O98" i="1" a="1"/>
  <c r="J125" i="1" a="1"/>
  <c r="AA137" i="1" a="1"/>
  <c r="L139" i="1" a="1"/>
  <c r="G132" i="1" a="1"/>
  <c r="N145" i="1" a="1"/>
  <c r="U107" i="1" a="1"/>
  <c r="I135" i="1" a="1"/>
  <c r="H117" i="1" a="1"/>
  <c r="B89" i="1" a="1"/>
  <c r="U101" i="1" a="1"/>
  <c r="V97" i="1" a="1"/>
  <c r="F96" i="1" a="1"/>
  <c r="D107" i="1" a="1"/>
  <c r="Z107" i="1" a="1"/>
  <c r="P104" i="1" a="1"/>
  <c r="R117" i="1" a="1"/>
  <c r="A86" i="1" a="1"/>
  <c r="T87" i="1" a="1"/>
  <c r="R59" i="1" a="1"/>
  <c r="C81" i="1" a="1"/>
  <c r="R100" i="1" a="1"/>
  <c r="P112" i="1" a="1"/>
  <c r="H76" i="1" a="1"/>
  <c r="Y105" i="1" a="1"/>
  <c r="U81" i="1" a="1"/>
  <c r="F112" i="1" a="1"/>
  <c r="R110" i="1" a="1"/>
  <c r="J79" i="1" a="1"/>
  <c r="L99" i="1" a="1"/>
  <c r="S102" i="1" a="1"/>
  <c r="G81" i="1" a="1"/>
  <c r="K82" i="1" a="1"/>
  <c r="G89" i="1" a="1"/>
  <c r="N70" i="1" a="1"/>
  <c r="R90" i="1" a="1"/>
  <c r="A98" i="1" a="1"/>
  <c r="A61" i="1" a="1"/>
  <c r="H50" i="1" a="1"/>
  <c r="I86" i="1" a="1"/>
  <c r="AA60" i="1" a="1"/>
  <c r="I61" i="1" a="1"/>
  <c r="Q67" i="1" a="1"/>
  <c r="P52" i="1" a="1"/>
  <c r="X100" i="1" a="1"/>
  <c r="W62" i="1" a="1"/>
  <c r="Z67" i="1" a="1"/>
  <c r="M99" i="1" a="1"/>
  <c r="D59" i="1" a="1"/>
  <c r="M64" i="1" a="1"/>
  <c r="A66" i="1" a="1"/>
  <c r="AA41" i="1" a="1"/>
  <c r="H34" i="1" a="1"/>
  <c r="S54" i="1" a="1"/>
  <c r="S51" i="1" a="1"/>
  <c r="K48" i="1" a="1"/>
  <c r="Z46" i="1" a="1"/>
  <c r="M37" i="1" a="1"/>
  <c r="V66" i="1" a="1"/>
  <c r="R66" i="1" a="1"/>
  <c r="X71" i="1" a="1"/>
  <c r="Y43" i="1" a="1"/>
  <c r="C53" i="1" a="1"/>
  <c r="G52" i="1" a="1"/>
  <c r="O67" i="1" a="1"/>
  <c r="R68" i="1" a="1"/>
  <c r="O43" i="1" a="1"/>
  <c r="K51" i="1" a="1"/>
  <c r="U34" i="1" a="1"/>
  <c r="X38" i="1" a="1"/>
  <c r="B25" i="1" a="1"/>
  <c r="B37" i="1" a="1"/>
  <c r="C19" i="1" a="1"/>
  <c r="C15" i="1" a="1"/>
  <c r="U54" i="1" a="1"/>
  <c r="R28" i="1" a="1"/>
  <c r="W3" i="1" a="1"/>
  <c r="Q22" i="1" a="1"/>
  <c r="W32" i="1" a="1"/>
  <c r="G42" i="1" a="1"/>
  <c r="AA18" i="1" a="1"/>
  <c r="M40" i="1" a="1"/>
  <c r="C47" i="1" a="1"/>
  <c r="AA45" i="1" a="1"/>
  <c r="Z28" i="1" a="1"/>
  <c r="F33" i="1" a="1"/>
  <c r="Z40" i="1" a="1"/>
  <c r="Y28" i="1" a="1"/>
  <c r="S15" i="1" a="1"/>
  <c r="T43" i="1" a="1"/>
  <c r="AA8" i="1" a="1"/>
  <c r="O32" i="1" a="1"/>
  <c r="B48" i="1" a="1"/>
  <c r="E21" i="1" a="1"/>
  <c r="U40" i="1" a="1"/>
  <c r="Y27" i="1" a="1"/>
  <c r="V14" i="1" a="1"/>
  <c r="D8" i="1" a="1"/>
  <c r="R9" i="1" a="1"/>
  <c r="C9" i="1" a="1"/>
  <c r="U22" i="1" a="1"/>
  <c r="N22" i="1" a="1"/>
  <c r="E5" i="1" a="1"/>
  <c r="S5" i="1" a="1"/>
  <c r="W24" i="1" a="1"/>
  <c r="M5" i="1" a="1"/>
  <c r="T19" i="1" a="1"/>
  <c r="O2" i="1" a="1"/>
  <c r="I23" i="1" a="1"/>
  <c r="W18" i="1" a="1"/>
  <c r="W2" i="1" a="1"/>
  <c r="I7" i="1" a="1"/>
  <c r="J5" i="1" a="1"/>
  <c r="X13" i="1" a="1"/>
  <c r="Z4" i="1" a="1"/>
  <c r="E8" i="1" a="1"/>
  <c r="M4" i="1" a="1"/>
  <c r="N205" i="1" a="1"/>
  <c r="I211" i="1" a="1"/>
  <c r="Z207" i="1" a="1"/>
  <c r="Y191" i="1" a="1"/>
  <c r="W176" i="1" a="1"/>
  <c r="K174" i="1" a="1"/>
  <c r="W181" i="1" a="1"/>
  <c r="I184" i="1" a="1"/>
  <c r="M174" i="1" a="1"/>
  <c r="O160" i="1" a="1"/>
  <c r="X190" i="1" a="1"/>
  <c r="R174" i="1" a="1"/>
  <c r="N197" i="1" a="1"/>
  <c r="AA165" i="1" a="1"/>
  <c r="N156" i="1" a="1"/>
  <c r="Q151" i="1" a="1"/>
  <c r="I160" i="1" a="1"/>
  <c r="B155" i="1" a="1"/>
  <c r="D169" i="1" a="1"/>
  <c r="L153" i="1" a="1"/>
  <c r="M152" i="1" a="1"/>
  <c r="U134" i="1" a="1"/>
  <c r="M136" i="1" a="1"/>
  <c r="S131" i="1" a="1"/>
  <c r="K112" i="1" a="1"/>
  <c r="X97" i="1" a="1"/>
  <c r="O124" i="1" a="1"/>
  <c r="R136" i="1" a="1"/>
  <c r="P138" i="1" a="1"/>
  <c r="T131" i="1" a="1"/>
  <c r="C139" i="1" a="1"/>
  <c r="R105" i="1" a="1"/>
  <c r="B130" i="1" a="1"/>
  <c r="R113" i="1" a="1"/>
  <c r="U88" i="1" a="1"/>
  <c r="B101" i="1" a="1"/>
  <c r="J94" i="1" a="1"/>
  <c r="Z94" i="1" a="1"/>
  <c r="T106" i="1" a="1"/>
  <c r="Q104" i="1" a="1"/>
  <c r="F104" i="1" a="1"/>
  <c r="W116" i="1" a="1"/>
  <c r="N83" i="1" a="1"/>
  <c r="X86" i="1" a="1"/>
  <c r="J59" i="1" a="1"/>
  <c r="T78" i="1" a="1"/>
  <c r="V99" i="1" a="1"/>
  <c r="W110" i="1" a="1"/>
  <c r="N75" i="1" a="1"/>
  <c r="X104" i="1" a="1"/>
  <c r="K81" i="1" a="1"/>
  <c r="AA106" i="1" a="1"/>
  <c r="Z106" i="1" a="1"/>
  <c r="Z78" i="1" a="1"/>
  <c r="B97" i="1" a="1"/>
  <c r="Y101" i="1" a="1"/>
  <c r="M80" i="1" a="1"/>
  <c r="A82" i="1" a="1"/>
  <c r="Z86" i="1" a="1"/>
  <c r="D70" i="1" a="1"/>
  <c r="T88" i="1" a="1"/>
  <c r="G94" i="1" a="1"/>
  <c r="S60" i="1" a="1"/>
  <c r="S49" i="1" a="1"/>
  <c r="N84" i="1" a="1"/>
  <c r="R60" i="1" a="1"/>
  <c r="Q59" i="1" a="1"/>
  <c r="O66" i="1" a="1"/>
  <c r="I93" i="1" a="1"/>
  <c r="S85" i="1" a="1"/>
  <c r="P61" i="1" a="1"/>
  <c r="M67" i="1" a="1"/>
  <c r="K92" i="1" a="1"/>
  <c r="N58" i="1" a="1"/>
  <c r="AA63" i="1" a="1"/>
  <c r="Y62" i="1" a="1"/>
  <c r="S41" i="1" a="1"/>
  <c r="AA33" i="1" a="1"/>
  <c r="C52" i="1" a="1"/>
  <c r="AA50" i="1" a="1"/>
  <c r="I47" i="1" a="1"/>
  <c r="H46" i="1" a="1"/>
  <c r="E37" i="1" a="1"/>
  <c r="O63" i="1" a="1"/>
  <c r="M65" i="1" a="1"/>
  <c r="G70" i="1" a="1"/>
  <c r="Q43" i="1" a="1"/>
  <c r="V50" i="1" a="1"/>
  <c r="L50" i="1" a="1"/>
  <c r="H65" i="1" a="1"/>
  <c r="F65" i="1" a="1"/>
  <c r="G43" i="1" a="1"/>
  <c r="S50" i="1" a="1"/>
  <c r="E34" i="1" a="1"/>
  <c r="H38" i="1" a="1"/>
  <c r="R24" i="1" a="1"/>
  <c r="H35" i="1" a="1"/>
  <c r="S18" i="1" a="1"/>
  <c r="Y13" i="1" a="1"/>
  <c r="N50" i="1" a="1"/>
  <c r="V27" i="1" a="1"/>
  <c r="T25" i="1" a="1"/>
  <c r="G20" i="1" a="1"/>
  <c r="R31" i="1" a="1"/>
  <c r="H41" i="1" a="1"/>
  <c r="F18" i="1" a="1"/>
  <c r="X39" i="1" a="1"/>
  <c r="Z43" i="1" a="1"/>
  <c r="X44" i="1" a="1"/>
  <c r="N28" i="1" a="1"/>
  <c r="L31" i="1" a="1"/>
  <c r="H40" i="1" a="1"/>
  <c r="L28" i="1" a="1"/>
  <c r="N14" i="1" a="1"/>
  <c r="U42" i="1" a="1"/>
  <c r="G8" i="1" a="1"/>
  <c r="Z31" i="1" a="1"/>
  <c r="S46" i="1" a="1"/>
  <c r="U20" i="1" a="1"/>
  <c r="E40" i="1" a="1"/>
  <c r="M27" i="1" a="1"/>
  <c r="L14" i="1" a="1"/>
  <c r="Q7" i="1" a="1"/>
  <c r="B9" i="1" a="1"/>
  <c r="A8" i="1" a="1"/>
  <c r="S21" i="1" a="1"/>
  <c r="P21" i="1" a="1"/>
  <c r="G202" i="1" a="1"/>
  <c r="K203" i="1" a="1"/>
  <c r="N206" i="1" a="1"/>
  <c r="Y201" i="1" a="1"/>
  <c r="G195" i="1" a="1"/>
  <c r="P211" i="1" a="1"/>
  <c r="U201" i="1" a="1"/>
  <c r="Y179" i="1" a="1"/>
  <c r="Y170" i="1" a="1"/>
  <c r="I158" i="1" a="1"/>
  <c r="V180" i="1" a="1"/>
  <c r="Z171" i="1" a="1"/>
  <c r="S183" i="1" a="1"/>
  <c r="B165" i="1" a="1"/>
  <c r="R194" i="1" a="1"/>
  <c r="S170" i="1" a="1"/>
  <c r="K159" i="1" a="1"/>
  <c r="H154" i="1" a="1"/>
  <c r="A167" i="1" a="1"/>
  <c r="G149" i="1" a="1"/>
  <c r="L147" i="1" a="1"/>
  <c r="P133" i="1" a="1"/>
  <c r="P135" i="1" a="1"/>
  <c r="X155" i="1" a="1"/>
  <c r="I151" i="1" a="1"/>
  <c r="AA96" i="1" a="1"/>
  <c r="K121" i="1" a="1"/>
  <c r="A134" i="1" a="1"/>
  <c r="I132" i="1" a="1"/>
  <c r="K126" i="1" a="1"/>
  <c r="Y134" i="1" a="1"/>
  <c r="Y102" i="1" a="1"/>
  <c r="A115" i="1" a="1"/>
  <c r="C111" i="1" a="1"/>
  <c r="X87" i="1" a="1"/>
  <c r="Q99" i="1" a="1"/>
  <c r="AA136" i="1" a="1"/>
  <c r="P125" i="1" a="1"/>
  <c r="C105" i="1" a="1"/>
  <c r="U102" i="1" a="1"/>
  <c r="R101" i="1" a="1"/>
  <c r="X113" i="1" a="1"/>
  <c r="Y81" i="1" a="1"/>
  <c r="D85" i="1" a="1"/>
  <c r="U58" i="1" a="1"/>
  <c r="O77" i="1" a="1"/>
  <c r="A96" i="1" a="1"/>
  <c r="C106" i="1" a="1"/>
  <c r="S74" i="1" a="1"/>
  <c r="J101" i="1" a="1"/>
  <c r="F78" i="1" a="1"/>
  <c r="AA102" i="1" a="1"/>
  <c r="T103" i="1" a="1"/>
  <c r="E78" i="1" a="1"/>
  <c r="U90" i="1" a="1"/>
  <c r="U97" i="1" a="1"/>
  <c r="H79" i="1" a="1"/>
  <c r="L80" i="1" a="1"/>
  <c r="R85" i="1" a="1"/>
  <c r="D67" i="1" a="1"/>
  <c r="Y86" i="1" a="1"/>
  <c r="R86" i="1" a="1"/>
  <c r="A60" i="1" a="1"/>
  <c r="C49" i="1" a="1"/>
  <c r="AA75" i="1" a="1"/>
  <c r="AA59" i="1" a="1"/>
  <c r="R58" i="1" a="1"/>
  <c r="V63" i="1" a="1"/>
  <c r="Y85" i="1" a="1"/>
  <c r="L100" i="1" a="1"/>
  <c r="W59" i="1" a="1"/>
  <c r="X65" i="1" a="1"/>
  <c r="M79" i="1" a="1"/>
  <c r="J99" i="1" a="1"/>
  <c r="N61" i="1" a="1"/>
  <c r="H61" i="1" a="1"/>
  <c r="C41" i="1" a="1"/>
  <c r="C33" i="1" a="1"/>
  <c r="J51" i="1" a="1"/>
  <c r="A87" i="1" a="1"/>
  <c r="Q45" i="1" a="1"/>
  <c r="Q44" i="1" a="1"/>
  <c r="H36" i="1" a="1"/>
  <c r="K60" i="1" a="1"/>
  <c r="N63" i="1" a="1"/>
  <c r="N66" i="1" a="1"/>
  <c r="T42" i="1" a="1"/>
  <c r="T49" i="1" a="1"/>
  <c r="I49" i="1" a="1"/>
  <c r="K62" i="1" a="1"/>
  <c r="D63" i="1" a="1"/>
  <c r="J42" i="1" a="1"/>
  <c r="Z49" i="1" a="1"/>
  <c r="AA32" i="1" a="1"/>
  <c r="C37" i="1" a="1"/>
  <c r="M23" i="1" a="1"/>
  <c r="Y32" i="1" a="1"/>
  <c r="T16" i="1" a="1"/>
  <c r="J10" i="1" a="1"/>
  <c r="G44" i="1" a="1"/>
  <c r="P24" i="1" a="1"/>
  <c r="AA22" i="1" a="1"/>
  <c r="X17" i="1" a="1"/>
  <c r="A30" i="1" a="1"/>
  <c r="B45" i="1" a="1"/>
  <c r="A17" i="1" a="1"/>
  <c r="Y36" i="1" a="1"/>
  <c r="K40" i="1" a="1"/>
  <c r="U39" i="1" a="1"/>
  <c r="M76" i="1" a="1"/>
  <c r="J30" i="1" a="1"/>
  <c r="C39" i="1" a="1"/>
  <c r="J26" i="1" a="1"/>
  <c r="D12" i="1" a="1"/>
  <c r="I29" i="1" a="1"/>
  <c r="D48" i="1" a="1"/>
  <c r="G30" i="1" a="1"/>
  <c r="Q42" i="1" a="1"/>
  <c r="V18" i="1" a="1"/>
  <c r="AA38" i="1" a="1"/>
  <c r="H26" i="1" a="1"/>
  <c r="L12" i="1" a="1"/>
  <c r="W6" i="1" a="1"/>
  <c r="J6" i="1" a="1"/>
  <c r="U3" i="1" a="1"/>
  <c r="P17" i="1" a="1"/>
  <c r="V19" i="1" a="1"/>
  <c r="E213" i="1" a="1"/>
  <c r="W193" i="1" a="1"/>
  <c r="H197" i="1" a="1"/>
  <c r="J205" i="1" a="1"/>
  <c r="D187" i="1" a="1"/>
  <c r="W180" i="1" a="1"/>
  <c r="J194" i="1" a="1"/>
  <c r="A174" i="1" a="1"/>
  <c r="AA158" i="1" a="1"/>
  <c r="B194" i="1" a="1"/>
  <c r="L170" i="1" a="1"/>
  <c r="U194" i="1" a="1"/>
  <c r="Z177" i="1" a="1"/>
  <c r="D164" i="1" a="1"/>
  <c r="C164" i="1" a="1"/>
  <c r="K165" i="1" a="1"/>
  <c r="H150" i="1" a="1"/>
  <c r="Q161" i="1" a="1"/>
  <c r="Q160" i="1" a="1"/>
  <c r="V137" i="1" a="1"/>
  <c r="U174" i="1" a="1"/>
  <c r="I130" i="1" a="1"/>
  <c r="E150" i="1" a="1"/>
  <c r="K151" i="1" a="1"/>
  <c r="H134" i="1" a="1"/>
  <c r="N149" i="1" a="1"/>
  <c r="O139" i="1" a="1"/>
  <c r="G140" i="1" a="1"/>
  <c r="G123" i="1" a="1"/>
  <c r="K136" i="1" a="1"/>
  <c r="G111" i="1" a="1"/>
  <c r="U100" i="1" a="1"/>
  <c r="Q105" i="1" a="1"/>
  <c r="X102" i="1" a="1"/>
  <c r="N85" i="1" a="1"/>
  <c r="X126" i="1" a="1"/>
  <c r="P124" i="1" a="1"/>
  <c r="L122" i="1" a="1"/>
  <c r="U138" i="1" a="1"/>
  <c r="D99" i="1" a="1"/>
  <c r="O100" i="1" a="1"/>
  <c r="Z104" i="1" a="1"/>
  <c r="Z119" i="1" a="1"/>
  <c r="X81" i="1" a="1"/>
  <c r="X116" i="1" a="1"/>
  <c r="O75" i="1" a="1"/>
  <c r="L92" i="1" a="1"/>
  <c r="C88" i="1" a="1"/>
  <c r="T72" i="1" a="1"/>
  <c r="B119" i="1" a="1"/>
  <c r="M73" i="1" a="1"/>
  <c r="N96" i="1" a="1"/>
  <c r="L96" i="1" a="1"/>
  <c r="G126" i="1" a="1"/>
  <c r="Q86" i="1" a="1"/>
  <c r="W94" i="1" a="1"/>
  <c r="F110" i="1" a="1"/>
  <c r="S117" i="1" a="1"/>
  <c r="K84" i="1" a="1"/>
  <c r="F115" i="1" a="1"/>
  <c r="Y83" i="1" a="1"/>
  <c r="J78" i="1" a="1"/>
  <c r="F56" i="1" a="1"/>
  <c r="F48" i="1" a="1"/>
  <c r="A74" i="1" a="1"/>
  <c r="J73" i="1" a="1"/>
  <c r="D97" i="1" a="1"/>
  <c r="D62" i="1" a="1"/>
  <c r="D78" i="1" a="1"/>
  <c r="E82" i="1" a="1"/>
  <c r="Q57" i="1" a="1"/>
  <c r="D60" i="1" a="1"/>
  <c r="G76" i="1" a="1"/>
  <c r="J83" i="1" a="1"/>
  <c r="H56" i="1" a="1"/>
  <c r="I53" i="1" a="1"/>
  <c r="N40" i="1" a="1"/>
  <c r="I31" i="1" a="1"/>
  <c r="J47" i="1" a="1"/>
  <c r="W70" i="1" a="1"/>
  <c r="R77" i="1" a="1"/>
  <c r="S43" i="1" a="1"/>
  <c r="K35" i="1" a="1"/>
  <c r="F53" i="1" a="1"/>
  <c r="AA54" i="1" a="1"/>
  <c r="M63" i="1" a="1"/>
  <c r="T92" i="1" a="1"/>
  <c r="W45" i="1" a="1"/>
  <c r="N47" i="1" a="1"/>
  <c r="Q52" i="1" a="1"/>
  <c r="Y58" i="1" a="1"/>
  <c r="M41" i="1" a="1"/>
  <c r="B95" i="1" a="1"/>
  <c r="E30" i="1" a="1"/>
  <c r="Y35" i="1" a="1"/>
  <c r="N21" i="1" a="1"/>
  <c r="T31" i="1" a="1"/>
  <c r="O15" i="1" a="1"/>
  <c r="K7" i="1" a="1"/>
  <c r="F38" i="1" a="1"/>
  <c r="K23" i="1" a="1"/>
  <c r="B60" i="1" a="1"/>
  <c r="D13" i="1" a="1"/>
  <c r="B29" i="1" a="1"/>
  <c r="A29" i="1" a="1"/>
  <c r="G14" i="1" a="1"/>
  <c r="T35" i="1" a="1"/>
  <c r="A38" i="1" a="1"/>
  <c r="P38" i="1" a="1"/>
  <c r="X49" i="1" a="1"/>
  <c r="Q27" i="1" a="1"/>
  <c r="I37" i="1" a="1"/>
  <c r="AA23" i="1" a="1"/>
  <c r="Z10" i="1" a="1"/>
  <c r="U26" i="1" a="1"/>
  <c r="T41" i="1" a="1"/>
  <c r="W28" i="1" a="1"/>
  <c r="H29" i="1" a="1"/>
  <c r="Q204" i="1" a="1"/>
  <c r="B202" i="1" a="1"/>
  <c r="D212" i="1" a="1"/>
  <c r="A198" i="1" a="1"/>
  <c r="X191" i="1" a="1"/>
  <c r="V185" i="1" a="1"/>
  <c r="Q172" i="1" a="1"/>
  <c r="W187" i="1" a="1"/>
  <c r="U189" i="1" a="1"/>
  <c r="I187" i="1" a="1"/>
  <c r="V140" i="1" a="1"/>
  <c r="E170" i="1" a="1"/>
  <c r="W159" i="1" a="1"/>
  <c r="T142" i="1" a="1"/>
  <c r="V149" i="1" a="1"/>
  <c r="C151" i="1" a="1"/>
  <c r="Q156" i="1" a="1"/>
  <c r="J134" i="1" a="1"/>
  <c r="Q111" i="1" a="1"/>
  <c r="L130" i="1" a="1"/>
  <c r="V117" i="1" a="1"/>
  <c r="P134" i="1" a="1"/>
  <c r="F128" i="1" a="1"/>
  <c r="U119" i="1" a="1"/>
  <c r="V123" i="1" a="1"/>
  <c r="L101" i="1" a="1"/>
  <c r="AA109" i="1" a="1"/>
  <c r="L148" i="1" a="1"/>
  <c r="M129" i="1" a="1"/>
  <c r="AA116" i="1" a="1"/>
  <c r="J102" i="1" a="1"/>
  <c r="M117" i="1" a="1"/>
  <c r="L93" i="1" a="1"/>
  <c r="B59" i="1" a="1"/>
  <c r="Q71" i="1" a="1"/>
  <c r="M127" i="1" a="1"/>
  <c r="C75" i="1" a="1"/>
  <c r="V98" i="1" a="1"/>
  <c r="K64" i="1" a="1"/>
  <c r="T105" i="1" a="1"/>
  <c r="L110" i="1" a="1"/>
  <c r="L113" i="1" a="1"/>
  <c r="B80" i="1" a="1"/>
  <c r="I105" i="1" a="1"/>
  <c r="B74" i="1" a="1"/>
  <c r="H88" i="1" a="1"/>
  <c r="J69" i="1" a="1"/>
  <c r="G53" i="1" a="1"/>
  <c r="H81" i="1" a="1"/>
  <c r="AA70" i="1" a="1"/>
  <c r="Q72" i="1" a="1"/>
  <c r="V90" i="1" a="1"/>
  <c r="Z77" i="1" a="1"/>
  <c r="M72" i="1" a="1"/>
  <c r="H85" i="1" a="1"/>
  <c r="J72" i="1" a="1"/>
  <c r="P81" i="1" a="1"/>
  <c r="K41" i="1" a="1"/>
  <c r="A78" i="1" a="1"/>
  <c r="S58" i="1" a="1"/>
  <c r="AA46" i="1" a="1"/>
  <c r="F42" i="1" a="1"/>
  <c r="X95" i="1" a="1"/>
  <c r="L64" i="1" a="1"/>
  <c r="F51" i="1" a="1"/>
  <c r="L58" i="1" a="1"/>
  <c r="B50" i="1" a="1"/>
  <c r="P48" i="1" a="1"/>
  <c r="D47" i="1" a="1"/>
  <c r="I50" i="1" a="1"/>
  <c r="B27" i="1" a="1"/>
  <c r="L27" i="1" a="1"/>
  <c r="S34" i="1" a="1"/>
  <c r="U12" i="1" a="1"/>
  <c r="J2" i="1" a="1"/>
  <c r="K25" i="1" a="1"/>
  <c r="Y48" i="1" a="1"/>
  <c r="AA36" i="1" a="1"/>
  <c r="O40" i="1" a="1"/>
  <c r="X11" i="1" a="1"/>
  <c r="C69" i="1" a="1"/>
  <c r="B41" i="1" a="1"/>
  <c r="O38" i="1" a="1"/>
  <c r="L51" i="1" a="1"/>
  <c r="A28" i="1" a="1"/>
  <c r="K9" i="1" a="1"/>
  <c r="C16" i="1" a="1"/>
  <c r="J31" i="1" a="1"/>
  <c r="C27" i="1" a="1"/>
  <c r="R13" i="1" a="1"/>
  <c r="G29" i="1" a="1"/>
  <c r="Z30" i="1" a="1"/>
  <c r="O4" i="1" a="1"/>
  <c r="H15" i="1" a="1"/>
  <c r="W4" i="1" a="1"/>
  <c r="Q20" i="1" a="1"/>
  <c r="Z8" i="1" a="1"/>
  <c r="P16" i="1" a="1"/>
  <c r="T10" i="1" a="1"/>
  <c r="J7" i="1" a="1"/>
  <c r="I11" i="1" a="1"/>
  <c r="N2" i="1" a="1"/>
  <c r="E6" i="1" a="1"/>
  <c r="K16" i="1" a="1"/>
  <c r="F11" i="1" a="1"/>
  <c r="F8" i="1" a="1"/>
  <c r="S14" i="1" a="1"/>
  <c r="R25" i="1" a="1"/>
  <c r="L6" i="1" a="1"/>
  <c r="N198" i="1" a="1"/>
  <c r="P184" i="1" a="1"/>
  <c r="AA183" i="1" a="1"/>
  <c r="H177" i="1" a="1"/>
  <c r="AA181" i="1" a="1"/>
  <c r="I139" i="1" a="1"/>
  <c r="U147" i="1" a="1"/>
  <c r="Z146" i="1" a="1"/>
  <c r="W150" i="1" a="1"/>
  <c r="O131" i="1" a="1"/>
  <c r="E111" i="1" a="1"/>
  <c r="W122" i="1" a="1"/>
  <c r="L114" i="1" a="1"/>
  <c r="AA99" i="1" a="1"/>
  <c r="O123" i="1" a="1"/>
  <c r="B114" i="1" a="1"/>
  <c r="P108" i="1" a="1"/>
  <c r="O114" i="1" a="1"/>
  <c r="V116" i="1" a="1"/>
  <c r="L90" i="1" a="1"/>
  <c r="I94" i="1" a="1"/>
  <c r="G110" i="1" a="1"/>
  <c r="C125" i="1" a="1"/>
  <c r="D83" i="1" a="1"/>
  <c r="R52" i="1" a="1"/>
  <c r="W69" i="1" a="1"/>
  <c r="I70" i="1" a="1"/>
  <c r="T75" i="1" a="1"/>
  <c r="P75" i="1" a="1"/>
  <c r="E101" i="1" a="1"/>
  <c r="L69" i="1" a="1"/>
  <c r="S75" i="1" a="1"/>
  <c r="G72" i="1" a="1"/>
  <c r="R48" i="1" a="1"/>
  <c r="E47" i="1" a="1"/>
  <c r="L45" i="1" a="1"/>
  <c r="Z72" i="1" a="1"/>
  <c r="Q26" i="1" a="1"/>
  <c r="V10" i="1" a="1"/>
  <c r="A23" i="1" a="1"/>
  <c r="F43" i="1" a="1"/>
  <c r="P28" i="1" a="1"/>
  <c r="Y9" i="1" a="1"/>
  <c r="AA37" i="1" a="1"/>
  <c r="Y46" i="1" a="1"/>
  <c r="P58" i="1" a="1"/>
  <c r="K28" i="1" a="1"/>
  <c r="L49" i="1" a="1"/>
  <c r="Z23" i="1" a="1"/>
  <c r="S13" i="1" a="1"/>
  <c r="R16" i="1" a="1"/>
  <c r="L11" i="1" a="1"/>
  <c r="Z3" i="1" a="1"/>
  <c r="D2" i="1" a="1"/>
  <c r="P12" i="1" a="1"/>
  <c r="I9" i="1" a="1"/>
  <c r="M12" i="1" a="1"/>
  <c r="A24" i="1" a="1"/>
  <c r="I197" i="1" a="1"/>
  <c r="Q211" i="1" a="1"/>
  <c r="A175" i="1" a="1"/>
  <c r="U156" i="1" a="1"/>
  <c r="M173" i="1" a="1"/>
  <c r="B196" i="1" a="1"/>
  <c r="J166" i="1" a="1"/>
  <c r="O141" i="1" a="1"/>
  <c r="F154" i="1" a="1"/>
  <c r="E133" i="1" a="1"/>
  <c r="P127" i="1" a="1"/>
  <c r="B122" i="1" a="1"/>
  <c r="T113" i="1" a="1"/>
  <c r="H99" i="1" a="1"/>
  <c r="L121" i="1" a="1"/>
  <c r="T112" i="1" a="1"/>
  <c r="J103" i="1" a="1"/>
  <c r="R112" i="1" a="1"/>
  <c r="U70" i="1" a="1"/>
  <c r="G92" i="1" a="1"/>
  <c r="V107" i="1" a="1"/>
  <c r="G115" i="1" a="1"/>
  <c r="T82" i="1" a="1"/>
  <c r="J52" i="1" a="1"/>
  <c r="H69" i="1" a="1"/>
  <c r="V69" i="1" a="1"/>
  <c r="AA74" i="1" a="1"/>
  <c r="AA68" i="1" a="1"/>
  <c r="Y39" i="1" a="1"/>
  <c r="W52" i="1" a="1"/>
  <c r="A41" i="1" a="1"/>
  <c r="H48" i="1" a="1"/>
  <c r="M45" i="1" a="1"/>
  <c r="C45" i="1" a="1"/>
  <c r="N65" i="1" a="1"/>
  <c r="S28" i="1" a="1"/>
  <c r="K71" i="1" a="1"/>
  <c r="J41" i="1" a="1"/>
  <c r="D28" i="1" a="1"/>
  <c r="O48" i="1" a="1"/>
  <c r="E36" i="1" a="1"/>
  <c r="L22" i="1" a="1"/>
  <c r="O12" i="1" a="1"/>
  <c r="N25" i="1" a="1"/>
  <c r="H24" i="1" a="1"/>
  <c r="P5" i="1" a="1"/>
  <c r="Z19" i="1" a="1"/>
  <c r="S6" i="1" a="1"/>
  <c r="K8" i="1" a="1"/>
  <c r="A7" i="1" a="1"/>
  <c r="C28" i="1" a="1"/>
  <c r="Z6" i="1" a="1"/>
  <c r="D11" i="1" a="1"/>
  <c r="F4" i="1" a="1"/>
  <c r="D208" i="1" a="1"/>
  <c r="V190" i="1" a="1"/>
  <c r="T171" i="1" a="1"/>
  <c r="L180" i="1" a="1"/>
  <c r="O168" i="1" a="1"/>
  <c r="T175" i="1" a="1"/>
  <c r="R150" i="1" a="1"/>
  <c r="U139" i="1" a="1"/>
  <c r="W145" i="1" a="1"/>
  <c r="D165" i="1" a="1"/>
  <c r="D134" i="1" a="1"/>
  <c r="S119" i="1" a="1"/>
  <c r="W104" i="1" a="1"/>
  <c r="Q92" i="1" a="1"/>
  <c r="K116" i="1" a="1"/>
  <c r="M103" i="1" a="1"/>
  <c r="M93" i="1" a="1"/>
  <c r="I102" i="1" a="1"/>
  <c r="B107" i="1" a="1"/>
  <c r="C68" i="1" a="1"/>
  <c r="U105" i="1" a="1"/>
  <c r="J118" i="1" a="1"/>
  <c r="O106" i="1" a="1"/>
  <c r="I64" i="1" a="1"/>
  <c r="M70" i="1" a="1"/>
  <c r="P66" i="1" a="1"/>
  <c r="B72" i="1" a="1"/>
  <c r="K66" i="1" a="1"/>
  <c r="J66" i="1" a="1"/>
  <c r="W37" i="1" a="1"/>
  <c r="S98" i="1" a="1"/>
  <c r="O39" i="1" a="1"/>
  <c r="F47" i="1" a="1"/>
  <c r="P43" i="1" a="1"/>
  <c r="B214" i="1" a="1"/>
  <c r="Y198" i="1" a="1"/>
  <c r="H210" i="1" a="1"/>
  <c r="Q193" i="1" a="1"/>
  <c r="U187" i="1" a="1"/>
  <c r="S184" i="1" a="1"/>
  <c r="Z168" i="1" a="1"/>
  <c r="Y184" i="1" a="1"/>
  <c r="K185" i="1" a="1"/>
  <c r="L178" i="1" a="1"/>
  <c r="Q139" i="1" a="1"/>
  <c r="M169" i="1" a="1"/>
  <c r="P151" i="1" a="1"/>
  <c r="L142" i="1" a="1"/>
  <c r="P147" i="1" a="1"/>
  <c r="C135" i="1" a="1"/>
  <c r="I155" i="1" a="1"/>
  <c r="B134" i="1" a="1"/>
  <c r="X134" i="1" a="1"/>
  <c r="F126" i="1" a="1"/>
  <c r="A117" i="1" a="1"/>
  <c r="A124" i="1" a="1"/>
  <c r="U127" i="1" a="1"/>
  <c r="B115" i="1" a="1"/>
  <c r="O108" i="1" a="1"/>
  <c r="T100" i="1" a="1"/>
  <c r="M109" i="1" a="1"/>
  <c r="V126" i="1" a="1"/>
  <c r="J122" i="1" a="1"/>
  <c r="K115" i="1" a="1"/>
  <c r="Z100" i="1" a="1"/>
  <c r="C115" i="1" a="1"/>
  <c r="O91" i="1" a="1"/>
  <c r="S56" i="1" a="1"/>
  <c r="L70" i="1" a="1"/>
  <c r="C123" i="1" a="1"/>
  <c r="D73" i="1" a="1"/>
  <c r="J91" i="1" a="1"/>
  <c r="A64" i="1" a="1"/>
  <c r="Z97" i="1" a="1"/>
  <c r="D109" i="1" a="1"/>
  <c r="W111" i="1" a="1"/>
  <c r="G118" i="1" a="1"/>
  <c r="X101" i="1" a="1"/>
  <c r="S73" i="1" a="1"/>
  <c r="U84" i="1" a="1"/>
  <c r="V68" i="1" a="1"/>
  <c r="Z52" i="1" a="1"/>
  <c r="Q74" i="1" a="1"/>
  <c r="K70" i="1" a="1"/>
  <c r="Z70" i="1" a="1"/>
  <c r="Y78" i="1" a="1"/>
  <c r="E77" i="1" a="1"/>
  <c r="W71" i="1" a="1"/>
  <c r="V77" i="1" a="1"/>
  <c r="C70" i="1" a="1"/>
  <c r="I79" i="1" a="1"/>
  <c r="V40" i="1" a="1"/>
  <c r="E74" i="1" a="1"/>
  <c r="E54" i="1" a="1"/>
  <c r="R96" i="1" a="1"/>
  <c r="Y41" i="1" a="1"/>
  <c r="U79" i="1" a="1"/>
  <c r="M55" i="1" a="1"/>
  <c r="M50" i="1" a="1"/>
  <c r="Y57" i="1" a="1"/>
  <c r="X47" i="1" a="1"/>
  <c r="W47" i="1" a="1"/>
  <c r="U45" i="1" a="1"/>
  <c r="A45" i="1" a="1"/>
  <c r="F90" i="1" a="1"/>
  <c r="A27" i="1" a="1"/>
  <c r="I32" i="1" a="1"/>
  <c r="AA11" i="1" a="1"/>
  <c r="E24" i="1" a="1"/>
  <c r="F24" i="1" a="1"/>
  <c r="I46" i="1" a="1"/>
  <c r="K36" i="1" a="1"/>
  <c r="E42" i="1" a="1"/>
  <c r="S10" i="1" a="1"/>
  <c r="K59" i="1" a="1"/>
  <c r="E39" i="1" a="1"/>
  <c r="J37" i="1" a="1"/>
  <c r="V49" i="1" a="1"/>
  <c r="E25" i="1" a="1"/>
  <c r="H67" i="1" a="1"/>
  <c r="Y14" i="1" a="1"/>
  <c r="V29" i="1" a="1"/>
  <c r="S26" i="1" a="1"/>
  <c r="H55" i="1" a="1"/>
  <c r="U28" i="1" a="1"/>
  <c r="X26" i="1" a="1"/>
  <c r="I2" i="1" a="1"/>
  <c r="M14" i="1" a="1"/>
  <c r="Y29" i="1" a="1"/>
  <c r="L17" i="1" a="1"/>
  <c r="Z7" i="1" a="1"/>
  <c r="A15" i="1" a="1"/>
  <c r="M9" i="1" a="1"/>
  <c r="I4" i="1" a="1"/>
  <c r="R10" i="1" a="1"/>
  <c r="H8" i="1" a="1"/>
  <c r="G9" i="1" a="1"/>
  <c r="A14" i="1" a="1"/>
  <c r="O10" i="1" a="1"/>
  <c r="M6" i="1" a="1"/>
  <c r="F13" i="1" a="1"/>
  <c r="K12" i="1" a="1"/>
  <c r="B6" i="1" a="1"/>
  <c r="V210" i="1" a="1"/>
  <c r="M206" i="1" a="1"/>
  <c r="F185" i="1" a="1"/>
  <c r="A158" i="1" a="1"/>
  <c r="G172" i="1" a="1"/>
  <c r="W168" i="1" a="1"/>
  <c r="D142" i="1" a="1"/>
  <c r="H158" i="1" a="1"/>
  <c r="U133" i="1" a="1"/>
  <c r="Q116" i="1" a="1"/>
  <c r="G127" i="1" a="1"/>
  <c r="A104" i="1" a="1"/>
  <c r="P105" i="1" a="1"/>
  <c r="G120" i="1" a="1"/>
  <c r="W99" i="1" a="1"/>
  <c r="Q90" i="1" a="1"/>
  <c r="G69" i="1" a="1"/>
  <c r="O71" i="1" a="1"/>
  <c r="AA62" i="1" a="1"/>
  <c r="W107" i="1" a="1"/>
  <c r="L104" i="1" a="1"/>
  <c r="X72" i="1" a="1"/>
  <c r="U67" i="1" a="1"/>
  <c r="K73" i="1" a="1"/>
  <c r="I77" i="1" a="1"/>
  <c r="S70" i="1" a="1"/>
  <c r="M69" i="1" a="1"/>
  <c r="F40" i="1" a="1"/>
  <c r="H53" i="1" a="1"/>
  <c r="Q41" i="1" a="1"/>
  <c r="A54" i="1" a="1"/>
  <c r="W56" i="1" a="1"/>
  <c r="V46" i="1" a="1"/>
  <c r="Y72" i="1" a="1"/>
  <c r="E29" i="1" a="1"/>
  <c r="V21" i="1" a="1"/>
  <c r="A34" i="1" a="1"/>
  <c r="V51" i="1" a="1"/>
  <c r="U36" i="1" a="1"/>
  <c r="V22" i="1" a="1"/>
  <c r="T13" i="1" a="1"/>
  <c r="Y25" i="1" a="1"/>
  <c r="R26" i="1" a="1"/>
  <c r="K6" i="1" a="1"/>
  <c r="G25" i="1" a="1"/>
  <c r="B7" i="1" a="1"/>
  <c r="Y8" i="1" a="1"/>
  <c r="J8" i="1" a="1"/>
  <c r="P4" i="1" a="1"/>
  <c r="G4" i="1" a="1"/>
  <c r="Y4" i="1" a="1"/>
  <c r="A209" i="1" a="1"/>
  <c r="U182" i="1" a="1"/>
  <c r="W196" i="1" a="1"/>
  <c r="Q179" i="1" a="1"/>
  <c r="A139" i="1" a="1"/>
  <c r="O145" i="1" a="1"/>
  <c r="B145" i="1" a="1"/>
  <c r="T146" i="1" a="1"/>
  <c r="V152" i="1" a="1"/>
  <c r="W115" i="1" a="1"/>
  <c r="W126" i="1" a="1"/>
  <c r="G103" i="1" a="1"/>
  <c r="Z103" i="1" a="1"/>
  <c r="W117" i="1" a="1"/>
  <c r="C99" i="1" a="1"/>
  <c r="C90" i="1" a="1"/>
  <c r="N68" i="1" a="1"/>
  <c r="M114" i="1" a="1"/>
  <c r="AA88" i="1" a="1"/>
  <c r="R62" i="1" a="1"/>
  <c r="Y121" i="1" a="1"/>
  <c r="L103" i="1" a="1"/>
  <c r="N72" i="1" a="1"/>
  <c r="T66" i="1" a="1"/>
  <c r="S72" i="1" a="1"/>
  <c r="D75" i="1" a="1"/>
  <c r="A69" i="1" a="1"/>
  <c r="G74" i="1" a="1"/>
  <c r="B78" i="1" a="1"/>
  <c r="A67" i="1" a="1"/>
  <c r="V73" i="1" a="1"/>
  <c r="AA67" i="1" a="1"/>
  <c r="D53" i="1" a="1"/>
  <c r="J56" i="1" a="1"/>
  <c r="M46" i="1" a="1"/>
  <c r="B61" i="1" a="1"/>
  <c r="G26" i="1" a="1"/>
  <c r="W8" i="1" a="1"/>
  <c r="R20" i="1" a="1"/>
  <c r="L33" i="1" a="1"/>
  <c r="N78" i="1" a="1"/>
  <c r="K37" i="1" a="1"/>
  <c r="W42" i="1" a="1"/>
  <c r="U55" i="1" a="1"/>
  <c r="D27" i="1" a="1"/>
  <c r="R46" i="1" a="1"/>
  <c r="X22" i="1" a="1"/>
  <c r="G12" i="1" a="1"/>
  <c r="X15" i="1" a="1"/>
  <c r="W10" i="1" a="1"/>
  <c r="D3" i="1" a="1"/>
  <c r="AA16" i="1" a="1"/>
  <c r="J9" i="1" a="1"/>
  <c r="B24" i="1" a="1"/>
  <c r="Y20" i="1" a="1"/>
  <c r="Y202" i="1" a="1"/>
  <c r="R172" i="1" a="1"/>
  <c r="N203" i="1" a="1"/>
  <c r="I173" i="1" a="1"/>
  <c r="V170" i="1" a="1"/>
  <c r="H166" i="1" a="1"/>
  <c r="N150" i="1" a="1"/>
  <c r="N141" i="1" a="1"/>
  <c r="L123" i="1" a="1"/>
  <c r="Q134" i="1" a="1"/>
  <c r="D125" i="1" a="1"/>
  <c r="R99" i="1" a="1"/>
  <c r="J100" i="1" a="1"/>
  <c r="N111" i="1" a="1"/>
  <c r="L126" i="1" a="1"/>
  <c r="M86" i="1" a="1"/>
  <c r="U150" i="1" a="1"/>
  <c r="L85" i="1" a="1"/>
  <c r="T86" i="1" a="1"/>
  <c r="D101" i="1" a="1"/>
  <c r="S97" i="1" a="1"/>
  <c r="I69" i="1" a="1"/>
  <c r="Z81" i="1" a="1"/>
  <c r="K49" i="1" a="1"/>
  <c r="G64" i="1" a="1"/>
  <c r="P68" i="1" a="1"/>
  <c r="V71" i="1" a="1"/>
  <c r="C62" i="1" a="1"/>
  <c r="B62" i="1" a="1"/>
  <c r="X61" i="1" a="1"/>
  <c r="C61" i="1" a="1"/>
  <c r="Z51" i="1" a="1"/>
  <c r="C50" i="1" a="1"/>
  <c r="D46" i="1" a="1"/>
  <c r="B206" i="1" a="1"/>
  <c r="M202" i="1" a="1"/>
  <c r="AA212" i="1" a="1"/>
  <c r="T198" i="1" a="1"/>
  <c r="I172" i="1" a="1"/>
  <c r="Z174" i="1" a="1"/>
  <c r="A201" i="1" a="1"/>
  <c r="P165" i="1" a="1"/>
  <c r="F158" i="1" a="1"/>
  <c r="P171" i="1" a="1"/>
  <c r="G170" i="1" a="1"/>
  <c r="W165" i="1" a="1"/>
  <c r="R161" i="1" a="1"/>
  <c r="M139" i="1" a="1"/>
  <c r="C138" i="1" a="1"/>
  <c r="K145" i="1" a="1"/>
  <c r="V147" i="1" a="1"/>
  <c r="N153" i="1" a="1"/>
  <c r="R122" i="1" a="1"/>
  <c r="O133" i="1" a="1"/>
  <c r="P150" i="1" a="1"/>
  <c r="B152" i="1" a="1"/>
  <c r="U124" i="1" a="1"/>
  <c r="M101" i="1" a="1"/>
  <c r="Z98" i="1" a="1"/>
  <c r="L91" i="1" a="1"/>
  <c r="AA94" i="1" a="1"/>
  <c r="X114" i="1" a="1"/>
  <c r="Z110" i="1" a="1"/>
  <c r="N99" i="1" a="1"/>
  <c r="H124" i="1" a="1"/>
  <c r="N92" i="1" a="1"/>
  <c r="B83" i="1" a="1"/>
  <c r="T96" i="1" a="1"/>
  <c r="Q112" i="1" a="1"/>
  <c r="M90" i="1" a="1"/>
  <c r="T67" i="1" a="1"/>
  <c r="A85" i="1" a="1"/>
  <c r="AA97" i="1" a="1"/>
  <c r="G86" i="1" a="1"/>
  <c r="Y115" i="1" a="1"/>
  <c r="S95" i="1" a="1"/>
  <c r="A97" i="1" a="1"/>
  <c r="Q102" i="1" a="1"/>
  <c r="P117" i="1" a="1"/>
  <c r="O81" i="1" a="1"/>
  <c r="Y63" i="1" a="1"/>
  <c r="N48" i="1" a="1"/>
  <c r="R67" i="1" a="1"/>
  <c r="C66" i="1" a="1"/>
  <c r="J63" i="1" a="1"/>
  <c r="L71" i="1" a="1"/>
  <c r="P64" i="1" a="1"/>
  <c r="F63" i="1" a="1"/>
  <c r="H71" i="1" a="1"/>
  <c r="V65" i="1" a="1"/>
  <c r="R55" i="1" a="1"/>
  <c r="G37" i="1" a="1"/>
  <c r="P60" i="1" a="1"/>
  <c r="D74" i="1" a="1"/>
  <c r="F59" i="1" a="1"/>
  <c r="G39" i="1" a="1"/>
  <c r="C54" i="1" a="1"/>
  <c r="D50" i="1" a="1"/>
  <c r="X46" i="1" a="1"/>
  <c r="E46" i="1" a="1"/>
  <c r="H43" i="1" a="1"/>
  <c r="V45" i="1" a="1"/>
  <c r="U41" i="1" a="1"/>
  <c r="V47" i="1" a="1"/>
  <c r="J44" i="1" a="1"/>
  <c r="X21" i="1" a="1"/>
  <c r="AA26" i="1" a="1"/>
  <c r="M19" i="1" a="1"/>
  <c r="I42" i="1" a="1"/>
  <c r="R18" i="1" a="1"/>
  <c r="J27" i="1" a="1"/>
  <c r="O29" i="1" a="1"/>
  <c r="N26" i="1" a="1"/>
  <c r="B46" i="1" a="1"/>
  <c r="Q38" i="1" a="1"/>
  <c r="Q35" i="1" a="1"/>
  <c r="AA34" i="1" a="1"/>
  <c r="N38" i="1" a="1"/>
  <c r="G21" i="1" a="1"/>
  <c r="E48" i="1" a="1"/>
  <c r="R43" i="1" a="1"/>
  <c r="O25" i="1" a="1"/>
  <c r="I24" i="1" a="1"/>
  <c r="P39" i="1" a="1"/>
  <c r="C23" i="1" a="1"/>
  <c r="H19" i="1" a="1"/>
  <c r="E7" i="1" a="1"/>
  <c r="Y10" i="1" a="1"/>
  <c r="Y12" i="1" a="1"/>
  <c r="W12" i="1" a="1"/>
  <c r="N5" i="1" a="1"/>
  <c r="L2" i="1" a="1"/>
  <c r="H6" i="1" a="1"/>
  <c r="Q2" i="1" a="1"/>
  <c r="W5" i="1" a="1"/>
  <c r="T3" i="1" a="1"/>
  <c r="A18" i="1" a="1"/>
  <c r="H5" i="1" a="1"/>
  <c r="K5" i="1" a="1"/>
  <c r="R7" i="1" a="1"/>
  <c r="U7" i="1" a="1"/>
  <c r="I19" i="1" a="1"/>
  <c r="C3" i="1" a="1"/>
  <c r="Z213" i="1" a="1"/>
  <c r="G201" i="1" a="1"/>
  <c r="Z204" i="1" a="1"/>
  <c r="B208" i="1" a="1"/>
  <c r="Z200" i="1" a="1"/>
  <c r="F172" i="1" a="1"/>
  <c r="V198" i="1" a="1"/>
  <c r="Z164" i="1" a="1"/>
  <c r="S193" i="1" a="1"/>
  <c r="B169" i="1" a="1"/>
  <c r="A169" i="1" a="1"/>
  <c r="Y164" i="1" a="1"/>
  <c r="X158" i="1" a="1"/>
  <c r="L184" i="1" a="1"/>
  <c r="Q136" i="1" a="1"/>
  <c r="J143" i="1" a="1"/>
  <c r="T145" i="1" a="1"/>
  <c r="R146" i="1" a="1"/>
  <c r="G122" i="1" a="1"/>
  <c r="Z131" i="1" a="1"/>
  <c r="F135" i="1" a="1"/>
  <c r="H163" i="1" a="1"/>
  <c r="U122" i="1" a="1"/>
  <c r="B100" i="1" a="1"/>
  <c r="Y96" i="1" a="1"/>
  <c r="D91" i="1" a="1"/>
  <c r="S124" i="1" a="1"/>
  <c r="M110" i="1" a="1"/>
  <c r="J110" i="1" a="1"/>
  <c r="U98" i="1" a="1"/>
  <c r="F123" i="1" a="1"/>
  <c r="B91" i="1" a="1"/>
  <c r="I78" i="1" a="1"/>
  <c r="O94" i="1" a="1"/>
  <c r="A111" i="1" a="1"/>
  <c r="F87" i="1" a="1"/>
  <c r="J67" i="1" a="1"/>
  <c r="P84" i="1" a="1"/>
  <c r="U95" i="1" a="1"/>
  <c r="K85" i="1" a="1"/>
  <c r="U113" i="1" a="1"/>
  <c r="F94" i="1" a="1"/>
  <c r="Q93" i="1" a="1"/>
  <c r="R97" i="1" a="1"/>
  <c r="D113" i="1" a="1"/>
  <c r="U80" i="1" a="1"/>
  <c r="B63" i="1" a="1"/>
  <c r="Y47" i="1" a="1"/>
  <c r="Q66" i="1" a="1"/>
  <c r="R65" i="1" a="1"/>
  <c r="Z60" i="1" a="1"/>
  <c r="Y70" i="1" a="1"/>
  <c r="D64" i="1" a="1"/>
  <c r="V59" i="1" a="1"/>
  <c r="R70" i="1" a="1"/>
  <c r="J65" i="1" a="1"/>
  <c r="Y52" i="1" a="1"/>
  <c r="Z36" i="1" a="1"/>
  <c r="T58" i="1" a="1"/>
  <c r="K69" i="1" a="1"/>
  <c r="Q58" i="1" a="1"/>
  <c r="Z38" i="1" a="1"/>
  <c r="AA51" i="1" a="1"/>
  <c r="U49" i="1" a="1"/>
  <c r="O46" i="1" a="1"/>
  <c r="N45" i="1" a="1"/>
  <c r="AA42" i="1" a="1"/>
  <c r="M44" i="1" a="1"/>
  <c r="E41" i="1" a="1"/>
  <c r="P46" i="1" a="1"/>
  <c r="L43" i="1" a="1"/>
  <c r="C21" i="1" a="1"/>
  <c r="F26" i="1" a="1"/>
  <c r="H18" i="1" a="1"/>
  <c r="A37" i="1" a="1"/>
  <c r="T12" i="1" a="1"/>
  <c r="AA24" i="1" a="1"/>
  <c r="Y26" i="1" a="1"/>
  <c r="C26" i="1" a="1"/>
  <c r="AA44" i="1" a="1"/>
  <c r="L37" i="1" a="1"/>
  <c r="W33" i="1" a="1"/>
  <c r="K34" i="1" a="1"/>
  <c r="T36" i="1" a="1"/>
  <c r="L20" i="1" a="1"/>
  <c r="U46" i="1" a="1"/>
  <c r="W40" i="1" a="1"/>
  <c r="D25" i="1" a="1"/>
  <c r="O23" i="1" a="1"/>
  <c r="K38" i="1" a="1"/>
  <c r="Y21" i="1" a="1"/>
  <c r="N18" i="1" a="1"/>
  <c r="H2" i="1" a="1"/>
  <c r="U6" i="1" a="1"/>
  <c r="M29" i="1" a="1"/>
  <c r="C12" i="1" a="1"/>
  <c r="V4" i="1" a="1"/>
  <c r="S8" i="1" a="1"/>
  <c r="D5" i="1" a="1"/>
  <c r="O28" i="1" a="1"/>
  <c r="J4" i="1" a="1"/>
  <c r="K22" i="1" a="1"/>
  <c r="G17" i="1" a="1"/>
  <c r="X25" i="1" a="1"/>
  <c r="H4" i="1" a="1"/>
  <c r="X3" i="1" a="1"/>
  <c r="Y6" i="1" a="1"/>
  <c r="O18" i="1" a="1"/>
  <c r="K3" i="1" a="1"/>
  <c r="W198" i="1" a="1"/>
  <c r="G185" i="1" a="1"/>
  <c r="Q168" i="1" a="1"/>
  <c r="Q171" i="1" a="1"/>
  <c r="A152" i="1" a="1"/>
  <c r="X165" i="1" a="1"/>
  <c r="S166" i="1" a="1"/>
  <c r="AA130" i="1" a="1"/>
  <c r="L151" i="1" a="1"/>
  <c r="P107" i="1" a="1"/>
  <c r="H129" i="1" a="1"/>
  <c r="B129" i="1" a="1"/>
  <c r="K128" i="1" a="1"/>
  <c r="Z112" i="1" a="1"/>
  <c r="L97" i="1" a="1"/>
  <c r="C146" i="1" a="1"/>
  <c r="B67" i="1" a="1"/>
  <c r="R88" i="1" a="1"/>
  <c r="V83" i="1" a="1"/>
  <c r="H74" i="1" a="1"/>
  <c r="I81" i="1" a="1"/>
  <c r="X88" i="1" a="1"/>
  <c r="V84" i="1" a="1"/>
  <c r="W74" i="1" a="1"/>
  <c r="J213" i="1" a="1"/>
  <c r="I210" i="1" a="1"/>
  <c r="E203" i="1" a="1"/>
  <c r="E202" i="1" a="1"/>
  <c r="Z199" i="1" a="1"/>
  <c r="D197" i="1" a="1"/>
  <c r="M195" i="1" a="1"/>
  <c r="S163" i="1" a="1"/>
  <c r="R190" i="1" a="1"/>
  <c r="X161" i="1" a="1"/>
  <c r="M165" i="1" a="1"/>
  <c r="M164" i="1" a="1"/>
  <c r="U192" i="1" a="1"/>
  <c r="F176" i="1" a="1"/>
  <c r="A136" i="1" a="1"/>
  <c r="R138" i="1" a="1"/>
  <c r="G139" i="1" a="1"/>
  <c r="I145" i="1" a="1"/>
  <c r="M121" i="1" a="1"/>
  <c r="Z128" i="1" a="1"/>
  <c r="W131" i="1" a="1"/>
  <c r="Q154" i="1" a="1"/>
  <c r="F121" i="1" a="1"/>
  <c r="I99" i="1" a="1"/>
  <c r="R95" i="1" a="1"/>
  <c r="W90" i="1" a="1"/>
  <c r="L120" i="1" a="1"/>
  <c r="X108" i="1" a="1"/>
  <c r="I109" i="1" a="1"/>
  <c r="M96" i="1" a="1"/>
  <c r="D122" i="1" a="1"/>
  <c r="D90" i="1" a="1"/>
  <c r="Z75" i="1" a="1"/>
  <c r="Z91" i="1" a="1"/>
  <c r="Q109" i="1" a="1"/>
  <c r="V86" i="1" a="1"/>
  <c r="AA66" i="1" a="1"/>
  <c r="U83" i="1" a="1"/>
  <c r="U93" i="1" a="1"/>
  <c r="AA84" i="1" a="1"/>
  <c r="Y111" i="1" a="1"/>
  <c r="S92" i="1" a="1"/>
  <c r="T90" i="1" a="1"/>
  <c r="P93" i="1" a="1"/>
  <c r="Y109" i="1" a="1"/>
  <c r="J80" i="1" a="1"/>
  <c r="F62" i="1" a="1"/>
  <c r="Q47" i="1" a="1"/>
  <c r="D66" i="1" a="1"/>
  <c r="W63" i="1" a="1"/>
  <c r="Q60" i="1" a="1"/>
  <c r="U69" i="1" a="1"/>
  <c r="R63" i="1" a="1"/>
  <c r="M59" i="1" a="1"/>
  <c r="L68" i="1" a="1"/>
  <c r="Y64" i="1" a="1"/>
  <c r="R50" i="1" a="1"/>
  <c r="R36" i="1" a="1"/>
  <c r="D58" i="1" a="1"/>
  <c r="U65" i="1" a="1"/>
  <c r="B58" i="1" a="1"/>
  <c r="R38" i="1" a="1"/>
  <c r="H51" i="1" a="1"/>
  <c r="A49" i="1" a="1"/>
  <c r="E45" i="1" a="1"/>
  <c r="N44" i="1" a="1"/>
  <c r="S42" i="1" a="1"/>
  <c r="S90" i="1" a="1"/>
  <c r="X40" i="1" a="1"/>
  <c r="O42" i="1" a="1"/>
  <c r="M42" i="1" a="1"/>
  <c r="N89" i="1" a="1"/>
  <c r="V25" i="1" a="1"/>
  <c r="M17" i="1" a="1"/>
  <c r="W35" i="1" a="1"/>
  <c r="E11" i="1" a="1"/>
  <c r="V23" i="1" a="1"/>
  <c r="D26" i="1" a="1"/>
  <c r="I25" i="1" a="1"/>
  <c r="D41" i="1" a="1"/>
  <c r="G36" i="1" a="1"/>
  <c r="G33" i="1" a="1"/>
  <c r="V33" i="1" a="1"/>
  <c r="Z34" i="1" a="1"/>
  <c r="B20" i="1" a="1"/>
  <c r="T45" i="1" a="1"/>
  <c r="G40" i="1" a="1"/>
  <c r="J24" i="1" a="1"/>
  <c r="D23" i="1" a="1"/>
  <c r="V37" i="1" a="1"/>
  <c r="T20" i="1" a="1"/>
  <c r="Y16" i="1" a="1"/>
  <c r="M11" i="1" a="1"/>
  <c r="N11" i="1" a="1"/>
  <c r="R21" i="1" a="1"/>
  <c r="F10" i="1" a="1"/>
  <c r="AA2" i="1" a="1"/>
  <c r="X6" i="1" a="1"/>
  <c r="A4" i="1" a="1"/>
  <c r="N23" i="1" a="1"/>
  <c r="H21" i="1" a="1"/>
  <c r="S19" i="1" a="1"/>
  <c r="M16" i="1" a="1"/>
  <c r="I20" i="1" a="1"/>
  <c r="P3" i="1" a="1"/>
  <c r="T5" i="1" a="1"/>
  <c r="T17" i="1" a="1"/>
  <c r="X12" i="1" a="1"/>
  <c r="AA209" i="1" a="1"/>
  <c r="A207" i="1" a="1"/>
  <c r="Y199" i="1" a="1"/>
  <c r="AA185" i="1" a="1"/>
  <c r="W204" i="1" a="1"/>
  <c r="AA168" i="1" a="1"/>
  <c r="O183" i="1" a="1"/>
  <c r="O185" i="1" a="1"/>
  <c r="W186" i="1" a="1"/>
  <c r="C156" i="1" a="1"/>
  <c r="K154" i="1" a="1"/>
  <c r="W156" i="1" a="1"/>
  <c r="Z169" i="1" a="1"/>
  <c r="A168" i="1" a="1"/>
  <c r="X131" i="1" a="1"/>
  <c r="L155" i="1" a="1"/>
  <c r="X135" i="1" a="1"/>
  <c r="S126" i="1" a="1"/>
  <c r="P111" i="1" a="1"/>
  <c r="AA122" i="1" a="1"/>
  <c r="U129" i="1" a="1"/>
  <c r="N144" i="1" a="1"/>
  <c r="Q135" i="1" a="1"/>
  <c r="Z92" i="1" a="1"/>
  <c r="Y129" i="1" a="1"/>
  <c r="M88" i="1" a="1"/>
  <c r="O113" i="1" a="1"/>
  <c r="E103" i="1" a="1"/>
  <c r="I106" i="1" a="1"/>
  <c r="H94" i="1" a="1"/>
  <c r="U153" i="1" a="1"/>
  <c r="S82" i="1" a="1"/>
  <c r="L67" i="1" a="1"/>
  <c r="P89" i="1" a="1"/>
  <c r="A99" i="1" a="1"/>
  <c r="F84" i="1" a="1"/>
  <c r="E65" i="1" a="1"/>
  <c r="K79" i="1" a="1"/>
  <c r="U92" i="1" a="1"/>
  <c r="T81" i="1" a="1"/>
  <c r="F92" i="1" a="1"/>
  <c r="I90" i="1" a="1"/>
  <c r="L87" i="1" a="1"/>
  <c r="D86" i="1" a="1"/>
  <c r="D104" i="1" a="1"/>
  <c r="A76" i="1" a="1"/>
  <c r="J60" i="1" a="1"/>
  <c r="Y88" i="1" a="1"/>
  <c r="P62" i="1" a="1"/>
  <c r="H59" i="1" a="1"/>
  <c r="D56" i="1" a="1"/>
  <c r="P67" i="1" a="1"/>
  <c r="X60" i="1" a="1"/>
  <c r="Q56" i="1" a="1"/>
  <c r="Z64" i="1" a="1"/>
  <c r="E63" i="1" a="1"/>
  <c r="F49" i="1" a="1"/>
  <c r="B36" i="1" a="1"/>
  <c r="T51" i="1" a="1"/>
  <c r="C58" i="1" a="1"/>
  <c r="B55" i="1" a="1"/>
  <c r="X36" i="1" a="1"/>
  <c r="O50" i="1" a="1"/>
  <c r="F46" i="1" a="1"/>
  <c r="I43" i="1" a="1"/>
  <c r="D92" i="1" a="1"/>
  <c r="N41" i="1" a="1"/>
  <c r="E64" i="1" a="1"/>
  <c r="S69" i="1" a="1"/>
  <c r="C40" i="1" a="1"/>
  <c r="S37" i="1" a="1"/>
  <c r="B65" i="1" a="1"/>
  <c r="A25" i="1" a="1"/>
  <c r="O13" i="1" a="1"/>
  <c r="G35" i="1" a="1"/>
  <c r="AA9" i="1" a="1"/>
  <c r="B19" i="1" a="1"/>
  <c r="J23" i="1" a="1"/>
  <c r="T23" i="1" a="1"/>
  <c r="N37" i="1" a="1"/>
  <c r="B35" i="1" a="1"/>
  <c r="R32" i="1" a="1"/>
  <c r="X30" i="1" a="1"/>
  <c r="J34" i="1" a="1"/>
  <c r="G19" i="1" a="1"/>
  <c r="H30" i="1" a="1"/>
  <c r="R39" i="1" a="1"/>
  <c r="M61" i="1" a="1"/>
  <c r="AA19" i="1" a="1"/>
  <c r="F37" i="1" a="1"/>
  <c r="J20" i="1" a="1"/>
  <c r="U13" i="1" a="1"/>
  <c r="G10" i="1" a="1"/>
  <c r="P7" i="1" a="1"/>
  <c r="D19" i="1" a="1"/>
  <c r="O9" i="1" a="1"/>
  <c r="P2" i="1" a="1"/>
  <c r="M3" i="1" a="1"/>
  <c r="I3" i="1" a="1"/>
  <c r="Y18" i="1" a="1"/>
  <c r="C18" i="1" a="1"/>
  <c r="Z14" i="1" a="1"/>
  <c r="R15" i="1" a="1"/>
  <c r="N19" i="1" a="1"/>
  <c r="E3" i="1" a="1"/>
  <c r="R27" i="1" a="1"/>
  <c r="Y3" i="1" a="1"/>
  <c r="Z16" i="1" a="1"/>
  <c r="E206" i="1" a="1"/>
  <c r="N199" i="1" a="1"/>
  <c r="O195" i="1" a="1"/>
  <c r="O181" i="1" a="1"/>
  <c r="C186" i="1" a="1"/>
  <c r="K156" i="1" a="1"/>
  <c r="K162" i="1" a="1"/>
  <c r="E154" i="1" a="1"/>
  <c r="W125" i="1" a="1"/>
  <c r="R165" i="1" a="1"/>
  <c r="Z141" i="1" a="1"/>
  <c r="E91" i="1" a="1"/>
  <c r="C86" i="1" a="1"/>
  <c r="C102" i="1" a="1"/>
  <c r="A147" i="1" a="1"/>
  <c r="X128" i="1" a="1"/>
  <c r="X92" i="1" a="1"/>
  <c r="P145" i="1" a="1"/>
  <c r="H92" i="1" a="1"/>
  <c r="K88" i="1" a="1"/>
  <c r="P86" i="1" a="1"/>
  <c r="P102" i="1" a="1"/>
  <c r="U57" i="1" a="1"/>
  <c r="R205" i="1" a="1"/>
  <c r="Z180" i="1" a="1"/>
  <c r="P160" i="1" a="1"/>
  <c r="P182" i="1" a="1"/>
  <c r="R144" i="1" a="1"/>
  <c r="M168" i="1" a="1"/>
  <c r="F147" i="1" a="1"/>
  <c r="V139" i="1" a="1"/>
  <c r="R129" i="1" a="1"/>
  <c r="Z126" i="1" a="1"/>
  <c r="T104" i="1" a="1"/>
  <c r="E121" i="1" a="1"/>
  <c r="S66" i="1" a="1"/>
  <c r="C85" i="1" a="1"/>
  <c r="D69" i="1" a="1"/>
  <c r="F86" i="1" a="1"/>
  <c r="H115" i="1" a="1"/>
  <c r="A89" i="1" a="1"/>
  <c r="X69" i="1" a="1"/>
  <c r="G55" i="1" a="1"/>
  <c r="O79" i="1" a="1"/>
  <c r="T77" i="1" a="1"/>
  <c r="U35" i="1" a="1"/>
  <c r="B56" i="1" a="1"/>
  <c r="T32" i="1" a="1"/>
  <c r="R61" i="1" a="1"/>
  <c r="Y40" i="1" a="1"/>
  <c r="K61" i="1" a="1"/>
  <c r="T34" i="1" a="1"/>
  <c r="H20" i="1" a="1"/>
  <c r="X32" i="1" a="1"/>
  <c r="U10" i="1" a="1"/>
  <c r="J21" i="1" a="1"/>
  <c r="S32" i="1" a="1"/>
  <c r="Q25" i="1" a="1"/>
  <c r="N16" i="1" a="1"/>
  <c r="X37" i="1" a="1"/>
  <c r="L16" i="1" a="1"/>
  <c r="J18" i="1" a="1"/>
  <c r="V20" i="1" a="1"/>
  <c r="Z15" i="1" a="1"/>
  <c r="AA28" i="1" a="1"/>
  <c r="X7" i="1" a="1"/>
  <c r="G6" i="1" a="1"/>
  <c r="H13" i="1" a="1"/>
  <c r="D20" i="1" a="1"/>
  <c r="C2" i="1" a="1"/>
  <c r="N180" i="1" a="1"/>
  <c r="F155" i="1" a="1"/>
  <c r="D155" i="1" a="1"/>
  <c r="D145" i="1" a="1"/>
  <c r="U135" i="1" a="1"/>
  <c r="T101" i="1" a="1"/>
  <c r="U62" i="1" a="1"/>
  <c r="I67" i="1" a="1"/>
  <c r="O83" i="1" a="1"/>
  <c r="U61" i="1" a="1"/>
  <c r="I76" i="1" a="1"/>
  <c r="E35" i="1" a="1"/>
  <c r="D32" i="1" a="1"/>
  <c r="T83" i="1" a="1"/>
  <c r="R29" i="1" a="1"/>
  <c r="S31" i="1" a="1"/>
  <c r="Q16" i="1" a="1"/>
  <c r="L24" i="1" a="1"/>
  <c r="N35" i="1" a="1"/>
  <c r="E17" i="1" a="1"/>
  <c r="P13" i="1" a="1"/>
  <c r="H3" i="1" a="1"/>
  <c r="M24" i="1" a="1"/>
  <c r="C24" i="1" a="1"/>
  <c r="C177" i="1" a="1"/>
  <c r="P178" i="1" a="1"/>
  <c r="U163" i="1" a="1"/>
  <c r="J130" i="1" a="1"/>
  <c r="Q103" i="1" a="1"/>
  <c r="L61" i="1" a="1"/>
  <c r="D65" i="1" a="1"/>
  <c r="E83" i="1" a="1"/>
  <c r="J61" i="1" a="1"/>
  <c r="R75" i="1" a="1"/>
  <c r="S33" i="1" a="1"/>
  <c r="F50" i="1" a="1"/>
  <c r="Z76" i="1" a="1"/>
  <c r="N52" i="1" a="1"/>
  <c r="D15" i="1" a="1"/>
  <c r="E38" i="1" a="1"/>
  <c r="M13" i="1" a="1"/>
  <c r="K76" i="1" a="1"/>
  <c r="P10" i="1" a="1"/>
  <c r="W14" i="1" a="1"/>
  <c r="W16" i="1" a="1"/>
  <c r="X24" i="1" a="1"/>
  <c r="W11" i="1" a="1"/>
  <c r="H23" i="1" a="1"/>
  <c r="Z20" i="1" a="1"/>
  <c r="Z212" i="1" a="1"/>
  <c r="K172" i="1" a="1"/>
  <c r="S130" i="1" a="1"/>
  <c r="J121" i="1" a="1"/>
  <c r="E102" i="1" a="1"/>
  <c r="C129" i="1" a="1"/>
  <c r="A81" i="1" a="1"/>
  <c r="B82" i="1" a="1"/>
  <c r="Y55" i="1" a="1"/>
  <c r="U53" i="1" a="1"/>
  <c r="S55" i="1" a="1"/>
  <c r="D49" i="1" a="1"/>
  <c r="M66" i="1" a="1"/>
  <c r="D52" i="1" a="1"/>
  <c r="E13" i="1" a="1"/>
  <c r="P37" i="1" a="1"/>
  <c r="Q51" i="1" a="1"/>
  <c r="X67" i="1" a="1"/>
  <c r="T33" i="1" a="1"/>
  <c r="Q13" i="1" a="1"/>
  <c r="K17" i="1" a="1"/>
  <c r="L5" i="1" a="1"/>
  <c r="H9" i="1" a="1"/>
  <c r="X48" i="1" a="1"/>
  <c r="R45" i="1" a="1"/>
  <c r="D7" i="1" a="1"/>
  <c r="C5" i="1" a="1"/>
  <c r="B193" i="1" a="1"/>
  <c r="I119" i="1" a="1"/>
  <c r="L117" i="1" a="1"/>
  <c r="Y80" i="1" a="1"/>
  <c r="E84" i="1" a="1"/>
  <c r="C87" i="1" a="1"/>
  <c r="F52" i="1" a="1"/>
  <c r="L47" i="1" a="1"/>
  <c r="R19" i="1" a="1"/>
  <c r="E12" i="1" a="1"/>
  <c r="E2" i="1" a="1"/>
  <c r="L10" i="1" a="1"/>
  <c r="H162" i="1" a="1"/>
  <c r="T117" i="1" a="1"/>
  <c r="Q114" i="1" a="1"/>
  <c r="D80" i="1" a="1"/>
  <c r="Z79" i="1" a="1"/>
  <c r="T80" i="1" a="1"/>
  <c r="W51" i="1" a="1"/>
  <c r="E57" i="1" a="1"/>
  <c r="W29" i="1" a="1"/>
  <c r="R5" i="1" a="1"/>
  <c r="E14" i="1" a="1"/>
  <c r="D9" i="1" a="1"/>
  <c r="E163" i="1" a="1"/>
  <c r="J117" i="1" a="1"/>
  <c r="S109" i="1" a="1"/>
  <c r="O78" i="1" a="1"/>
  <c r="C80" i="1" a="1"/>
  <c r="J45" i="1" a="1"/>
  <c r="I57" i="1" a="1"/>
  <c r="R2" i="1" a="1"/>
  <c r="T39" i="1" a="1"/>
  <c r="T29" i="1" a="1"/>
  <c r="S12" i="1" a="1"/>
  <c r="M15" i="1" a="1"/>
  <c r="Z193" i="1" a="1"/>
  <c r="Y130" i="1" a="1"/>
  <c r="Z116" i="1" a="1"/>
  <c r="L108" i="1" a="1"/>
  <c r="L84" i="1" a="1"/>
  <c r="G58" i="1" a="1"/>
  <c r="C35" i="1" a="1"/>
  <c r="G49" i="1" a="1"/>
  <c r="F28" i="1" a="1"/>
  <c r="Q21" i="1" a="1"/>
  <c r="F12" i="1" a="1"/>
  <c r="M7" i="1" a="1"/>
  <c r="D6" i="1" a="1"/>
  <c r="G167" i="1" a="1"/>
  <c r="J127" i="1" a="1"/>
  <c r="Y108" i="1" a="1"/>
  <c r="C73" i="1" a="1"/>
  <c r="F72" i="1" a="1"/>
  <c r="M43" i="1" a="1"/>
  <c r="Z63" i="1" a="1"/>
  <c r="S16" i="1" a="1"/>
  <c r="X18" i="1" a="1"/>
  <c r="O7" i="1" a="1"/>
  <c r="U4" i="1" a="1"/>
  <c r="N3" i="1" a="1"/>
  <c r="N147" i="1" a="1"/>
  <c r="G156" i="1" a="1"/>
  <c r="G129" i="1" a="1"/>
  <c r="K118" i="1" a="1"/>
  <c r="O55" i="1" a="1"/>
  <c r="Q33" i="1" a="1"/>
  <c r="I35" i="1" a="1"/>
  <c r="O22" i="1" a="1"/>
  <c r="M38" i="1" a="1"/>
  <c r="T21" i="1" a="1"/>
  <c r="L9" i="1" a="1"/>
  <c r="T201" i="1" a="1"/>
  <c r="F179" i="1" a="1"/>
  <c r="B158" i="1" a="1"/>
  <c r="Y181" i="1" a="1"/>
  <c r="N182" i="1" a="1"/>
  <c r="O165" i="1" a="1"/>
  <c r="P139" i="1" a="1"/>
  <c r="C153" i="1" a="1"/>
  <c r="B143" i="1" a="1"/>
  <c r="V124" i="1" a="1"/>
  <c r="O103" i="1" a="1"/>
  <c r="C112" i="1" a="1"/>
  <c r="AA65" i="1" a="1"/>
  <c r="A83" i="1" a="1"/>
  <c r="B68" i="1" a="1"/>
  <c r="U85" i="1" a="1"/>
  <c r="T108" i="1" a="1"/>
  <c r="F79" i="1" a="1"/>
  <c r="E62" i="1" a="1"/>
  <c r="Z54" i="1" a="1"/>
  <c r="Q78" i="1" a="1"/>
  <c r="F76" i="1" a="1"/>
  <c r="M35" i="1" a="1"/>
  <c r="I51" i="1" a="1"/>
  <c r="L32" i="1" a="1"/>
  <c r="G41" i="1" a="1"/>
  <c r="W76" i="1" a="1"/>
  <c r="H54" i="1" a="1"/>
  <c r="R30" i="1" a="1"/>
  <c r="Y17" i="1" a="1"/>
  <c r="H32" i="1" a="1"/>
  <c r="V8" i="1" a="1"/>
  <c r="V17" i="1" a="1"/>
  <c r="C32" i="1" a="1"/>
  <c r="F25" i="1" a="1"/>
  <c r="I13" i="1" a="1"/>
  <c r="C36" i="1" a="1"/>
  <c r="A16" i="1" a="1"/>
  <c r="AA17" i="1" a="1"/>
  <c r="A20" i="1" a="1"/>
  <c r="K14" i="1" a="1"/>
  <c r="M26" i="1" a="1"/>
  <c r="S4" i="1" a="1"/>
  <c r="AA3" i="1" a="1"/>
  <c r="A26" i="1" a="1"/>
  <c r="U17" i="1" a="1"/>
  <c r="G27" i="1" a="1"/>
  <c r="G204" i="1" a="1"/>
  <c r="J185" i="1" a="1"/>
  <c r="Q164" i="1" a="1"/>
  <c r="S134" i="1" a="1"/>
  <c r="AA112" i="1" a="1"/>
  <c r="Y110" i="1" a="1"/>
  <c r="K83" i="1" a="1"/>
  <c r="G83" i="1" a="1"/>
  <c r="P77" i="1" a="1"/>
  <c r="J54" i="1" a="1"/>
  <c r="F57" i="1" a="1"/>
  <c r="Z50" i="1" a="1"/>
  <c r="F64" i="1" a="1"/>
  <c r="V53" i="1" a="1"/>
  <c r="I16" i="1" a="1"/>
  <c r="U38" i="1" a="1"/>
  <c r="N31" i="1" a="1"/>
  <c r="U11" i="1" a="1"/>
  <c r="G15" i="1" a="1"/>
  <c r="L18" i="1" a="1"/>
  <c r="U19" i="1" a="1"/>
  <c r="Q10" i="1" a="1"/>
  <c r="K15" i="1" a="1"/>
  <c r="D200" i="1" a="1"/>
  <c r="P154" i="1" a="1"/>
  <c r="Z150" i="1" a="1"/>
  <c r="Y137" i="1" a="1"/>
  <c r="E131" i="1" a="1"/>
  <c r="A101" i="1" a="1"/>
  <c r="V108" i="1" a="1"/>
  <c r="Q82" i="1" a="1"/>
  <c r="X82" i="1" a="1"/>
  <c r="C76" i="1" a="1"/>
  <c r="B54" i="1" a="1"/>
  <c r="AA55" i="1" a="1"/>
  <c r="E50" i="1" a="1"/>
  <c r="X54" i="1" a="1"/>
  <c r="F29" i="1" a="1"/>
  <c r="C30" i="1" a="1"/>
  <c r="H77" i="1" a="1"/>
  <c r="Y34" i="1" a="1"/>
  <c r="V16" i="1" a="1"/>
  <c r="Z18" i="1" a="1"/>
  <c r="V5" i="1" a="1"/>
  <c r="W9" i="1" a="1"/>
  <c r="V214" i="1" a="1"/>
  <c r="V179" i="1" a="1"/>
  <c r="N142" i="1" a="1"/>
  <c r="Q137" i="1" a="1"/>
  <c r="L109" i="1" a="1"/>
  <c r="P129" i="1" a="1"/>
  <c r="W60" i="1" a="1"/>
  <c r="W91" i="1" a="1"/>
  <c r="V78" i="1" a="1"/>
  <c r="I60" i="1" a="1"/>
  <c r="I56" i="1" a="1"/>
  <c r="Q31" i="1" a="1"/>
  <c r="J48" i="1" a="1"/>
  <c r="X51" i="1" a="1"/>
  <c r="H28" i="1" a="1"/>
  <c r="D29" i="1" a="1"/>
  <c r="B13" i="1" a="1"/>
  <c r="U9" i="1" a="1"/>
  <c r="B14" i="1" a="1"/>
  <c r="B16" i="1" a="1"/>
  <c r="R23" i="1" a="1"/>
  <c r="A10" i="1" a="1"/>
  <c r="F21" i="1" a="1"/>
  <c r="P18" i="1" a="1"/>
  <c r="B28" i="1" a="1"/>
  <c r="S2" i="1" a="1"/>
  <c r="U14" i="1" a="1"/>
  <c r="A11" i="1" a="1"/>
  <c r="F163" i="1" a="1"/>
  <c r="K152" i="1" a="1"/>
  <c r="X90" i="1" a="1"/>
  <c r="E75" i="1" a="1"/>
  <c r="L82" i="1" a="1"/>
  <c r="M85" i="1" a="1"/>
  <c r="K43" i="1" a="1"/>
  <c r="S30" i="1" a="1"/>
  <c r="J71" i="1" a="1"/>
  <c r="I30" i="1" a="1"/>
  <c r="A6" i="1" a="1"/>
  <c r="AA14" i="1" a="1"/>
  <c r="X168" i="1" a="1"/>
  <c r="C168" i="1" a="1"/>
  <c r="P90" i="1" a="1"/>
  <c r="R81" i="1" a="1"/>
  <c r="S79" i="1" a="1"/>
  <c r="C43" i="1" a="1"/>
  <c r="S29" i="1" a="1"/>
  <c r="G46" i="1" a="1"/>
  <c r="M18" i="1" a="1"/>
  <c r="X10" i="1" a="1"/>
  <c r="G11" i="1" a="1"/>
  <c r="Z211" i="1" a="1"/>
  <c r="E157" i="1" a="1"/>
  <c r="W106" i="1" a="1"/>
  <c r="G112" i="1" a="1"/>
  <c r="R116" i="1" a="1"/>
  <c r="AA78" i="1" a="1"/>
  <c r="X70" i="1" a="1"/>
  <c r="K50" i="1" a="1"/>
  <c r="J50" i="1" a="1"/>
  <c r="J29" i="1" a="1"/>
  <c r="G5" i="1" a="1"/>
  <c r="A12" i="1" a="1"/>
  <c r="G7" i="1" a="1"/>
  <c r="G162" i="1" a="1"/>
  <c r="I123" i="1" a="1"/>
  <c r="V75" i="1" a="1"/>
  <c r="O76" i="1" a="1"/>
  <c r="H68" i="1" a="1"/>
  <c r="Z42" i="1" a="1"/>
  <c r="H27" i="1" a="1"/>
  <c r="T74" i="1" a="1"/>
  <c r="X5" i="1" a="1"/>
  <c r="T8" i="1" a="1"/>
  <c r="U191" i="1" a="1"/>
  <c r="P97" i="1" a="1"/>
  <c r="O132" i="1" a="1"/>
  <c r="Z121" i="1" a="1"/>
  <c r="F75" i="1" a="1"/>
  <c r="N57" i="1" a="1"/>
  <c r="J55" i="1" a="1"/>
  <c r="R34" i="1" a="1"/>
  <c r="K29" i="1" a="1"/>
  <c r="O19" i="1" a="1"/>
  <c r="T15" i="1" a="1"/>
  <c r="I181" i="1" a="1"/>
  <c r="N157" i="1" a="1"/>
  <c r="M138" i="1" a="1"/>
  <c r="V100" i="1" a="1"/>
  <c r="W78" i="1" a="1"/>
  <c r="P92" i="1" a="1"/>
  <c r="A57" i="1" a="1"/>
  <c r="A63" i="1" a="1"/>
  <c r="Z11" i="1" a="1"/>
  <c r="X16" i="1" a="1"/>
  <c r="O17" i="1" a="1"/>
  <c r="B22" i="1" a="1"/>
  <c r="T212" i="1" a="1"/>
  <c r="X184" i="1" a="1"/>
  <c r="X176" i="1" a="1"/>
  <c r="W201" i="1" a="1"/>
  <c r="M182" i="1" a="1"/>
  <c r="A128" i="1" a="1"/>
  <c r="I137" i="1" a="1"/>
  <c r="P120" i="1" a="1"/>
  <c r="Q107" i="1" a="1"/>
  <c r="V101" i="1" a="1"/>
  <c r="N123" i="1" a="1"/>
  <c r="A121" i="1" a="1"/>
  <c r="G60" i="1" a="1"/>
  <c r="Q80" i="1" a="1"/>
  <c r="Y90" i="1" a="1"/>
  <c r="X80" i="1" a="1"/>
  <c r="L76" i="1" a="1"/>
  <c r="Q55" i="1" a="1"/>
  <c r="Y75" i="1" a="1"/>
  <c r="M53" i="1" a="1"/>
  <c r="A56" i="1" a="1"/>
  <c r="C55" i="1" a="1"/>
  <c r="A31" i="1" a="1"/>
  <c r="V52" i="1" a="1"/>
  <c r="AA47" i="1" a="1"/>
  <c r="J64" i="1" a="1"/>
  <c r="N51" i="1" a="1"/>
  <c r="T50" i="1" a="1"/>
  <c r="G24" i="1" a="1"/>
  <c r="T7" i="1" a="1"/>
  <c r="W19" i="1" a="1"/>
  <c r="N30" i="1" a="1"/>
  <c r="T69" i="1" a="1"/>
  <c r="F36" i="1" a="1"/>
  <c r="S39" i="1" a="1"/>
  <c r="G51" i="1" a="1"/>
  <c r="Z25" i="1" a="1"/>
  <c r="N43" i="1" a="1"/>
  <c r="X20" i="1" a="1"/>
  <c r="Q11" i="1" a="1"/>
  <c r="H14" i="1" a="1"/>
  <c r="F3" i="1" a="1"/>
  <c r="U2" i="1" a="1"/>
  <c r="M10" i="1" a="1"/>
  <c r="V9" i="1" a="1"/>
  <c r="B11" i="1" a="1"/>
  <c r="C20" i="1" a="1"/>
  <c r="T210" i="1" a="1"/>
  <c r="AA203" i="1" a="1"/>
  <c r="Y159" i="1" a="1"/>
  <c r="S151" i="1" a="1"/>
  <c r="K171" i="1" a="1"/>
  <c r="Z145" i="1" a="1"/>
  <c r="B125" i="1" a="1"/>
  <c r="E120" i="1" a="1"/>
  <c r="L105" i="1" a="1"/>
  <c r="Y84" i="1" a="1"/>
  <c r="I121" i="1" a="1"/>
  <c r="B116" i="1" a="1"/>
  <c r="I87" i="1" a="1"/>
  <c r="G80" i="1" a="1"/>
  <c r="X85" i="1" a="1"/>
  <c r="B87" i="1" a="1"/>
  <c r="B76" i="1" a="1"/>
  <c r="L54" i="1" a="1"/>
  <c r="R72" i="1" a="1"/>
  <c r="C67" i="1" a="1"/>
  <c r="T55" i="1" a="1"/>
  <c r="V54" i="1" a="1"/>
  <c r="T30" i="1" a="1"/>
  <c r="K52" i="1" a="1"/>
  <c r="P45" i="1" a="1"/>
  <c r="H63" i="1" a="1"/>
  <c r="U60" i="1" a="1"/>
  <c r="N39" i="1" a="1"/>
  <c r="I45" i="1" a="1"/>
  <c r="M8" i="1" a="1"/>
  <c r="C8" i="1" a="1"/>
  <c r="E22" i="1" a="1"/>
  <c r="I36" i="1" a="1"/>
  <c r="M31" i="1" a="1"/>
  <c r="U33" i="1" a="1"/>
  <c r="O27" i="1" a="1"/>
  <c r="H58" i="1" a="1"/>
  <c r="Q36" i="1" a="1"/>
  <c r="AA12" i="1" a="1"/>
  <c r="AA5" i="1" a="1"/>
  <c r="A9" i="1" a="1"/>
  <c r="L26" i="1" a="1"/>
  <c r="D18" i="1" a="1"/>
  <c r="X8" i="1" a="1"/>
  <c r="T18" i="1" a="1"/>
  <c r="C22" i="1" a="1"/>
  <c r="E16" i="1" a="1"/>
  <c r="W189" i="1" a="1"/>
  <c r="D140" i="1" a="1"/>
  <c r="S120" i="1" a="1"/>
  <c r="S137" i="1" a="1"/>
  <c r="K134" i="1" a="1"/>
  <c r="J76" i="1" a="1"/>
  <c r="W82" i="1" a="1"/>
  <c r="O53" i="1" a="1"/>
  <c r="Z83" i="1" a="1"/>
  <c r="W48" i="1" a="1"/>
  <c r="AA43" i="1" a="1"/>
  <c r="X76" i="1" a="1"/>
  <c r="P33" i="1" a="1"/>
  <c r="T4" i="1" a="1"/>
  <c r="Z33" i="1" a="1"/>
  <c r="W20" i="1" a="1"/>
  <c r="F7" i="1" a="1"/>
  <c r="U15" i="1" a="1"/>
  <c r="E186" i="1" a="1"/>
  <c r="R154" i="1" a="1"/>
  <c r="V127" i="1" a="1"/>
  <c r="L95" i="1" a="1"/>
  <c r="O54" i="1" a="1"/>
  <c r="F45" i="1" a="1"/>
  <c r="W38" i="1" a="1"/>
  <c r="J33" i="1" a="1"/>
  <c r="U29" i="1" a="1"/>
  <c r="B4" i="1" a="1"/>
  <c r="B17" i="1" a="1"/>
  <c r="C185" i="1" a="1"/>
  <c r="N119" i="1" a="1"/>
  <c r="M125" i="1" a="1"/>
  <c r="Y122" i="1" a="1"/>
  <c r="O84" i="1" a="1"/>
  <c r="N64" i="1" a="1"/>
  <c r="O44" i="1" a="1"/>
  <c r="G38" i="1" a="1"/>
  <c r="M30" i="1" a="1"/>
  <c r="V28" i="1" a="1"/>
  <c r="G2" i="1" a="1"/>
  <c r="N12" i="1" a="1"/>
  <c r="V204" i="1" a="1"/>
  <c r="E134" i="1" a="1"/>
  <c r="K89" i="1" a="1"/>
  <c r="N91" i="1" a="1"/>
  <c r="A94" i="1" a="1"/>
  <c r="P63" i="1" a="1"/>
  <c r="E93" i="1" a="1"/>
  <c r="I28" i="1" a="1"/>
  <c r="C44" i="1" a="1"/>
  <c r="H17" i="1" a="1"/>
  <c r="O5" i="1" a="1"/>
  <c r="W7" i="1" a="1"/>
  <c r="F192" i="1" a="1"/>
  <c r="O150" i="1" a="1"/>
  <c r="K105" i="1" a="1"/>
  <c r="S111" i="1" a="1"/>
  <c r="N112" i="1" a="1"/>
  <c r="A93" i="1" a="1"/>
  <c r="Y61" i="1" a="1"/>
  <c r="Z68" i="1" a="1"/>
  <c r="K27" i="1" a="1"/>
  <c r="A42" i="1" a="1"/>
  <c r="Y23" i="1" a="1"/>
  <c r="F15" i="1" a="1"/>
  <c r="K20" i="1" a="1"/>
  <c r="A182" i="1" a="1"/>
  <c r="Y157" i="1" a="1"/>
  <c r="V88" i="1" a="1"/>
  <c r="S87" i="1" a="1"/>
  <c r="L74" i="1" a="1"/>
  <c r="O57" i="1" a="1"/>
  <c r="V34" i="1" a="1"/>
  <c r="N36" i="1" a="1"/>
  <c r="Z22" i="1" a="1"/>
  <c r="B39" i="1" a="1"/>
  <c r="I18" i="1" a="1"/>
  <c r="X14" i="1" a="1"/>
  <c r="G186" i="1" a="1"/>
  <c r="M126" i="1" a="1"/>
  <c r="N88" i="1" a="1"/>
  <c r="Z85" i="1" a="1"/>
  <c r="R73" i="1" a="1"/>
  <c r="U89" i="1" a="1"/>
  <c r="F41" i="1" a="1"/>
  <c r="M33" i="1" a="1"/>
  <c r="K26" i="1" a="1"/>
  <c r="E19" i="1" a="1"/>
  <c r="AA21" i="1" a="1"/>
  <c r="C14" i="1" a="1"/>
  <c r="J208" i="1" a="1"/>
  <c r="A203" i="1" a="1"/>
  <c r="U196" i="1" a="1"/>
  <c r="D149" i="1" a="1"/>
  <c r="L169" i="1" a="1"/>
  <c r="B142" i="1" a="1"/>
  <c r="G124" i="1" a="1"/>
  <c r="AA118" i="1" a="1"/>
  <c r="B105" i="1" a="1"/>
  <c r="I84" i="1" a="1"/>
  <c r="J120" i="1" a="1"/>
  <c r="F106" i="1" a="1"/>
  <c r="W86" i="1" a="1"/>
  <c r="L79" i="1" a="1"/>
  <c r="I126" i="1" a="1"/>
  <c r="T85" i="1" a="1"/>
  <c r="G75" i="1" a="1"/>
  <c r="D54" i="1" a="1"/>
  <c r="D72" i="1" a="1"/>
  <c r="B66" i="1" a="1"/>
  <c r="L55" i="1" a="1"/>
  <c r="N54" i="1" a="1"/>
  <c r="T47" i="1" a="1"/>
  <c r="A52" i="1" a="1"/>
  <c r="G45" i="1" a="1"/>
  <c r="Y60" i="1" a="1"/>
  <c r="J58" i="1" a="1"/>
  <c r="Y38" i="1" a="1"/>
  <c r="J43" i="1" a="1"/>
  <c r="V6" i="1" a="1"/>
  <c r="C7" i="1" a="1"/>
  <c r="P70" i="1" a="1"/>
  <c r="D35" i="1" a="1"/>
  <c r="K30" i="1" a="1"/>
  <c r="P32" i="1" a="1"/>
  <c r="P25" i="1" a="1"/>
  <c r="AA52" i="1" a="1"/>
  <c r="W34" i="1" a="1"/>
  <c r="R11" i="1" a="1"/>
  <c r="F5" i="1" a="1"/>
  <c r="N8" i="1" a="1"/>
  <c r="P23" i="1" a="1"/>
  <c r="J17" i="1" a="1"/>
  <c r="I8" i="1" a="1"/>
  <c r="D17" i="1" a="1"/>
  <c r="AA20" i="1" a="1"/>
  <c r="J15" i="1" a="1"/>
  <c r="X196" i="1" a="1"/>
  <c r="H191" i="1" a="1"/>
  <c r="A193" i="1" a="1"/>
  <c r="N165" i="1" a="1"/>
  <c r="S160" i="1" a="1"/>
  <c r="X140" i="1" a="1"/>
  <c r="C121" i="1" a="1"/>
  <c r="R125" i="1" a="1"/>
  <c r="S104" i="1" a="1"/>
  <c r="W118" i="1" a="1"/>
  <c r="N136" i="1" a="1"/>
  <c r="O104" i="1" a="1"/>
  <c r="Y77" i="1" a="1"/>
  <c r="A123" i="1" a="1"/>
  <c r="A122" i="1" a="1"/>
  <c r="Q83" i="1" a="1"/>
  <c r="W100" i="1" a="1"/>
  <c r="W53" i="1" a="1"/>
  <c r="V102" i="1" a="1"/>
  <c r="C65" i="1" a="1"/>
  <c r="D55" i="1" a="1"/>
  <c r="F54" i="1" a="1"/>
  <c r="A47" i="1" a="1"/>
  <c r="Z45" i="1" a="1"/>
  <c r="Y44" i="1" a="1"/>
  <c r="I83" i="1" a="1"/>
  <c r="T56" i="1" a="1"/>
  <c r="T37" i="1" a="1"/>
  <c r="L41" i="1" a="1"/>
  <c r="F6" i="1" a="1"/>
  <c r="A5" i="1" a="1"/>
  <c r="E52" i="1" a="1"/>
  <c r="O34" i="1" a="1"/>
  <c r="L29" i="1" a="1"/>
  <c r="K31" i="1" a="1"/>
  <c r="F23" i="1" a="1"/>
  <c r="B51" i="1" a="1"/>
  <c r="G34" i="1" a="1"/>
  <c r="I10" i="1" a="1"/>
  <c r="N4" i="1" a="1"/>
  <c r="N7" i="1" a="1"/>
  <c r="M22" i="1" a="1"/>
  <c r="O16" i="1" a="1"/>
  <c r="L7" i="1" a="1"/>
  <c r="P15" i="1" a="1"/>
  <c r="F20" i="1" a="1"/>
  <c r="I12" i="1" a="1"/>
  <c r="N194" i="1" a="1"/>
  <c r="A191" i="1" a="1"/>
  <c r="P164" i="1" a="1"/>
  <c r="AA157" i="1" a="1"/>
  <c r="W124" i="1" a="1"/>
  <c r="R115" i="1" a="1"/>
  <c r="U152" i="1" a="1"/>
  <c r="S116" i="1" a="1"/>
  <c r="M118" i="1" a="1"/>
  <c r="J98" i="1" a="1"/>
  <c r="Z90" i="1" a="1"/>
  <c r="W54" i="1" a="1"/>
  <c r="AA98" i="1" a="1"/>
  <c r="V94" i="1" a="1"/>
  <c r="L53" i="1" a="1"/>
  <c r="A40" i="1" a="1"/>
  <c r="O24" i="1" a="1"/>
  <c r="W30" i="1" a="1"/>
  <c r="R33" i="1" a="1"/>
  <c r="I21" i="1" a="1"/>
  <c r="Q18" i="1" a="1"/>
  <c r="G169" i="1" a="1"/>
  <c r="I120" i="1" a="1"/>
  <c r="Z114" i="1" a="1"/>
  <c r="G102" i="1" a="1"/>
  <c r="O86" i="1" a="1"/>
  <c r="M48" i="1" a="1"/>
  <c r="F73" i="1" a="1"/>
  <c r="L4" i="1" a="1"/>
  <c r="O68" i="1" a="1"/>
  <c r="M32" i="1" a="1"/>
  <c r="V15" i="1" a="1"/>
  <c r="AA13" i="1" a="1"/>
  <c r="R192" i="1" a="1"/>
  <c r="O148" i="1" a="1"/>
  <c r="F114" i="1" a="1"/>
  <c r="J74" i="1" a="1"/>
  <c r="U94" i="1" a="1"/>
  <c r="C48" i="1" a="1"/>
  <c r="O59" i="1" a="1"/>
  <c r="G3" i="1" a="1"/>
  <c r="AA40" i="1" a="1"/>
  <c r="H31" i="1" a="1"/>
  <c r="L13" i="1" a="1"/>
  <c r="G16" i="1" a="1"/>
  <c r="B184" i="1" a="1"/>
  <c r="K124" i="1" a="1"/>
  <c r="E86" i="1" a="1"/>
  <c r="U78" i="1" a="1"/>
  <c r="S35" i="1" a="1"/>
  <c r="R37" i="1" a="1"/>
  <c r="N29" i="1" a="1"/>
  <c r="Z27" i="1" a="1"/>
  <c r="N9" i="1" a="1"/>
  <c r="V11" i="1" a="1"/>
  <c r="W206" i="1" a="1"/>
  <c r="C89" i="1" a="1"/>
  <c r="N90" i="1" a="1"/>
  <c r="U72" i="1" a="1"/>
  <c r="U43" i="1" a="1"/>
  <c r="V56" i="1" a="1"/>
  <c r="B49" i="1" a="1"/>
  <c r="P35" i="1" a="1"/>
  <c r="T24" i="1" a="1"/>
  <c r="R6" i="1" a="1"/>
  <c r="V3" i="1" a="1"/>
  <c r="D148" i="1" a="1"/>
  <c r="E140" i="1" a="1"/>
  <c r="C104" i="1" a="1"/>
  <c r="W80" i="1" a="1"/>
  <c r="U99" i="1" a="1"/>
  <c r="L65" i="1" a="1"/>
  <c r="Q24" i="1" a="1"/>
  <c r="X33" i="1" a="1"/>
  <c r="Q17" i="1" a="1"/>
  <c r="Q3" i="1" a="1"/>
  <c r="M2" i="1" a="1"/>
  <c r="W161" i="1" a="1"/>
  <c r="R107" i="1" a="1"/>
  <c r="H72" i="1" a="1"/>
  <c r="R71" i="1" a="1"/>
  <c r="E43" i="1" a="1"/>
  <c r="N62" i="1" a="1"/>
  <c r="M21" i="1" a="1"/>
  <c r="H33" i="1" a="1"/>
  <c r="F17" i="1" a="1"/>
  <c r="R3" i="1" a="1"/>
  <c r="V2" i="1" a="1"/>
  <c r="A2" i="1" l="1"/>
  <c r="A3" i="1"/>
  <c r="V2" i="1"/>
  <c r="R3" i="1"/>
  <c r="F17" i="1"/>
  <c r="H33" i="1"/>
  <c r="M21" i="1"/>
  <c r="N62" i="1"/>
  <c r="E43" i="1"/>
  <c r="R71" i="1"/>
  <c r="H72" i="1"/>
  <c r="R107" i="1"/>
  <c r="W161" i="1"/>
  <c r="M2" i="1"/>
  <c r="Q3" i="1"/>
  <c r="Q17" i="1"/>
  <c r="X33" i="1"/>
  <c r="Q24" i="1"/>
  <c r="L65" i="1"/>
  <c r="U99" i="1"/>
  <c r="W80" i="1"/>
  <c r="C104" i="1"/>
  <c r="E140" i="1"/>
  <c r="D148" i="1"/>
  <c r="V3" i="1"/>
  <c r="R6" i="1"/>
  <c r="T24" i="1"/>
  <c r="P35" i="1"/>
  <c r="B49" i="1"/>
  <c r="V56" i="1"/>
  <c r="U43" i="1"/>
  <c r="U72" i="1"/>
  <c r="N90" i="1"/>
  <c r="C89" i="1"/>
  <c r="W206" i="1"/>
  <c r="V11" i="1"/>
  <c r="N9" i="1"/>
  <c r="Z27" i="1"/>
  <c r="N29" i="1"/>
  <c r="R37" i="1"/>
  <c r="S35" i="1"/>
  <c r="U78" i="1"/>
  <c r="E86" i="1"/>
  <c r="K124" i="1"/>
  <c r="B184" i="1"/>
  <c r="G16" i="1"/>
  <c r="L13" i="1"/>
  <c r="H31" i="1"/>
  <c r="AA40" i="1"/>
  <c r="G3" i="1"/>
  <c r="O59" i="1"/>
  <c r="C48" i="1"/>
  <c r="U94" i="1"/>
  <c r="J74" i="1"/>
  <c r="F114" i="1"/>
  <c r="O148" i="1"/>
  <c r="R192" i="1"/>
  <c r="AA13" i="1"/>
  <c r="V15" i="1"/>
  <c r="M32" i="1"/>
  <c r="O68" i="1"/>
  <c r="L4" i="1"/>
  <c r="F73" i="1"/>
  <c r="M48" i="1"/>
  <c r="O86" i="1"/>
  <c r="G102" i="1"/>
  <c r="Z114" i="1"/>
  <c r="I120" i="1"/>
  <c r="G169" i="1"/>
  <c r="Q18" i="1"/>
  <c r="I21" i="1"/>
  <c r="R33" i="1"/>
  <c r="W30" i="1"/>
  <c r="O24" i="1"/>
  <c r="A40" i="1"/>
  <c r="L53" i="1"/>
  <c r="V94" i="1"/>
  <c r="AA98" i="1"/>
  <c r="W54" i="1"/>
  <c r="Z90" i="1"/>
  <c r="J98" i="1"/>
  <c r="M118" i="1"/>
  <c r="S116" i="1"/>
  <c r="U152" i="1"/>
  <c r="R115" i="1"/>
  <c r="W124" i="1"/>
  <c r="AA157" i="1"/>
  <c r="P164" i="1"/>
  <c r="A191" i="1"/>
  <c r="N194" i="1"/>
  <c r="I12" i="1"/>
  <c r="F20" i="1"/>
  <c r="P15" i="1"/>
  <c r="L7" i="1"/>
  <c r="O16" i="1"/>
  <c r="M22" i="1"/>
  <c r="N7" i="1"/>
  <c r="N4" i="1"/>
  <c r="I10" i="1"/>
  <c r="G34" i="1"/>
  <c r="B51" i="1"/>
  <c r="F23" i="1"/>
  <c r="K31" i="1"/>
  <c r="L29" i="1"/>
  <c r="O34" i="1"/>
  <c r="E52" i="1"/>
  <c r="A5" i="1"/>
  <c r="F6" i="1"/>
  <c r="L41" i="1"/>
  <c r="T37" i="1"/>
  <c r="T56" i="1"/>
  <c r="I83" i="1"/>
  <c r="Y44" i="1"/>
  <c r="Z45" i="1"/>
  <c r="A47" i="1"/>
  <c r="F54" i="1"/>
  <c r="D55" i="1"/>
  <c r="C65" i="1"/>
  <c r="V102" i="1"/>
  <c r="W53" i="1"/>
  <c r="W100" i="1"/>
  <c r="Q83" i="1"/>
  <c r="A122" i="1"/>
  <c r="A123" i="1"/>
  <c r="Y77" i="1"/>
  <c r="O104" i="1"/>
  <c r="N136" i="1"/>
  <c r="W118" i="1"/>
  <c r="S104" i="1"/>
  <c r="R125" i="1"/>
  <c r="C121" i="1"/>
  <c r="X140" i="1"/>
  <c r="S160" i="1"/>
  <c r="N165" i="1"/>
  <c r="A193" i="1"/>
  <c r="H191" i="1"/>
  <c r="X196" i="1"/>
  <c r="J15" i="1"/>
  <c r="AA20" i="1"/>
  <c r="D17" i="1"/>
  <c r="I8" i="1"/>
  <c r="J17" i="1"/>
  <c r="P23" i="1"/>
  <c r="N8" i="1"/>
  <c r="F5" i="1"/>
  <c r="R11" i="1"/>
  <c r="W34" i="1"/>
  <c r="AA52" i="1"/>
  <c r="P25" i="1"/>
  <c r="P32" i="1"/>
  <c r="K30" i="1"/>
  <c r="D35" i="1"/>
  <c r="P70" i="1"/>
  <c r="C7" i="1"/>
  <c r="V6" i="1"/>
  <c r="J43" i="1"/>
  <c r="Y38" i="1"/>
  <c r="J58" i="1"/>
  <c r="Y60" i="1"/>
  <c r="G45" i="1"/>
  <c r="A52" i="1"/>
  <c r="T47" i="1"/>
  <c r="N54" i="1"/>
  <c r="L55" i="1"/>
  <c r="B66" i="1"/>
  <c r="D72" i="1"/>
  <c r="D54" i="1"/>
  <c r="G75" i="1"/>
  <c r="T85" i="1"/>
  <c r="I126" i="1"/>
  <c r="L79" i="1"/>
  <c r="W86" i="1"/>
  <c r="F106" i="1"/>
  <c r="J120" i="1"/>
  <c r="I84" i="1"/>
  <c r="B105" i="1"/>
  <c r="AA118" i="1"/>
  <c r="G124" i="1"/>
  <c r="B142" i="1"/>
  <c r="L169" i="1"/>
  <c r="D149" i="1"/>
  <c r="U196" i="1"/>
  <c r="A203" i="1"/>
  <c r="J208" i="1"/>
  <c r="C14" i="1"/>
  <c r="AA21" i="1"/>
  <c r="E19" i="1"/>
  <c r="K26" i="1"/>
  <c r="M33" i="1"/>
  <c r="F41" i="1"/>
  <c r="U89" i="1"/>
  <c r="R73" i="1"/>
  <c r="Z85" i="1"/>
  <c r="N88" i="1"/>
  <c r="M126" i="1"/>
  <c r="G186" i="1"/>
  <c r="X14" i="1"/>
  <c r="I18" i="1"/>
  <c r="B39" i="1"/>
  <c r="Z22" i="1"/>
  <c r="N36" i="1"/>
  <c r="V34" i="1"/>
  <c r="O57" i="1"/>
  <c r="L74" i="1"/>
  <c r="S87" i="1"/>
  <c r="V88" i="1"/>
  <c r="Y157" i="1"/>
  <c r="A182" i="1"/>
  <c r="K20" i="1"/>
  <c r="F15" i="1"/>
  <c r="Y23" i="1"/>
  <c r="A42" i="1"/>
  <c r="K27" i="1"/>
  <c r="Z68" i="1"/>
  <c r="Y61" i="1"/>
  <c r="A93" i="1"/>
  <c r="N112" i="1"/>
  <c r="S111" i="1"/>
  <c r="K105" i="1"/>
  <c r="O150" i="1"/>
  <c r="F192" i="1"/>
  <c r="W7" i="1"/>
  <c r="O5" i="1"/>
  <c r="H17" i="1"/>
  <c r="C44" i="1"/>
  <c r="I28" i="1"/>
  <c r="E93" i="1"/>
  <c r="P63" i="1"/>
  <c r="A94" i="1"/>
  <c r="N91" i="1"/>
  <c r="K89" i="1"/>
  <c r="E134" i="1"/>
  <c r="V204" i="1"/>
  <c r="N12" i="1"/>
  <c r="G2" i="1"/>
  <c r="V28" i="1"/>
  <c r="M30" i="1"/>
  <c r="G38" i="1"/>
  <c r="O44" i="1"/>
  <c r="N64" i="1"/>
  <c r="O84" i="1"/>
  <c r="Y122" i="1"/>
  <c r="M125" i="1"/>
  <c r="N119" i="1"/>
  <c r="C185" i="1"/>
  <c r="B17" i="1"/>
  <c r="B4" i="1"/>
  <c r="U29" i="1"/>
  <c r="J33" i="1"/>
  <c r="W38" i="1"/>
  <c r="F45" i="1"/>
  <c r="O54" i="1"/>
  <c r="L95" i="1"/>
  <c r="V127" i="1"/>
  <c r="R154" i="1"/>
  <c r="E186" i="1"/>
  <c r="U15" i="1"/>
  <c r="F7" i="1"/>
  <c r="W20" i="1"/>
  <c r="Z33" i="1"/>
  <c r="T4" i="1"/>
  <c r="P33" i="1"/>
  <c r="X76" i="1"/>
  <c r="AA43" i="1"/>
  <c r="W48" i="1"/>
  <c r="Z83" i="1"/>
  <c r="O53" i="1"/>
  <c r="W82" i="1"/>
  <c r="J76" i="1"/>
  <c r="K134" i="1"/>
  <c r="S137" i="1"/>
  <c r="S120" i="1"/>
  <c r="D140" i="1"/>
  <c r="W189" i="1"/>
  <c r="E16" i="1"/>
  <c r="C22" i="1"/>
  <c r="T18" i="1"/>
  <c r="X8" i="1"/>
  <c r="D18" i="1"/>
  <c r="L26" i="1"/>
  <c r="A9" i="1"/>
  <c r="AA5" i="1"/>
  <c r="AA12" i="1"/>
  <c r="Q36" i="1"/>
  <c r="H58" i="1"/>
  <c r="O27" i="1"/>
  <c r="U33" i="1"/>
  <c r="M31" i="1"/>
  <c r="I36" i="1"/>
  <c r="E22" i="1"/>
  <c r="C8" i="1"/>
  <c r="M8" i="1"/>
  <c r="I45" i="1"/>
  <c r="N39" i="1"/>
  <c r="U60" i="1"/>
  <c r="H63" i="1"/>
  <c r="P45" i="1"/>
  <c r="K52" i="1"/>
  <c r="T30" i="1"/>
  <c r="V54" i="1"/>
  <c r="T55" i="1"/>
  <c r="C67" i="1"/>
  <c r="R72" i="1"/>
  <c r="L54" i="1"/>
  <c r="B76" i="1"/>
  <c r="B87" i="1"/>
  <c r="X85" i="1"/>
  <c r="G80" i="1"/>
  <c r="I87" i="1"/>
  <c r="B116" i="1"/>
  <c r="I121" i="1"/>
  <c r="Y84" i="1"/>
  <c r="L105" i="1"/>
  <c r="E120" i="1"/>
  <c r="B125" i="1"/>
  <c r="Z145" i="1"/>
  <c r="K171" i="1"/>
  <c r="S151" i="1"/>
  <c r="Y159" i="1"/>
  <c r="AA203" i="1"/>
  <c r="T210" i="1"/>
  <c r="C20" i="1"/>
  <c r="B11" i="1"/>
  <c r="V9" i="1"/>
  <c r="M10" i="1"/>
  <c r="U2" i="1"/>
  <c r="F3" i="1"/>
  <c r="H14" i="1"/>
  <c r="Q11" i="1"/>
  <c r="X20" i="1"/>
  <c r="N43" i="1"/>
  <c r="Z25" i="1"/>
  <c r="G51" i="1"/>
  <c r="S39" i="1"/>
  <c r="F36" i="1"/>
  <c r="T69" i="1"/>
  <c r="N30" i="1"/>
  <c r="W19" i="1"/>
  <c r="T7" i="1"/>
  <c r="G24" i="1"/>
  <c r="T50" i="1"/>
  <c r="N51" i="1"/>
  <c r="J64" i="1"/>
  <c r="AA47" i="1"/>
  <c r="V52" i="1"/>
  <c r="A31" i="1"/>
  <c r="C55" i="1"/>
  <c r="A56" i="1"/>
  <c r="M53" i="1"/>
  <c r="Y75" i="1"/>
  <c r="Q55" i="1"/>
  <c r="L76" i="1"/>
  <c r="X80" i="1"/>
  <c r="Y90" i="1"/>
  <c r="Q80" i="1"/>
  <c r="G60" i="1"/>
  <c r="A121" i="1"/>
  <c r="N123" i="1"/>
  <c r="V101" i="1"/>
  <c r="Q107" i="1"/>
  <c r="P120" i="1"/>
  <c r="I137" i="1"/>
  <c r="A128" i="1"/>
  <c r="M182" i="1"/>
  <c r="W201" i="1"/>
  <c r="X176" i="1"/>
  <c r="X184" i="1"/>
  <c r="T212" i="1"/>
  <c r="B22" i="1"/>
  <c r="O17" i="1"/>
  <c r="X16" i="1"/>
  <c r="Z11" i="1"/>
  <c r="A63" i="1"/>
  <c r="A57" i="1"/>
  <c r="P92" i="1"/>
  <c r="W78" i="1"/>
  <c r="V100" i="1"/>
  <c r="M138" i="1"/>
  <c r="N157" i="1"/>
  <c r="I181" i="1"/>
  <c r="T15" i="1"/>
  <c r="O19" i="1"/>
  <c r="K29" i="1"/>
  <c r="R34" i="1"/>
  <c r="J55" i="1"/>
  <c r="N57" i="1"/>
  <c r="F75" i="1"/>
  <c r="Z121" i="1"/>
  <c r="O132" i="1"/>
  <c r="P97" i="1"/>
  <c r="U191" i="1"/>
  <c r="T8" i="1"/>
  <c r="X5" i="1"/>
  <c r="T74" i="1"/>
  <c r="H27" i="1"/>
  <c r="Z42" i="1"/>
  <c r="H68" i="1"/>
  <c r="O76" i="1"/>
  <c r="V75" i="1"/>
  <c r="I123" i="1"/>
  <c r="G162" i="1"/>
  <c r="G7" i="1"/>
  <c r="A12" i="1"/>
  <c r="G5" i="1"/>
  <c r="J29" i="1"/>
  <c r="J50" i="1"/>
  <c r="K50" i="1"/>
  <c r="X70" i="1"/>
  <c r="AA78" i="1"/>
  <c r="R116" i="1"/>
  <c r="G112" i="1"/>
  <c r="W106" i="1"/>
  <c r="E157" i="1"/>
  <c r="Z211" i="1"/>
  <c r="G11" i="1"/>
  <c r="X10" i="1"/>
  <c r="M18" i="1"/>
  <c r="G46" i="1"/>
  <c r="S29" i="1"/>
  <c r="C43" i="1"/>
  <c r="S79" i="1"/>
  <c r="R81" i="1"/>
  <c r="P90" i="1"/>
  <c r="C168" i="1"/>
  <c r="X168" i="1"/>
  <c r="AA14" i="1"/>
  <c r="A6" i="1"/>
  <c r="I30" i="1"/>
  <c r="J71" i="1"/>
  <c r="S30" i="1"/>
  <c r="K43" i="1"/>
  <c r="M85" i="1"/>
  <c r="L82" i="1"/>
  <c r="E75" i="1"/>
  <c r="X90" i="1"/>
  <c r="K152" i="1"/>
  <c r="F163" i="1"/>
  <c r="A11" i="1"/>
  <c r="U14" i="1"/>
  <c r="S2" i="1"/>
  <c r="B28" i="1"/>
  <c r="P18" i="1"/>
  <c r="F21" i="1"/>
  <c r="A10" i="1"/>
  <c r="R23" i="1"/>
  <c r="B16" i="1"/>
  <c r="B14" i="1"/>
  <c r="U9" i="1"/>
  <c r="B13" i="1"/>
  <c r="D29" i="1"/>
  <c r="H28" i="1"/>
  <c r="X51" i="1"/>
  <c r="J48" i="1"/>
  <c r="Q31" i="1"/>
  <c r="I56" i="1"/>
  <c r="I60" i="1"/>
  <c r="V78" i="1"/>
  <c r="W91" i="1"/>
  <c r="W60" i="1"/>
  <c r="P129" i="1"/>
  <c r="L109" i="1"/>
  <c r="Q137" i="1"/>
  <c r="N142" i="1"/>
  <c r="V179" i="1"/>
  <c r="V214" i="1"/>
  <c r="W9" i="1"/>
  <c r="V5" i="1"/>
  <c r="Z18" i="1"/>
  <c r="V16" i="1"/>
  <c r="Y34" i="1"/>
  <c r="H77" i="1"/>
  <c r="C30" i="1"/>
  <c r="F29" i="1"/>
  <c r="X54" i="1"/>
  <c r="E50" i="1"/>
  <c r="AA55" i="1"/>
  <c r="B54" i="1"/>
  <c r="C76" i="1"/>
  <c r="X82" i="1"/>
  <c r="Q82" i="1"/>
  <c r="V108" i="1"/>
  <c r="A101" i="1"/>
  <c r="E131" i="1"/>
  <c r="Y137" i="1"/>
  <c r="Z150" i="1"/>
  <c r="P154" i="1"/>
  <c r="D200" i="1"/>
  <c r="K15" i="1"/>
  <c r="Q10" i="1"/>
  <c r="U19" i="1"/>
  <c r="L18" i="1"/>
  <c r="G15" i="1"/>
  <c r="U11" i="1"/>
  <c r="N31" i="1"/>
  <c r="U38" i="1"/>
  <c r="I16" i="1"/>
  <c r="V53" i="1"/>
  <c r="F64" i="1"/>
  <c r="Z50" i="1"/>
  <c r="F57" i="1"/>
  <c r="J54" i="1"/>
  <c r="P77" i="1"/>
  <c r="G83" i="1"/>
  <c r="K83" i="1"/>
  <c r="Y110" i="1"/>
  <c r="AA112" i="1"/>
  <c r="S134" i="1"/>
  <c r="Q164" i="1"/>
  <c r="J185" i="1"/>
  <c r="G204" i="1"/>
  <c r="G27" i="1"/>
  <c r="U17" i="1"/>
  <c r="A26" i="1"/>
  <c r="AA3" i="1"/>
  <c r="S4" i="1"/>
  <c r="M26" i="1"/>
  <c r="K14" i="1"/>
  <c r="A20" i="1"/>
  <c r="AA17" i="1"/>
  <c r="A16" i="1"/>
  <c r="C36" i="1"/>
  <c r="I13" i="1"/>
  <c r="F25" i="1"/>
  <c r="C32" i="1"/>
  <c r="V17" i="1"/>
  <c r="V8" i="1"/>
  <c r="H32" i="1"/>
  <c r="Y17" i="1"/>
  <c r="R30" i="1"/>
  <c r="H54" i="1"/>
  <c r="W76" i="1"/>
  <c r="G41" i="1"/>
  <c r="L32" i="1"/>
  <c r="I51" i="1"/>
  <c r="M35" i="1"/>
  <c r="F76" i="1"/>
  <c r="Q78" i="1"/>
  <c r="Z54" i="1"/>
  <c r="E62" i="1"/>
  <c r="F79" i="1"/>
  <c r="T108" i="1"/>
  <c r="U85" i="1"/>
  <c r="B68" i="1"/>
  <c r="A83" i="1"/>
  <c r="AA65" i="1"/>
  <c r="C112" i="1"/>
  <c r="O103" i="1"/>
  <c r="V124" i="1"/>
  <c r="B143" i="1"/>
  <c r="C153" i="1"/>
  <c r="P139" i="1"/>
  <c r="O165" i="1"/>
  <c r="N182" i="1"/>
  <c r="Y181" i="1"/>
  <c r="B158" i="1"/>
  <c r="F179" i="1"/>
  <c r="T201" i="1"/>
  <c r="L9" i="1"/>
  <c r="T21" i="1"/>
  <c r="M38" i="1"/>
  <c r="O22" i="1"/>
  <c r="I35" i="1"/>
  <c r="Q33" i="1"/>
  <c r="O55" i="1"/>
  <c r="K118" i="1"/>
  <c r="G129" i="1"/>
  <c r="G156" i="1"/>
  <c r="N147" i="1"/>
  <c r="N3" i="1"/>
  <c r="U4" i="1"/>
  <c r="O7" i="1"/>
  <c r="X18" i="1"/>
  <c r="S16" i="1"/>
  <c r="Z63" i="1"/>
  <c r="M43" i="1"/>
  <c r="F72" i="1"/>
  <c r="C73" i="1"/>
  <c r="Y108" i="1"/>
  <c r="J127" i="1"/>
  <c r="G167" i="1"/>
  <c r="D6" i="1"/>
  <c r="M7" i="1"/>
  <c r="F12" i="1"/>
  <c r="Q21" i="1"/>
  <c r="F28" i="1"/>
  <c r="G49" i="1"/>
  <c r="C35" i="1"/>
  <c r="G58" i="1"/>
  <c r="L84" i="1"/>
  <c r="L108" i="1"/>
  <c r="Z116" i="1"/>
  <c r="Y130" i="1"/>
  <c r="Z193" i="1"/>
  <c r="M15" i="1"/>
  <c r="S12" i="1"/>
  <c r="T29" i="1"/>
  <c r="T39" i="1"/>
  <c r="R2" i="1"/>
  <c r="I57" i="1"/>
  <c r="J45" i="1"/>
  <c r="C80" i="1"/>
  <c r="O78" i="1"/>
  <c r="S109" i="1"/>
  <c r="J117" i="1"/>
  <c r="E163" i="1"/>
  <c r="D9" i="1"/>
  <c r="E14" i="1"/>
  <c r="R5" i="1"/>
  <c r="W29" i="1"/>
  <c r="E57" i="1"/>
  <c r="W51" i="1"/>
  <c r="T80" i="1"/>
  <c r="Z79" i="1"/>
  <c r="D80" i="1"/>
  <c r="Q114" i="1"/>
  <c r="T117" i="1"/>
  <c r="H162" i="1"/>
  <c r="L10" i="1"/>
  <c r="E2" i="1"/>
  <c r="E12" i="1"/>
  <c r="R19" i="1"/>
  <c r="L47" i="1"/>
  <c r="F52" i="1"/>
  <c r="C87" i="1"/>
  <c r="E84" i="1"/>
  <c r="Y80" i="1"/>
  <c r="L117" i="1"/>
  <c r="I119" i="1"/>
  <c r="B193" i="1"/>
  <c r="C5" i="1"/>
  <c r="D7" i="1"/>
  <c r="R45" i="1"/>
  <c r="X48" i="1"/>
  <c r="H9" i="1"/>
  <c r="L5" i="1"/>
  <c r="K17" i="1"/>
  <c r="Q13" i="1"/>
  <c r="T33" i="1"/>
  <c r="X67" i="1"/>
  <c r="Q51" i="1"/>
  <c r="P37" i="1"/>
  <c r="E13" i="1"/>
  <c r="D52" i="1"/>
  <c r="M66" i="1"/>
  <c r="D49" i="1"/>
  <c r="S55" i="1"/>
  <c r="U53" i="1"/>
  <c r="Y55" i="1"/>
  <c r="B82" i="1"/>
  <c r="A81" i="1"/>
  <c r="C129" i="1"/>
  <c r="E102" i="1"/>
  <c r="J121" i="1"/>
  <c r="S130" i="1"/>
  <c r="K172" i="1"/>
  <c r="Z212" i="1"/>
  <c r="Z20" i="1"/>
  <c r="H23" i="1"/>
  <c r="W11" i="1"/>
  <c r="X24" i="1"/>
  <c r="W16" i="1"/>
  <c r="W14" i="1"/>
  <c r="P10" i="1"/>
  <c r="K76" i="1"/>
  <c r="M13" i="1"/>
  <c r="E38" i="1"/>
  <c r="D15" i="1"/>
  <c r="N52" i="1"/>
  <c r="Z76" i="1"/>
  <c r="F50" i="1"/>
  <c r="S33" i="1"/>
  <c r="R75" i="1"/>
  <c r="J61" i="1"/>
  <c r="E83" i="1"/>
  <c r="D65" i="1"/>
  <c r="L61" i="1"/>
  <c r="Q103" i="1"/>
  <c r="J130" i="1"/>
  <c r="U163" i="1"/>
  <c r="P178" i="1"/>
  <c r="C177" i="1"/>
  <c r="C24" i="1"/>
  <c r="M24" i="1"/>
  <c r="H3" i="1"/>
  <c r="P13" i="1"/>
  <c r="E17" i="1"/>
  <c r="N35" i="1"/>
  <c r="L24" i="1"/>
  <c r="Q16" i="1"/>
  <c r="S31" i="1"/>
  <c r="R29" i="1"/>
  <c r="T83" i="1"/>
  <c r="D32" i="1"/>
  <c r="E35" i="1"/>
  <c r="I76" i="1"/>
  <c r="U61" i="1"/>
  <c r="O83" i="1"/>
  <c r="I67" i="1"/>
  <c r="U62" i="1"/>
  <c r="T101" i="1"/>
  <c r="U135" i="1"/>
  <c r="D145" i="1"/>
  <c r="D155" i="1"/>
  <c r="F155" i="1"/>
  <c r="N180" i="1"/>
  <c r="C2" i="1"/>
  <c r="D20" i="1"/>
  <c r="H13" i="1"/>
  <c r="G6" i="1"/>
  <c r="X7" i="1"/>
  <c r="AA28" i="1"/>
  <c r="Z15" i="1"/>
  <c r="V20" i="1"/>
  <c r="J18" i="1"/>
  <c r="L16" i="1"/>
  <c r="X37" i="1"/>
  <c r="N16" i="1"/>
  <c r="Q25" i="1"/>
  <c r="S32" i="1"/>
  <c r="J21" i="1"/>
  <c r="U10" i="1"/>
  <c r="X32" i="1"/>
  <c r="H20" i="1"/>
  <c r="T34" i="1"/>
  <c r="K61" i="1"/>
  <c r="Y40" i="1"/>
  <c r="R61" i="1"/>
  <c r="T32" i="1"/>
  <c r="B56" i="1"/>
  <c r="U35" i="1"/>
  <c r="T77" i="1"/>
  <c r="O79" i="1"/>
  <c r="G55" i="1"/>
  <c r="X69" i="1"/>
  <c r="A89" i="1"/>
  <c r="H115" i="1"/>
  <c r="F86" i="1"/>
  <c r="D69" i="1"/>
  <c r="C85" i="1"/>
  <c r="S66" i="1"/>
  <c r="E121" i="1"/>
  <c r="T104" i="1"/>
  <c r="Z126" i="1"/>
  <c r="R129" i="1"/>
  <c r="V139" i="1"/>
  <c r="F147" i="1"/>
  <c r="M168" i="1"/>
  <c r="R144" i="1"/>
  <c r="P182" i="1"/>
  <c r="P160" i="1"/>
  <c r="Z180" i="1"/>
  <c r="R205" i="1"/>
  <c r="U57" i="1"/>
  <c r="P102" i="1"/>
  <c r="P86" i="1"/>
  <c r="K88" i="1"/>
  <c r="H92" i="1"/>
  <c r="P145" i="1"/>
  <c r="X92" i="1"/>
  <c r="X128" i="1"/>
  <c r="A147" i="1"/>
  <c r="C102" i="1"/>
  <c r="C86" i="1"/>
  <c r="E91" i="1"/>
  <c r="Z141" i="1"/>
  <c r="R165" i="1"/>
  <c r="W125" i="1"/>
  <c r="E154" i="1"/>
  <c r="K162" i="1"/>
  <c r="K156" i="1"/>
  <c r="C186" i="1"/>
  <c r="O181" i="1"/>
  <c r="O195" i="1"/>
  <c r="N199" i="1"/>
  <c r="E206" i="1"/>
  <c r="Z16" i="1"/>
  <c r="Y3" i="1"/>
  <c r="R27" i="1"/>
  <c r="E3" i="1"/>
  <c r="N19" i="1"/>
  <c r="R15" i="1"/>
  <c r="Z14" i="1"/>
  <c r="C18" i="1"/>
  <c r="Y18" i="1"/>
  <c r="I3" i="1"/>
  <c r="M3" i="1"/>
  <c r="P2" i="1"/>
  <c r="O9" i="1"/>
  <c r="D19" i="1"/>
  <c r="P7" i="1"/>
  <c r="G10" i="1"/>
  <c r="U13" i="1"/>
  <c r="J20" i="1"/>
  <c r="F37" i="1"/>
  <c r="AA19" i="1"/>
  <c r="M61" i="1"/>
  <c r="R39" i="1"/>
  <c r="H30" i="1"/>
  <c r="G19" i="1"/>
  <c r="J34" i="1"/>
  <c r="X30" i="1"/>
  <c r="R32" i="1"/>
  <c r="B35" i="1"/>
  <c r="N37" i="1"/>
  <c r="T23" i="1"/>
  <c r="J23" i="1"/>
  <c r="B19" i="1"/>
  <c r="AA9" i="1"/>
  <c r="G35" i="1"/>
  <c r="O13" i="1"/>
  <c r="A25" i="1"/>
  <c r="B65" i="1"/>
  <c r="S37" i="1"/>
  <c r="C40" i="1"/>
  <c r="S69" i="1"/>
  <c r="E64" i="1"/>
  <c r="N41" i="1"/>
  <c r="D92" i="1"/>
  <c r="I43" i="1"/>
  <c r="F46" i="1"/>
  <c r="O50" i="1"/>
  <c r="X36" i="1"/>
  <c r="B55" i="1"/>
  <c r="C58" i="1"/>
  <c r="T51" i="1"/>
  <c r="B36" i="1"/>
  <c r="F49" i="1"/>
  <c r="E63" i="1"/>
  <c r="Z64" i="1"/>
  <c r="Q56" i="1"/>
  <c r="X60" i="1"/>
  <c r="P67" i="1"/>
  <c r="D56" i="1"/>
  <c r="H59" i="1"/>
  <c r="P62" i="1"/>
  <c r="Y88" i="1"/>
  <c r="J60" i="1"/>
  <c r="A76" i="1"/>
  <c r="D104" i="1"/>
  <c r="D86" i="1"/>
  <c r="L87" i="1"/>
  <c r="I90" i="1"/>
  <c r="F92" i="1"/>
  <c r="T81" i="1"/>
  <c r="U92" i="1"/>
  <c r="K79" i="1"/>
  <c r="E65" i="1"/>
  <c r="F84" i="1"/>
  <c r="A99" i="1"/>
  <c r="P89" i="1"/>
  <c r="L67" i="1"/>
  <c r="S82" i="1"/>
  <c r="U153" i="1"/>
  <c r="H94" i="1"/>
  <c r="I106" i="1"/>
  <c r="E103" i="1"/>
  <c r="O113" i="1"/>
  <c r="M88" i="1"/>
  <c r="Y129" i="1"/>
  <c r="Z92" i="1"/>
  <c r="Q135" i="1"/>
  <c r="N144" i="1"/>
  <c r="U129" i="1"/>
  <c r="AA122" i="1"/>
  <c r="P111" i="1"/>
  <c r="S126" i="1"/>
  <c r="X135" i="1"/>
  <c r="L155" i="1"/>
  <c r="X131" i="1"/>
  <c r="A168" i="1"/>
  <c r="Z169" i="1"/>
  <c r="W156" i="1"/>
  <c r="K154" i="1"/>
  <c r="C156" i="1"/>
  <c r="W186" i="1"/>
  <c r="O185" i="1"/>
  <c r="O183" i="1"/>
  <c r="AA168" i="1"/>
  <c r="W204" i="1"/>
  <c r="AA185" i="1"/>
  <c r="Y199" i="1"/>
  <c r="A207" i="1"/>
  <c r="AA209" i="1"/>
  <c r="X12" i="1"/>
  <c r="T17" i="1"/>
  <c r="T5" i="1"/>
  <c r="P3" i="1"/>
  <c r="I20" i="1"/>
  <c r="M16" i="1"/>
  <c r="S19" i="1"/>
  <c r="H21" i="1"/>
  <c r="N23" i="1"/>
  <c r="A4" i="1"/>
  <c r="X6" i="1"/>
  <c r="AA2" i="1"/>
  <c r="F10" i="1"/>
  <c r="R21" i="1"/>
  <c r="N11" i="1"/>
  <c r="M11" i="1"/>
  <c r="Y16" i="1"/>
  <c r="T20" i="1"/>
  <c r="V37" i="1"/>
  <c r="D23" i="1"/>
  <c r="J24" i="1"/>
  <c r="G40" i="1"/>
  <c r="T45" i="1"/>
  <c r="B20" i="1"/>
  <c r="Z34" i="1"/>
  <c r="V33" i="1"/>
  <c r="G33" i="1"/>
  <c r="G36" i="1"/>
  <c r="D41" i="1"/>
  <c r="I25" i="1"/>
  <c r="D26" i="1"/>
  <c r="V23" i="1"/>
  <c r="E11" i="1"/>
  <c r="W35" i="1"/>
  <c r="M17" i="1"/>
  <c r="V25" i="1"/>
  <c r="N89" i="1"/>
  <c r="M42" i="1"/>
  <c r="O42" i="1"/>
  <c r="X40" i="1"/>
  <c r="S90" i="1"/>
  <c r="S42" i="1"/>
  <c r="N44" i="1"/>
  <c r="E45" i="1"/>
  <c r="A49" i="1"/>
  <c r="H51" i="1"/>
  <c r="R38" i="1"/>
  <c r="B58" i="1"/>
  <c r="U65" i="1"/>
  <c r="D58" i="1"/>
  <c r="R36" i="1"/>
  <c r="R50" i="1"/>
  <c r="Y64" i="1"/>
  <c r="L68" i="1"/>
  <c r="M59" i="1"/>
  <c r="R63" i="1"/>
  <c r="U69" i="1"/>
  <c r="Q60" i="1"/>
  <c r="W63" i="1"/>
  <c r="D66" i="1"/>
  <c r="Q47" i="1"/>
  <c r="F62" i="1"/>
  <c r="J80" i="1"/>
  <c r="Y109" i="1"/>
  <c r="P93" i="1"/>
  <c r="T90" i="1"/>
  <c r="S92" i="1"/>
  <c r="Y111" i="1"/>
  <c r="AA84" i="1"/>
  <c r="U93" i="1"/>
  <c r="U83" i="1"/>
  <c r="AA66" i="1"/>
  <c r="V86" i="1"/>
  <c r="Q109" i="1"/>
  <c r="Z91" i="1"/>
  <c r="Z75" i="1"/>
  <c r="D90" i="1"/>
  <c r="D122" i="1"/>
  <c r="M96" i="1"/>
  <c r="I109" i="1"/>
  <c r="X108" i="1"/>
  <c r="L120" i="1"/>
  <c r="W90" i="1"/>
  <c r="R95" i="1"/>
  <c r="I99" i="1"/>
  <c r="F121" i="1"/>
  <c r="Q154" i="1"/>
  <c r="W131" i="1"/>
  <c r="Z128" i="1"/>
  <c r="M121" i="1"/>
  <c r="I145" i="1"/>
  <c r="G139" i="1"/>
  <c r="R138" i="1"/>
  <c r="A136" i="1"/>
  <c r="F176" i="1"/>
  <c r="U192" i="1"/>
  <c r="M164" i="1"/>
  <c r="M165" i="1"/>
  <c r="X161" i="1"/>
  <c r="R190" i="1"/>
  <c r="S163" i="1"/>
  <c r="M195" i="1"/>
  <c r="D197" i="1"/>
  <c r="Z199" i="1"/>
  <c r="E202" i="1"/>
  <c r="E203" i="1"/>
  <c r="I210" i="1"/>
  <c r="J213" i="1"/>
  <c r="W74" i="1"/>
  <c r="V84" i="1"/>
  <c r="X88" i="1"/>
  <c r="I81" i="1"/>
  <c r="H74" i="1"/>
  <c r="V83" i="1"/>
  <c r="R88" i="1"/>
  <c r="B67" i="1"/>
  <c r="C146" i="1"/>
  <c r="L97" i="1"/>
  <c r="Z112" i="1"/>
  <c r="K128" i="1"/>
  <c r="B129" i="1"/>
  <c r="H129" i="1"/>
  <c r="P107" i="1"/>
  <c r="L151" i="1"/>
  <c r="AA130" i="1"/>
  <c r="S166" i="1"/>
  <c r="X165" i="1"/>
  <c r="A152" i="1"/>
  <c r="Q171" i="1"/>
  <c r="Q168" i="1"/>
  <c r="G185" i="1"/>
  <c r="W198" i="1"/>
  <c r="K3" i="1"/>
  <c r="O18" i="1"/>
  <c r="Y6" i="1"/>
  <c r="X3" i="1"/>
  <c r="H4" i="1"/>
  <c r="X25" i="1"/>
  <c r="G17" i="1"/>
  <c r="K22" i="1"/>
  <c r="J4" i="1"/>
  <c r="O28" i="1"/>
  <c r="D5" i="1"/>
  <c r="S8" i="1"/>
  <c r="V4" i="1"/>
  <c r="C12" i="1"/>
  <c r="M29" i="1"/>
  <c r="U6" i="1"/>
  <c r="H2" i="1"/>
  <c r="N18" i="1"/>
  <c r="Y21" i="1"/>
  <c r="K38" i="1"/>
  <c r="O23" i="1"/>
  <c r="D25" i="1"/>
  <c r="W40" i="1"/>
  <c r="U46" i="1"/>
  <c r="L20" i="1"/>
  <c r="T36" i="1"/>
  <c r="K34" i="1"/>
  <c r="W33" i="1"/>
  <c r="L37" i="1"/>
  <c r="AA44" i="1"/>
  <c r="C26" i="1"/>
  <c r="Y26" i="1"/>
  <c r="AA24" i="1"/>
  <c r="T12" i="1"/>
  <c r="A37" i="1"/>
  <c r="H18" i="1"/>
  <c r="F26" i="1"/>
  <c r="C21" i="1"/>
  <c r="L43" i="1"/>
  <c r="P46" i="1"/>
  <c r="E41" i="1"/>
  <c r="M44" i="1"/>
  <c r="AA42" i="1"/>
  <c r="N45" i="1"/>
  <c r="O46" i="1"/>
  <c r="U49" i="1"/>
  <c r="AA51" i="1"/>
  <c r="Z38" i="1"/>
  <c r="Q58" i="1"/>
  <c r="K69" i="1"/>
  <c r="T58" i="1"/>
  <c r="Z36" i="1"/>
  <c r="Y52" i="1"/>
  <c r="J65" i="1"/>
  <c r="R70" i="1"/>
  <c r="V59" i="1"/>
  <c r="D64" i="1"/>
  <c r="Y70" i="1"/>
  <c r="Z60" i="1"/>
  <c r="R65" i="1"/>
  <c r="Q66" i="1"/>
  <c r="Y47" i="1"/>
  <c r="B63" i="1"/>
  <c r="U80" i="1"/>
  <c r="D113" i="1"/>
  <c r="R97" i="1"/>
  <c r="Q93" i="1"/>
  <c r="F94" i="1"/>
  <c r="U113" i="1"/>
  <c r="K85" i="1"/>
  <c r="U95" i="1"/>
  <c r="P84" i="1"/>
  <c r="J67" i="1"/>
  <c r="F87" i="1"/>
  <c r="A111" i="1"/>
  <c r="O94" i="1"/>
  <c r="I78" i="1"/>
  <c r="B91" i="1"/>
  <c r="F123" i="1"/>
  <c r="U98" i="1"/>
  <c r="J110" i="1"/>
  <c r="M110" i="1"/>
  <c r="S124" i="1"/>
  <c r="D91" i="1"/>
  <c r="Y96" i="1"/>
  <c r="B100" i="1"/>
  <c r="U122" i="1"/>
  <c r="H163" i="1"/>
  <c r="F135" i="1"/>
  <c r="Z131" i="1"/>
  <c r="G122" i="1"/>
  <c r="R146" i="1"/>
  <c r="T145" i="1"/>
  <c r="J143" i="1"/>
  <c r="Q136" i="1"/>
  <c r="L184" i="1"/>
  <c r="X158" i="1"/>
  <c r="Y164" i="1"/>
  <c r="A169" i="1"/>
  <c r="B169" i="1"/>
  <c r="S193" i="1"/>
  <c r="Z164" i="1"/>
  <c r="V198" i="1"/>
  <c r="F172" i="1"/>
  <c r="Z200" i="1"/>
  <c r="B208" i="1"/>
  <c r="Z204" i="1"/>
  <c r="G201" i="1"/>
  <c r="Z213" i="1"/>
  <c r="C3" i="1"/>
  <c r="I19" i="1"/>
  <c r="U7" i="1"/>
  <c r="R7" i="1"/>
  <c r="K5" i="1"/>
  <c r="H5" i="1"/>
  <c r="A18" i="1"/>
  <c r="T3" i="1"/>
  <c r="W5" i="1"/>
  <c r="Q2" i="1"/>
  <c r="H6" i="1"/>
  <c r="L2" i="1"/>
  <c r="N5" i="1"/>
  <c r="W12" i="1"/>
  <c r="Y12" i="1"/>
  <c r="Y10" i="1"/>
  <c r="E7" i="1"/>
  <c r="H19" i="1"/>
  <c r="C23" i="1"/>
  <c r="P39" i="1"/>
  <c r="I24" i="1"/>
  <c r="O25" i="1"/>
  <c r="R43" i="1"/>
  <c r="E48" i="1"/>
  <c r="G21" i="1"/>
  <c r="N38" i="1"/>
  <c r="AA34" i="1"/>
  <c r="Q35" i="1"/>
  <c r="Q38" i="1"/>
  <c r="B46" i="1"/>
  <c r="N26" i="1"/>
  <c r="O29" i="1"/>
  <c r="J27" i="1"/>
  <c r="R18" i="1"/>
  <c r="I42" i="1"/>
  <c r="M19" i="1"/>
  <c r="AA26" i="1"/>
  <c r="X21" i="1"/>
  <c r="J44" i="1"/>
  <c r="V47" i="1"/>
  <c r="U41" i="1"/>
  <c r="V45" i="1"/>
  <c r="H43" i="1"/>
  <c r="E46" i="1"/>
  <c r="X46" i="1"/>
  <c r="D50" i="1"/>
  <c r="C54" i="1"/>
  <c r="G39" i="1"/>
  <c r="F59" i="1"/>
  <c r="D74" i="1"/>
  <c r="P60" i="1"/>
  <c r="G37" i="1"/>
  <c r="R55" i="1"/>
  <c r="V65" i="1"/>
  <c r="H71" i="1"/>
  <c r="F63" i="1"/>
  <c r="P64" i="1"/>
  <c r="L71" i="1"/>
  <c r="J63" i="1"/>
  <c r="C66" i="1"/>
  <c r="R67" i="1"/>
  <c r="N48" i="1"/>
  <c r="Y63" i="1"/>
  <c r="O81" i="1"/>
  <c r="P117" i="1"/>
  <c r="Q102" i="1"/>
  <c r="A97" i="1"/>
  <c r="S95" i="1"/>
  <c r="Y115" i="1"/>
  <c r="G86" i="1"/>
  <c r="AA97" i="1"/>
  <c r="A85" i="1"/>
  <c r="T67" i="1"/>
  <c r="M90" i="1"/>
  <c r="Q112" i="1"/>
  <c r="T96" i="1"/>
  <c r="B83" i="1"/>
  <c r="N92" i="1"/>
  <c r="H124" i="1"/>
  <c r="N99" i="1"/>
  <c r="Z110" i="1"/>
  <c r="X114" i="1"/>
  <c r="AA94" i="1"/>
  <c r="L91" i="1"/>
  <c r="Z98" i="1"/>
  <c r="M101" i="1"/>
  <c r="U124" i="1"/>
  <c r="B152" i="1"/>
  <c r="P150" i="1"/>
  <c r="O133" i="1"/>
  <c r="R122" i="1"/>
  <c r="N153" i="1"/>
  <c r="V147" i="1"/>
  <c r="K145" i="1"/>
  <c r="C138" i="1"/>
  <c r="M139" i="1"/>
  <c r="R161" i="1"/>
  <c r="W165" i="1"/>
  <c r="G170" i="1"/>
  <c r="P171" i="1"/>
  <c r="F158" i="1"/>
  <c r="P165" i="1"/>
  <c r="A201" i="1"/>
  <c r="Z174" i="1"/>
  <c r="I172" i="1"/>
  <c r="T198" i="1"/>
  <c r="AA212" i="1"/>
  <c r="M202" i="1"/>
  <c r="B206" i="1"/>
  <c r="D46" i="1"/>
  <c r="C50" i="1"/>
  <c r="Z51" i="1"/>
  <c r="C61" i="1"/>
  <c r="X61" i="1"/>
  <c r="B62" i="1"/>
  <c r="C62" i="1"/>
  <c r="V71" i="1"/>
  <c r="P68" i="1"/>
  <c r="G64" i="1"/>
  <c r="K49" i="1"/>
  <c r="Z81" i="1"/>
  <c r="I69" i="1"/>
  <c r="S97" i="1"/>
  <c r="D101" i="1"/>
  <c r="T86" i="1"/>
  <c r="L85" i="1"/>
  <c r="U150" i="1"/>
  <c r="M86" i="1"/>
  <c r="L126" i="1"/>
  <c r="N111" i="1"/>
  <c r="J100" i="1"/>
  <c r="R99" i="1"/>
  <c r="D125" i="1"/>
  <c r="Q134" i="1"/>
  <c r="L123" i="1"/>
  <c r="N141" i="1"/>
  <c r="N150" i="1"/>
  <c r="H166" i="1"/>
  <c r="V170" i="1"/>
  <c r="I173" i="1"/>
  <c r="N203" i="1"/>
  <c r="R172" i="1"/>
  <c r="Y202" i="1"/>
  <c r="Y20" i="1"/>
  <c r="B24" i="1"/>
  <c r="J9" i="1"/>
  <c r="AA16" i="1"/>
  <c r="D3" i="1"/>
  <c r="W10" i="1"/>
  <c r="X15" i="1"/>
  <c r="G12" i="1"/>
  <c r="X22" i="1"/>
  <c r="R46" i="1"/>
  <c r="D27" i="1"/>
  <c r="U55" i="1"/>
  <c r="W42" i="1"/>
  <c r="K37" i="1"/>
  <c r="N78" i="1"/>
  <c r="L33" i="1"/>
  <c r="R20" i="1"/>
  <c r="W8" i="1"/>
  <c r="G26" i="1"/>
  <c r="B61" i="1"/>
  <c r="M46" i="1"/>
  <c r="J56" i="1"/>
  <c r="D53" i="1"/>
  <c r="AA67" i="1"/>
  <c r="V73" i="1"/>
  <c r="A67" i="1"/>
  <c r="B78" i="1"/>
  <c r="G74" i="1"/>
  <c r="A69" i="1"/>
  <c r="D75" i="1"/>
  <c r="S72" i="1"/>
  <c r="T66" i="1"/>
  <c r="N72" i="1"/>
  <c r="L103" i="1"/>
  <c r="Y121" i="1"/>
  <c r="R62" i="1"/>
  <c r="AA88" i="1"/>
  <c r="M114" i="1"/>
  <c r="N68" i="1"/>
  <c r="C90" i="1"/>
  <c r="C99" i="1"/>
  <c r="W117" i="1"/>
  <c r="Z103" i="1"/>
  <c r="G103" i="1"/>
  <c r="W126" i="1"/>
  <c r="W115" i="1"/>
  <c r="V152" i="1"/>
  <c r="T146" i="1"/>
  <c r="B145" i="1"/>
  <c r="O145" i="1"/>
  <c r="A139" i="1"/>
  <c r="Q179" i="1"/>
  <c r="W196" i="1"/>
  <c r="U182" i="1"/>
  <c r="A209" i="1"/>
  <c r="Y4" i="1"/>
  <c r="G4" i="1"/>
  <c r="P4" i="1"/>
  <c r="J8" i="1"/>
  <c r="Y8" i="1"/>
  <c r="B7" i="1"/>
  <c r="G25" i="1"/>
  <c r="K6" i="1"/>
  <c r="R26" i="1"/>
  <c r="Y25" i="1"/>
  <c r="T13" i="1"/>
  <c r="V22" i="1"/>
  <c r="U36" i="1"/>
  <c r="V51" i="1"/>
  <c r="A34" i="1"/>
  <c r="V21" i="1"/>
  <c r="E29" i="1"/>
  <c r="Y72" i="1"/>
  <c r="V46" i="1"/>
  <c r="W56" i="1"/>
  <c r="A54" i="1"/>
  <c r="Q41" i="1"/>
  <c r="H53" i="1"/>
  <c r="F40" i="1"/>
  <c r="M69" i="1"/>
  <c r="S70" i="1"/>
  <c r="I77" i="1"/>
  <c r="K73" i="1"/>
  <c r="U67" i="1"/>
  <c r="X72" i="1"/>
  <c r="L104" i="1"/>
  <c r="W107" i="1"/>
  <c r="AA62" i="1"/>
  <c r="O71" i="1"/>
  <c r="G69" i="1"/>
  <c r="Q90" i="1"/>
  <c r="W99" i="1"/>
  <c r="G120" i="1"/>
  <c r="P105" i="1"/>
  <c r="A104" i="1"/>
  <c r="G127" i="1"/>
  <c r="Q116" i="1"/>
  <c r="U133" i="1"/>
  <c r="H158" i="1"/>
  <c r="D142" i="1"/>
  <c r="W168" i="1"/>
  <c r="G172" i="1"/>
  <c r="A158" i="1"/>
  <c r="F185" i="1"/>
  <c r="M206" i="1"/>
  <c r="V210" i="1"/>
  <c r="B6" i="1"/>
  <c r="K12" i="1"/>
  <c r="F13" i="1"/>
  <c r="M6" i="1"/>
  <c r="O10" i="1"/>
  <c r="A14" i="1"/>
  <c r="G9" i="1"/>
  <c r="H8" i="1"/>
  <c r="R10" i="1"/>
  <c r="I4" i="1"/>
  <c r="M9" i="1"/>
  <c r="A15" i="1"/>
  <c r="Z7" i="1"/>
  <c r="L17" i="1"/>
  <c r="Y29" i="1"/>
  <c r="M14" i="1"/>
  <c r="I2" i="1"/>
  <c r="X26" i="1"/>
  <c r="U28" i="1"/>
  <c r="H55" i="1"/>
  <c r="S26" i="1"/>
  <c r="V29" i="1"/>
  <c r="Y14" i="1"/>
  <c r="H67" i="1"/>
  <c r="E25" i="1"/>
  <c r="V49" i="1"/>
  <c r="J37" i="1"/>
  <c r="E39" i="1"/>
  <c r="K59" i="1"/>
  <c r="S10" i="1"/>
  <c r="E42" i="1"/>
  <c r="K36" i="1"/>
  <c r="I46" i="1"/>
  <c r="F24" i="1"/>
  <c r="E24" i="1"/>
  <c r="AA11" i="1"/>
  <c r="I32" i="1"/>
  <c r="A27" i="1"/>
  <c r="F90" i="1"/>
  <c r="A45" i="1"/>
  <c r="U45" i="1"/>
  <c r="W47" i="1"/>
  <c r="X47" i="1"/>
  <c r="Y57" i="1"/>
  <c r="M50" i="1"/>
  <c r="M55" i="1"/>
  <c r="U79" i="1"/>
  <c r="Y41" i="1"/>
  <c r="R96" i="1"/>
  <c r="E54" i="1"/>
  <c r="E74" i="1"/>
  <c r="V40" i="1"/>
  <c r="I79" i="1"/>
  <c r="C70" i="1"/>
  <c r="V77" i="1"/>
  <c r="W71" i="1"/>
  <c r="E77" i="1"/>
  <c r="Y78" i="1"/>
  <c r="Z70" i="1"/>
  <c r="K70" i="1"/>
  <c r="Q74" i="1"/>
  <c r="Z52" i="1"/>
  <c r="V68" i="1"/>
  <c r="U84" i="1"/>
  <c r="S73" i="1"/>
  <c r="X101" i="1"/>
  <c r="G118" i="1"/>
  <c r="W111" i="1"/>
  <c r="D109" i="1"/>
  <c r="Z97" i="1"/>
  <c r="A64" i="1"/>
  <c r="J91" i="1"/>
  <c r="D73" i="1"/>
  <c r="C123" i="1"/>
  <c r="L70" i="1"/>
  <c r="S56" i="1"/>
  <c r="O91" i="1"/>
  <c r="C115" i="1"/>
  <c r="Z100" i="1"/>
  <c r="K115" i="1"/>
  <c r="J122" i="1"/>
  <c r="V126" i="1"/>
  <c r="M109" i="1"/>
  <c r="T100" i="1"/>
  <c r="O108" i="1"/>
  <c r="B115" i="1"/>
  <c r="U127" i="1"/>
  <c r="A124" i="1"/>
  <c r="A117" i="1"/>
  <c r="F126" i="1"/>
  <c r="X134" i="1"/>
  <c r="B134" i="1"/>
  <c r="I155" i="1"/>
  <c r="C135" i="1"/>
  <c r="P147" i="1"/>
  <c r="L142" i="1"/>
  <c r="P151" i="1"/>
  <c r="M169" i="1"/>
  <c r="Q139" i="1"/>
  <c r="L178" i="1"/>
  <c r="K185" i="1"/>
  <c r="Y184" i="1"/>
  <c r="Z168" i="1"/>
  <c r="S184" i="1"/>
  <c r="U187" i="1"/>
  <c r="Q193" i="1"/>
  <c r="H210" i="1"/>
  <c r="Y198" i="1"/>
  <c r="B214" i="1"/>
  <c r="P43" i="1"/>
  <c r="F47" i="1"/>
  <c r="O39" i="1"/>
  <c r="S98" i="1"/>
  <c r="W37" i="1"/>
  <c r="J66" i="1"/>
  <c r="K66" i="1"/>
  <c r="B72" i="1"/>
  <c r="P66" i="1"/>
  <c r="M70" i="1"/>
  <c r="I64" i="1"/>
  <c r="O106" i="1"/>
  <c r="J118" i="1"/>
  <c r="U105" i="1"/>
  <c r="C68" i="1"/>
  <c r="B107" i="1"/>
  <c r="I102" i="1"/>
  <c r="M93" i="1"/>
  <c r="M103" i="1"/>
  <c r="K116" i="1"/>
  <c r="Q92" i="1"/>
  <c r="W104" i="1"/>
  <c r="S119" i="1"/>
  <c r="D134" i="1"/>
  <c r="D165" i="1"/>
  <c r="W145" i="1"/>
  <c r="U139" i="1"/>
  <c r="R150" i="1"/>
  <c r="T175" i="1"/>
  <c r="O168" i="1"/>
  <c r="L180" i="1"/>
  <c r="T171" i="1"/>
  <c r="V190" i="1"/>
  <c r="D208" i="1"/>
  <c r="F4" i="1"/>
  <c r="D11" i="1"/>
  <c r="Z6" i="1"/>
  <c r="C28" i="1"/>
  <c r="A7" i="1"/>
  <c r="K8" i="1"/>
  <c r="S6" i="1"/>
  <c r="Z19" i="1"/>
  <c r="P5" i="1"/>
  <c r="H24" i="1"/>
  <c r="N25" i="1"/>
  <c r="O12" i="1"/>
  <c r="L22" i="1"/>
  <c r="E36" i="1"/>
  <c r="O48" i="1"/>
  <c r="D28" i="1"/>
  <c r="J41" i="1"/>
  <c r="K71" i="1"/>
  <c r="S28" i="1"/>
  <c r="N65" i="1"/>
  <c r="C45" i="1"/>
  <c r="M45" i="1"/>
  <c r="H48" i="1"/>
  <c r="A41" i="1"/>
  <c r="W52" i="1"/>
  <c r="Y39" i="1"/>
  <c r="AA68" i="1"/>
  <c r="AA74" i="1"/>
  <c r="V69" i="1"/>
  <c r="H69" i="1"/>
  <c r="J52" i="1"/>
  <c r="T82" i="1"/>
  <c r="G115" i="1"/>
  <c r="V107" i="1"/>
  <c r="G92" i="1"/>
  <c r="U70" i="1"/>
  <c r="R112" i="1"/>
  <c r="J103" i="1"/>
  <c r="T112" i="1"/>
  <c r="L121" i="1"/>
  <c r="H99" i="1"/>
  <c r="T113" i="1"/>
  <c r="B122" i="1"/>
  <c r="P127" i="1"/>
  <c r="E133" i="1"/>
  <c r="F154" i="1"/>
  <c r="O141" i="1"/>
  <c r="J166" i="1"/>
  <c r="B196" i="1"/>
  <c r="M173" i="1"/>
  <c r="U156" i="1"/>
  <c r="A175" i="1"/>
  <c r="Q211" i="1"/>
  <c r="I197" i="1"/>
  <c r="A24" i="1"/>
  <c r="M12" i="1"/>
  <c r="I9" i="1"/>
  <c r="P12" i="1"/>
  <c r="D2" i="1"/>
  <c r="Z3" i="1"/>
  <c r="L11" i="1"/>
  <c r="R16" i="1"/>
  <c r="S13" i="1"/>
  <c r="Z23" i="1"/>
  <c r="L49" i="1"/>
  <c r="K28" i="1"/>
  <c r="P58" i="1"/>
  <c r="Y46" i="1"/>
  <c r="AA37" i="1"/>
  <c r="Y9" i="1"/>
  <c r="P28" i="1"/>
  <c r="F43" i="1"/>
  <c r="A23" i="1"/>
  <c r="V10" i="1"/>
  <c r="Q26" i="1"/>
  <c r="Z72" i="1"/>
  <c r="L45" i="1"/>
  <c r="E47" i="1"/>
  <c r="R48" i="1"/>
  <c r="G72" i="1"/>
  <c r="S75" i="1"/>
  <c r="L69" i="1"/>
  <c r="E101" i="1"/>
  <c r="P75" i="1"/>
  <c r="T75" i="1"/>
  <c r="I70" i="1"/>
  <c r="W69" i="1"/>
  <c r="R52" i="1"/>
  <c r="D83" i="1"/>
  <c r="C125" i="1"/>
  <c r="G110" i="1"/>
  <c r="I94" i="1"/>
  <c r="L90" i="1"/>
  <c r="V116" i="1"/>
  <c r="O114" i="1"/>
  <c r="P108" i="1"/>
  <c r="B114" i="1"/>
  <c r="O123" i="1"/>
  <c r="AA99" i="1"/>
  <c r="L114" i="1"/>
  <c r="W122" i="1"/>
  <c r="E111" i="1"/>
  <c r="O131" i="1"/>
  <c r="W150" i="1"/>
  <c r="Z146" i="1"/>
  <c r="U147" i="1"/>
  <c r="I139" i="1"/>
  <c r="AA181" i="1"/>
  <c r="H177" i="1"/>
  <c r="AA183" i="1"/>
  <c r="P184" i="1"/>
  <c r="N198" i="1"/>
  <c r="L6" i="1"/>
  <c r="R25" i="1"/>
  <c r="S14" i="1"/>
  <c r="F8" i="1"/>
  <c r="F11" i="1"/>
  <c r="K16" i="1"/>
  <c r="E6" i="1"/>
  <c r="N2" i="1"/>
  <c r="I11" i="1"/>
  <c r="J7" i="1"/>
  <c r="T10" i="1"/>
  <c r="P16" i="1"/>
  <c r="Z8" i="1"/>
  <c r="Q20" i="1"/>
  <c r="W4" i="1"/>
  <c r="H15" i="1"/>
  <c r="O4" i="1"/>
  <c r="Z30" i="1"/>
  <c r="G29" i="1"/>
  <c r="R13" i="1"/>
  <c r="C27" i="1"/>
  <c r="J31" i="1"/>
  <c r="C16" i="1"/>
  <c r="K9" i="1"/>
  <c r="A28" i="1"/>
  <c r="L51" i="1"/>
  <c r="O38" i="1"/>
  <c r="B41" i="1"/>
  <c r="C69" i="1"/>
  <c r="X11" i="1"/>
  <c r="O40" i="1"/>
  <c r="AA36" i="1"/>
  <c r="Y48" i="1"/>
  <c r="K25" i="1"/>
  <c r="J2" i="1"/>
  <c r="U12" i="1"/>
  <c r="S34" i="1"/>
  <c r="L27" i="1"/>
  <c r="B27" i="1"/>
  <c r="I50" i="1"/>
  <c r="D47" i="1"/>
  <c r="P48" i="1"/>
  <c r="B50" i="1"/>
  <c r="L58" i="1"/>
  <c r="F51" i="1"/>
  <c r="L64" i="1"/>
  <c r="X95" i="1"/>
  <c r="F42" i="1"/>
  <c r="AA46" i="1"/>
  <c r="S58" i="1"/>
  <c r="A78" i="1"/>
  <c r="K41" i="1"/>
  <c r="P81" i="1"/>
  <c r="J72" i="1"/>
  <c r="H85" i="1"/>
  <c r="M72" i="1"/>
  <c r="Z77" i="1"/>
  <c r="V90" i="1"/>
  <c r="Q72" i="1"/>
  <c r="AA70" i="1"/>
  <c r="H81" i="1"/>
  <c r="G53" i="1"/>
  <c r="J69" i="1"/>
  <c r="H88" i="1"/>
  <c r="B74" i="1"/>
  <c r="I105" i="1"/>
  <c r="B80" i="1"/>
  <c r="L113" i="1"/>
  <c r="L110" i="1"/>
  <c r="T105" i="1"/>
  <c r="K64" i="1"/>
  <c r="V98" i="1"/>
  <c r="C75" i="1"/>
  <c r="M127" i="1"/>
  <c r="Q71" i="1"/>
  <c r="B59" i="1"/>
  <c r="L93" i="1"/>
  <c r="M117" i="1"/>
  <c r="J102" i="1"/>
  <c r="AA116" i="1"/>
  <c r="M129" i="1"/>
  <c r="L148" i="1"/>
  <c r="AA109" i="1"/>
  <c r="L101" i="1"/>
  <c r="V123" i="1"/>
  <c r="U119" i="1"/>
  <c r="F128" i="1"/>
  <c r="P134" i="1"/>
  <c r="V117" i="1"/>
  <c r="L130" i="1"/>
  <c r="Q111" i="1"/>
  <c r="J134" i="1"/>
  <c r="Q156" i="1"/>
  <c r="C151" i="1"/>
  <c r="V149" i="1"/>
  <c r="T142" i="1"/>
  <c r="W159" i="1"/>
  <c r="E170" i="1"/>
  <c r="V140" i="1"/>
  <c r="I187" i="1"/>
  <c r="U189" i="1"/>
  <c r="W187" i="1"/>
  <c r="Q172" i="1"/>
  <c r="V185" i="1"/>
  <c r="X191" i="1"/>
  <c r="A198" i="1"/>
  <c r="D212" i="1"/>
  <c r="B202" i="1"/>
  <c r="Q204" i="1"/>
  <c r="H29" i="1"/>
  <c r="W28" i="1"/>
  <c r="T41" i="1"/>
  <c r="U26" i="1"/>
  <c r="Z10" i="1"/>
  <c r="AA23" i="1"/>
  <c r="I37" i="1"/>
  <c r="Q27" i="1"/>
  <c r="X49" i="1"/>
  <c r="P38" i="1"/>
  <c r="A38" i="1"/>
  <c r="T35" i="1"/>
  <c r="G14" i="1"/>
  <c r="A29" i="1"/>
  <c r="B29" i="1"/>
  <c r="D13" i="1"/>
  <c r="B60" i="1"/>
  <c r="K23" i="1"/>
  <c r="F38" i="1"/>
  <c r="K7" i="1"/>
  <c r="O15" i="1"/>
  <c r="T31" i="1"/>
  <c r="N21" i="1"/>
  <c r="Y35" i="1"/>
  <c r="E30" i="1"/>
  <c r="B95" i="1"/>
  <c r="M41" i="1"/>
  <c r="Y58" i="1"/>
  <c r="Q52" i="1"/>
  <c r="N47" i="1"/>
  <c r="W45" i="1"/>
  <c r="T92" i="1"/>
  <c r="M63" i="1"/>
  <c r="AA54" i="1"/>
  <c r="F53" i="1"/>
  <c r="K35" i="1"/>
  <c r="S43" i="1"/>
  <c r="R77" i="1"/>
  <c r="W70" i="1"/>
  <c r="J47" i="1"/>
  <c r="I31" i="1"/>
  <c r="N40" i="1"/>
  <c r="I53" i="1"/>
  <c r="H56" i="1"/>
  <c r="J83" i="1"/>
  <c r="G76" i="1"/>
  <c r="D60" i="1"/>
  <c r="Q57" i="1"/>
  <c r="E82" i="1"/>
  <c r="D78" i="1"/>
  <c r="D62" i="1"/>
  <c r="D97" i="1"/>
  <c r="J73" i="1"/>
  <c r="A74" i="1"/>
  <c r="F48" i="1"/>
  <c r="F56" i="1"/>
  <c r="J78" i="1"/>
  <c r="Y83" i="1"/>
  <c r="F115" i="1"/>
  <c r="K84" i="1"/>
  <c r="S117" i="1"/>
  <c r="F110" i="1"/>
  <c r="W94" i="1"/>
  <c r="Q86" i="1"/>
  <c r="G126" i="1"/>
  <c r="L96" i="1"/>
  <c r="N96" i="1"/>
  <c r="M73" i="1"/>
  <c r="B119" i="1"/>
  <c r="T72" i="1"/>
  <c r="C88" i="1"/>
  <c r="L92" i="1"/>
  <c r="O75" i="1"/>
  <c r="X116" i="1"/>
  <c r="X81" i="1"/>
  <c r="Z119" i="1"/>
  <c r="Z104" i="1"/>
  <c r="O100" i="1"/>
  <c r="D99" i="1"/>
  <c r="U138" i="1"/>
  <c r="L122" i="1"/>
  <c r="P124" i="1"/>
  <c r="X126" i="1"/>
  <c r="N85" i="1"/>
  <c r="X102" i="1"/>
  <c r="Q105" i="1"/>
  <c r="U100" i="1"/>
  <c r="G111" i="1"/>
  <c r="K136" i="1"/>
  <c r="G123" i="1"/>
  <c r="G140" i="1"/>
  <c r="O139" i="1"/>
  <c r="N149" i="1"/>
  <c r="H134" i="1"/>
  <c r="K151" i="1"/>
  <c r="E150" i="1"/>
  <c r="I130" i="1"/>
  <c r="U174" i="1"/>
  <c r="V137" i="1"/>
  <c r="Q160" i="1"/>
  <c r="Q161" i="1"/>
  <c r="H150" i="1"/>
  <c r="K165" i="1"/>
  <c r="C164" i="1"/>
  <c r="D164" i="1"/>
  <c r="Z177" i="1"/>
  <c r="U194" i="1"/>
  <c r="L170" i="1"/>
  <c r="B194" i="1"/>
  <c r="AA158" i="1"/>
  <c r="A174" i="1"/>
  <c r="J194" i="1"/>
  <c r="W180" i="1"/>
  <c r="D187" i="1"/>
  <c r="J205" i="1"/>
  <c r="H197" i="1"/>
  <c r="W193" i="1"/>
  <c r="E213" i="1"/>
  <c r="V19" i="1"/>
  <c r="P17" i="1"/>
  <c r="U3" i="1"/>
  <c r="J6" i="1"/>
  <c r="W6" i="1"/>
  <c r="L12" i="1"/>
  <c r="H26" i="1"/>
  <c r="AA38" i="1"/>
  <c r="V18" i="1"/>
  <c r="Q42" i="1"/>
  <c r="G30" i="1"/>
  <c r="D48" i="1"/>
  <c r="I29" i="1"/>
  <c r="D12" i="1"/>
  <c r="J26" i="1"/>
  <c r="C39" i="1"/>
  <c r="J30" i="1"/>
  <c r="M76" i="1"/>
  <c r="U39" i="1"/>
  <c r="K40" i="1"/>
  <c r="Y36" i="1"/>
  <c r="A17" i="1"/>
  <c r="B45" i="1"/>
  <c r="A30" i="1"/>
  <c r="X17" i="1"/>
  <c r="AA22" i="1"/>
  <c r="P24" i="1"/>
  <c r="G44" i="1"/>
  <c r="J10" i="1"/>
  <c r="T16" i="1"/>
  <c r="Y32" i="1"/>
  <c r="M23" i="1"/>
  <c r="C37" i="1"/>
  <c r="AA32" i="1"/>
  <c r="Z49" i="1"/>
  <c r="J42" i="1"/>
  <c r="D63" i="1"/>
  <c r="K62" i="1"/>
  <c r="I49" i="1"/>
  <c r="T49" i="1"/>
  <c r="T42" i="1"/>
  <c r="N66" i="1"/>
  <c r="N63" i="1"/>
  <c r="K60" i="1"/>
  <c r="H36" i="1"/>
  <c r="Q44" i="1"/>
  <c r="Q45" i="1"/>
  <c r="A87" i="1"/>
  <c r="J51" i="1"/>
  <c r="C33" i="1"/>
  <c r="C41" i="1"/>
  <c r="H61" i="1"/>
  <c r="N61" i="1"/>
  <c r="J99" i="1"/>
  <c r="M79" i="1"/>
  <c r="X65" i="1"/>
  <c r="W59" i="1"/>
  <c r="L100" i="1"/>
  <c r="Y85" i="1"/>
  <c r="V63" i="1"/>
  <c r="R58" i="1"/>
  <c r="AA59" i="1"/>
  <c r="AA75" i="1"/>
  <c r="C49" i="1"/>
  <c r="A60" i="1"/>
  <c r="R86" i="1"/>
  <c r="Y86" i="1"/>
  <c r="D67" i="1"/>
  <c r="R85" i="1"/>
  <c r="L80" i="1"/>
  <c r="H79" i="1"/>
  <c r="U97" i="1"/>
  <c r="U90" i="1"/>
  <c r="E78" i="1"/>
  <c r="T103" i="1"/>
  <c r="AA102" i="1"/>
  <c r="F78" i="1"/>
  <c r="J101" i="1"/>
  <c r="S74" i="1"/>
  <c r="C106" i="1"/>
  <c r="A96" i="1"/>
  <c r="O77" i="1"/>
  <c r="U58" i="1"/>
  <c r="D85" i="1"/>
  <c r="Y81" i="1"/>
  <c r="X113" i="1"/>
  <c r="R101" i="1"/>
  <c r="U102" i="1"/>
  <c r="C105" i="1"/>
  <c r="P125" i="1"/>
  <c r="AA136" i="1"/>
  <c r="Q99" i="1"/>
  <c r="X87" i="1"/>
  <c r="C111" i="1"/>
  <c r="A115" i="1"/>
  <c r="Y102" i="1"/>
  <c r="Y134" i="1"/>
  <c r="K126" i="1"/>
  <c r="I132" i="1"/>
  <c r="A134" i="1"/>
  <c r="K121" i="1"/>
  <c r="AA96" i="1"/>
  <c r="I151" i="1"/>
  <c r="X155" i="1"/>
  <c r="P135" i="1"/>
  <c r="P133" i="1"/>
  <c r="L147" i="1"/>
  <c r="G149" i="1"/>
  <c r="A167" i="1"/>
  <c r="H154" i="1"/>
  <c r="K159" i="1"/>
  <c r="S170" i="1"/>
  <c r="R194" i="1"/>
  <c r="B165" i="1"/>
  <c r="S183" i="1"/>
  <c r="Z171" i="1"/>
  <c r="V180" i="1"/>
  <c r="I158" i="1"/>
  <c r="Y170" i="1"/>
  <c r="Y179" i="1"/>
  <c r="U201" i="1"/>
  <c r="P211" i="1"/>
  <c r="G195" i="1"/>
  <c r="Y201" i="1"/>
  <c r="N206" i="1"/>
  <c r="K203" i="1"/>
  <c r="G202" i="1"/>
  <c r="P21" i="1"/>
  <c r="S21" i="1"/>
  <c r="A8" i="1"/>
  <c r="B9" i="1"/>
  <c r="Q7" i="1"/>
  <c r="L14" i="1"/>
  <c r="M27" i="1"/>
  <c r="E40" i="1"/>
  <c r="U20" i="1"/>
  <c r="S46" i="1"/>
  <c r="Z31" i="1"/>
  <c r="G8" i="1"/>
  <c r="U42" i="1"/>
  <c r="N14" i="1"/>
  <c r="L28" i="1"/>
  <c r="H40" i="1"/>
  <c r="L31" i="1"/>
  <c r="N28" i="1"/>
  <c r="X44" i="1"/>
  <c r="Z43" i="1"/>
  <c r="X39" i="1"/>
  <c r="F18" i="1"/>
  <c r="H41" i="1"/>
  <c r="R31" i="1"/>
  <c r="G20" i="1"/>
  <c r="T25" i="1"/>
  <c r="V27" i="1"/>
  <c r="N50" i="1"/>
  <c r="Y13" i="1"/>
  <c r="S18" i="1"/>
  <c r="H35" i="1"/>
  <c r="R24" i="1"/>
  <c r="H38" i="1"/>
  <c r="E34" i="1"/>
  <c r="S50" i="1"/>
  <c r="G43" i="1"/>
  <c r="F65" i="1"/>
  <c r="H65" i="1"/>
  <c r="L50" i="1"/>
  <c r="V50" i="1"/>
  <c r="Q43" i="1"/>
  <c r="G70" i="1"/>
  <c r="M65" i="1"/>
  <c r="O63" i="1"/>
  <c r="E37" i="1"/>
  <c r="H46" i="1"/>
  <c r="I47" i="1"/>
  <c r="AA50" i="1"/>
  <c r="C52" i="1"/>
  <c r="AA33" i="1"/>
  <c r="S41" i="1"/>
  <c r="Y62" i="1"/>
  <c r="AA63" i="1"/>
  <c r="N58" i="1"/>
  <c r="K92" i="1"/>
  <c r="M67" i="1"/>
  <c r="P61" i="1"/>
  <c r="S85" i="1"/>
  <c r="I93" i="1"/>
  <c r="O66" i="1"/>
  <c r="Q59" i="1"/>
  <c r="R60" i="1"/>
  <c r="N84" i="1"/>
  <c r="S49" i="1"/>
  <c r="S60" i="1"/>
  <c r="G94" i="1"/>
  <c r="T88" i="1"/>
  <c r="D70" i="1"/>
  <c r="Z86" i="1"/>
  <c r="A82" i="1"/>
  <c r="M80" i="1"/>
  <c r="Y101" i="1"/>
  <c r="B97" i="1"/>
  <c r="Z78" i="1"/>
  <c r="Z106" i="1"/>
  <c r="AA106" i="1"/>
  <c r="K81" i="1"/>
  <c r="X104" i="1"/>
  <c r="N75" i="1"/>
  <c r="W110" i="1"/>
  <c r="V99" i="1"/>
  <c r="T78" i="1"/>
  <c r="J59" i="1"/>
  <c r="X86" i="1"/>
  <c r="N83" i="1"/>
  <c r="W116" i="1"/>
  <c r="F104" i="1"/>
  <c r="Q104" i="1"/>
  <c r="T106" i="1"/>
  <c r="Z94" i="1"/>
  <c r="J94" i="1"/>
  <c r="B101" i="1"/>
  <c r="U88" i="1"/>
  <c r="R113" i="1"/>
  <c r="B130" i="1"/>
  <c r="R105" i="1"/>
  <c r="C139" i="1"/>
  <c r="T131" i="1"/>
  <c r="P138" i="1"/>
  <c r="R136" i="1"/>
  <c r="O124" i="1"/>
  <c r="X97" i="1"/>
  <c r="K112" i="1"/>
  <c r="S131" i="1"/>
  <c r="M136" i="1"/>
  <c r="U134" i="1"/>
  <c r="M152" i="1"/>
  <c r="L153" i="1"/>
  <c r="D169" i="1"/>
  <c r="B155" i="1"/>
  <c r="I160" i="1"/>
  <c r="Q151" i="1"/>
  <c r="N156" i="1"/>
  <c r="AA165" i="1"/>
  <c r="N197" i="1"/>
  <c r="R174" i="1"/>
  <c r="X190" i="1"/>
  <c r="O160" i="1"/>
  <c r="M174" i="1"/>
  <c r="I184" i="1"/>
  <c r="W181" i="1"/>
  <c r="K174" i="1"/>
  <c r="W176" i="1"/>
  <c r="Y191" i="1"/>
  <c r="Z207" i="1"/>
  <c r="I211" i="1"/>
  <c r="N205" i="1"/>
  <c r="M4" i="1"/>
  <c r="E8" i="1"/>
  <c r="Z4" i="1"/>
  <c r="X13" i="1"/>
  <c r="J5" i="1"/>
  <c r="I7" i="1"/>
  <c r="W2" i="1"/>
  <c r="W18" i="1"/>
  <c r="I23" i="1"/>
  <c r="O2" i="1"/>
  <c r="T19" i="1"/>
  <c r="M5" i="1"/>
  <c r="W24" i="1"/>
  <c r="S5" i="1"/>
  <c r="E5" i="1"/>
  <c r="N22" i="1"/>
  <c r="U22" i="1"/>
  <c r="C9" i="1"/>
  <c r="R9" i="1"/>
  <c r="D8" i="1"/>
  <c r="V14" i="1"/>
  <c r="Y27" i="1"/>
  <c r="U40" i="1"/>
  <c r="E21" i="1"/>
  <c r="B48" i="1"/>
  <c r="O32" i="1"/>
  <c r="AA8" i="1"/>
  <c r="T43" i="1"/>
  <c r="S15" i="1"/>
  <c r="Y28" i="1"/>
  <c r="Z40" i="1"/>
  <c r="F33" i="1"/>
  <c r="Z28" i="1"/>
  <c r="AA45" i="1"/>
  <c r="C47" i="1"/>
  <c r="M40" i="1"/>
  <c r="AA18" i="1"/>
  <c r="G42" i="1"/>
  <c r="W32" i="1"/>
  <c r="Q22" i="1"/>
  <c r="W3" i="1"/>
  <c r="R28" i="1"/>
  <c r="U54" i="1"/>
  <c r="C15" i="1"/>
  <c r="C19" i="1"/>
  <c r="B37" i="1"/>
  <c r="B25" i="1"/>
  <c r="X38" i="1"/>
  <c r="U34" i="1"/>
  <c r="K51" i="1"/>
  <c r="O43" i="1"/>
  <c r="R68" i="1"/>
  <c r="O67" i="1"/>
  <c r="G52" i="1"/>
  <c r="C53" i="1"/>
  <c r="Y43" i="1"/>
  <c r="X71" i="1"/>
  <c r="R66" i="1"/>
  <c r="V66" i="1"/>
  <c r="M37" i="1"/>
  <c r="Z46" i="1"/>
  <c r="K48" i="1"/>
  <c r="S51" i="1"/>
  <c r="S54" i="1"/>
  <c r="H34" i="1"/>
  <c r="AA41" i="1"/>
  <c r="A66" i="1"/>
  <c r="M64" i="1"/>
  <c r="D59" i="1"/>
  <c r="M99" i="1"/>
  <c r="Z67" i="1"/>
  <c r="W62" i="1"/>
  <c r="X100" i="1"/>
  <c r="P52" i="1"/>
  <c r="Q67" i="1"/>
  <c r="I61" i="1"/>
  <c r="AA60" i="1"/>
  <c r="I86" i="1"/>
  <c r="H50" i="1"/>
  <c r="A61" i="1"/>
  <c r="A98" i="1"/>
  <c r="R90" i="1"/>
  <c r="N70" i="1"/>
  <c r="G89" i="1"/>
  <c r="K82" i="1"/>
  <c r="G81" i="1"/>
  <c r="S102" i="1"/>
  <c r="L99" i="1"/>
  <c r="J79" i="1"/>
  <c r="R110" i="1"/>
  <c r="F112" i="1"/>
  <c r="U81" i="1"/>
  <c r="Y105" i="1"/>
  <c r="H76" i="1"/>
  <c r="P112" i="1"/>
  <c r="R100" i="1"/>
  <c r="C81" i="1"/>
  <c r="R59" i="1"/>
  <c r="T87" i="1"/>
  <c r="A86" i="1"/>
  <c r="R117" i="1"/>
  <c r="P104" i="1"/>
  <c r="Z107" i="1"/>
  <c r="D107" i="1"/>
  <c r="F96" i="1"/>
  <c r="V97" i="1"/>
  <c r="U101" i="1"/>
  <c r="B89" i="1"/>
  <c r="H117" i="1"/>
  <c r="I135" i="1"/>
  <c r="U107" i="1"/>
  <c r="N145" i="1"/>
  <c r="G132" i="1"/>
  <c r="L139" i="1"/>
  <c r="AA137" i="1"/>
  <c r="J125" i="1"/>
  <c r="O98" i="1"/>
  <c r="U114" i="1"/>
  <c r="AA131" i="1"/>
  <c r="B137" i="1"/>
  <c r="Z135" i="1"/>
  <c r="A157" i="1"/>
  <c r="E160" i="1"/>
  <c r="E181" i="1"/>
  <c r="Y155" i="1"/>
  <c r="U160" i="1"/>
  <c r="X156" i="1"/>
  <c r="P158" i="1"/>
  <c r="J167" i="1"/>
  <c r="P189" i="1"/>
  <c r="R176" i="1"/>
  <c r="F195" i="1"/>
  <c r="K163" i="1"/>
  <c r="D192" i="1"/>
  <c r="K197" i="1"/>
  <c r="F182" i="1"/>
  <c r="T174" i="1"/>
  <c r="E177" i="1"/>
  <c r="AA192" i="1"/>
  <c r="K209" i="1"/>
  <c r="W213" i="1"/>
  <c r="V205" i="1"/>
  <c r="S38" i="1"/>
  <c r="W15" i="1"/>
  <c r="T27" i="1"/>
  <c r="Z56" i="1"/>
  <c r="V35" i="1"/>
  <c r="L21" i="1"/>
  <c r="K21" i="1"/>
  <c r="F22" i="1"/>
  <c r="B34" i="1"/>
  <c r="E28" i="1"/>
  <c r="C17" i="1"/>
  <c r="N17" i="1"/>
  <c r="Q30" i="1"/>
  <c r="L57" i="1"/>
  <c r="W27" i="1"/>
  <c r="B40" i="1"/>
  <c r="K32" i="1"/>
  <c r="T52" i="1"/>
  <c r="E56" i="1"/>
  <c r="U44" i="1"/>
  <c r="H62" i="1"/>
  <c r="U50" i="1"/>
  <c r="K42" i="1"/>
  <c r="N53" i="1"/>
  <c r="AA48" i="1"/>
  <c r="A75" i="1"/>
  <c r="O47" i="1"/>
  <c r="C77" i="1"/>
  <c r="O58" i="1"/>
  <c r="Y50" i="1"/>
  <c r="O31" i="1"/>
  <c r="J38" i="1"/>
  <c r="H44" i="1"/>
  <c r="Q64" i="1"/>
  <c r="P55" i="1"/>
  <c r="L52" i="1"/>
  <c r="E49" i="1"/>
  <c r="L30" i="1"/>
  <c r="J36" i="1"/>
  <c r="P42" i="1"/>
  <c r="Y59" i="1"/>
  <c r="K55" i="1"/>
  <c r="Y67" i="1"/>
  <c r="E61" i="1"/>
  <c r="P78" i="1"/>
  <c r="F58" i="1"/>
  <c r="Z74" i="1"/>
  <c r="G63" i="1"/>
  <c r="J90" i="1"/>
  <c r="O74" i="1"/>
  <c r="R54" i="1"/>
  <c r="S68" i="1"/>
  <c r="A58" i="1"/>
  <c r="N71" i="1"/>
  <c r="T64" i="1"/>
  <c r="X93" i="1"/>
  <c r="V48" i="1"/>
  <c r="A55" i="1"/>
  <c r="E66" i="1"/>
  <c r="G73" i="1"/>
  <c r="B86" i="1"/>
  <c r="R108" i="1"/>
  <c r="X74" i="1"/>
  <c r="Q91" i="1"/>
  <c r="A80" i="1"/>
  <c r="R102" i="1"/>
  <c r="X84" i="1"/>
  <c r="Q106" i="1"/>
  <c r="W89" i="1"/>
  <c r="V113" i="1"/>
  <c r="Y82" i="1"/>
  <c r="A116" i="1"/>
  <c r="G101" i="1"/>
  <c r="Y71" i="1"/>
  <c r="E87" i="1"/>
  <c r="F108" i="1"/>
  <c r="I74" i="1"/>
  <c r="J86" i="1"/>
  <c r="W81" i="1"/>
  <c r="E107" i="1"/>
  <c r="T76" i="1"/>
  <c r="R109" i="1"/>
  <c r="Q65" i="1"/>
  <c r="E89" i="1"/>
  <c r="X151" i="1"/>
  <c r="AA128" i="1"/>
  <c r="D121" i="1"/>
  <c r="N107" i="1"/>
  <c r="A102" i="1"/>
  <c r="I129" i="1"/>
  <c r="G116" i="1"/>
  <c r="H100" i="1"/>
  <c r="G131" i="1"/>
  <c r="V118" i="1"/>
  <c r="Q113" i="1"/>
  <c r="G90" i="1"/>
  <c r="X106" i="1"/>
  <c r="W101" i="1"/>
  <c r="AA89" i="1"/>
  <c r="M112" i="1"/>
  <c r="T133" i="1"/>
  <c r="D130" i="1"/>
  <c r="G150" i="1"/>
  <c r="E116" i="1"/>
  <c r="L133" i="1"/>
  <c r="AA126" i="1"/>
  <c r="S147" i="1"/>
  <c r="R104" i="1"/>
  <c r="W139" i="1"/>
  <c r="Q140" i="1"/>
  <c r="T136" i="1"/>
  <c r="O138" i="1"/>
  <c r="H133" i="1"/>
  <c r="T151" i="1"/>
  <c r="M154" i="1"/>
  <c r="C144" i="1"/>
  <c r="C166" i="1"/>
  <c r="H149" i="1"/>
  <c r="X181" i="1"/>
  <c r="A163" i="1"/>
  <c r="T167" i="1"/>
  <c r="I161" i="1"/>
  <c r="R189" i="1"/>
  <c r="Y195" i="1"/>
  <c r="T181" i="1"/>
  <c r="A189" i="1"/>
  <c r="C182" i="1"/>
  <c r="T162" i="1"/>
  <c r="O154" i="1"/>
  <c r="G154" i="1"/>
  <c r="F161" i="1"/>
  <c r="N195" i="1"/>
  <c r="J198" i="1"/>
  <c r="R198" i="1"/>
  <c r="E188" i="1"/>
  <c r="E178" i="1"/>
  <c r="T200" i="1"/>
  <c r="K202" i="1"/>
  <c r="U195" i="1"/>
  <c r="I214" i="1"/>
  <c r="J214" i="1"/>
  <c r="U31" i="1"/>
  <c r="O52" i="1"/>
  <c r="J35" i="1"/>
  <c r="T46" i="1"/>
  <c r="E71" i="1"/>
  <c r="M47" i="1"/>
  <c r="B73" i="1"/>
  <c r="V55" i="1"/>
  <c r="X43" i="1"/>
  <c r="M62" i="1"/>
  <c r="AA53" i="1"/>
  <c r="O41" i="1"/>
  <c r="H52" i="1"/>
  <c r="P47" i="1"/>
  <c r="W67" i="1"/>
  <c r="N55" i="1"/>
  <c r="Y33" i="1"/>
  <c r="W39" i="1"/>
  <c r="A48" i="1"/>
  <c r="I44" i="1"/>
  <c r="N60" i="1"/>
  <c r="X59" i="1"/>
  <c r="E55" i="1"/>
  <c r="Y31" i="1"/>
  <c r="L38" i="1"/>
  <c r="S45" i="1"/>
  <c r="F67" i="1"/>
  <c r="V58" i="1"/>
  <c r="Q73" i="1"/>
  <c r="K65" i="1"/>
  <c r="B53" i="1"/>
  <c r="Q63" i="1"/>
  <c r="R83" i="1"/>
  <c r="R69" i="1"/>
  <c r="I63" i="1"/>
  <c r="V79" i="1"/>
  <c r="B57" i="1"/>
  <c r="I73" i="1"/>
  <c r="T61" i="1"/>
  <c r="K77" i="1"/>
  <c r="A71" i="1"/>
  <c r="I75" i="1"/>
  <c r="X50" i="1"/>
  <c r="K58" i="1"/>
  <c r="B71" i="1"/>
  <c r="F77" i="1"/>
  <c r="C91" i="1"/>
  <c r="U120" i="1"/>
  <c r="AA79" i="1"/>
  <c r="S108" i="1"/>
  <c r="V82" i="1"/>
  <c r="E125" i="1"/>
  <c r="G91" i="1"/>
  <c r="X115" i="1"/>
  <c r="T102" i="1"/>
  <c r="E76" i="1"/>
  <c r="O87" i="1"/>
  <c r="D87" i="1"/>
  <c r="C116" i="1"/>
  <c r="R74" i="1"/>
  <c r="H101" i="1"/>
  <c r="O65" i="1"/>
  <c r="B77" i="1"/>
  <c r="W92" i="1"/>
  <c r="D88" i="1"/>
  <c r="P65" i="1"/>
  <c r="H82" i="1"/>
  <c r="H57" i="1"/>
  <c r="V67" i="1"/>
  <c r="Q94" i="1"/>
  <c r="J87" i="1"/>
  <c r="X107" i="1"/>
  <c r="T130" i="1"/>
  <c r="F122" i="1"/>
  <c r="K108" i="1"/>
  <c r="G100" i="1"/>
  <c r="Y138" i="1"/>
  <c r="H104" i="1"/>
  <c r="X98" i="1"/>
  <c r="G96" i="1"/>
  <c r="Q122" i="1"/>
  <c r="F93" i="1"/>
  <c r="X118" i="1"/>
  <c r="B109" i="1"/>
  <c r="O93" i="1"/>
  <c r="T121" i="1"/>
  <c r="U146" i="1"/>
  <c r="D150" i="1"/>
  <c r="M120" i="1"/>
  <c r="Y120" i="1"/>
  <c r="Q147" i="1"/>
  <c r="D177" i="1"/>
  <c r="Z130" i="1"/>
  <c r="Z113" i="1"/>
  <c r="J116" i="1"/>
  <c r="S156" i="1"/>
  <c r="AA154" i="1"/>
  <c r="U142" i="1"/>
  <c r="W136" i="1"/>
  <c r="S135" i="1"/>
  <c r="E132" i="1"/>
  <c r="Y154" i="1"/>
  <c r="P161" i="1"/>
  <c r="Y169" i="1"/>
  <c r="AA169" i="1"/>
  <c r="C143" i="1"/>
  <c r="A159" i="1"/>
  <c r="N169" i="1"/>
  <c r="H142" i="1"/>
  <c r="J157" i="1"/>
  <c r="L192" i="1"/>
  <c r="M159" i="1"/>
  <c r="AA186" i="1"/>
  <c r="Y168" i="1"/>
  <c r="O167" i="1"/>
  <c r="J169" i="1"/>
  <c r="A185" i="1"/>
  <c r="O186" i="1"/>
  <c r="U184" i="1"/>
  <c r="P185" i="1"/>
  <c r="C174" i="1"/>
  <c r="F194" i="1"/>
  <c r="L194" i="1"/>
  <c r="R199" i="1"/>
  <c r="V203" i="1"/>
  <c r="K210" i="1"/>
  <c r="B209" i="1"/>
  <c r="V30" i="1"/>
  <c r="Z12" i="1"/>
  <c r="AA25" i="1"/>
  <c r="Y37" i="1"/>
  <c r="V26" i="1"/>
  <c r="I40" i="1"/>
  <c r="V36" i="1"/>
  <c r="M34" i="1"/>
  <c r="AA30" i="1"/>
  <c r="G47" i="1"/>
  <c r="K19" i="1"/>
  <c r="C46" i="1"/>
  <c r="I27" i="1"/>
  <c r="S7" i="1"/>
  <c r="C29" i="1"/>
  <c r="Y5" i="1"/>
  <c r="U25" i="1"/>
  <c r="V38" i="1"/>
  <c r="I5" i="1"/>
  <c r="F9" i="1"/>
  <c r="G22" i="1"/>
  <c r="X35" i="1"/>
  <c r="H22" i="1"/>
  <c r="J32" i="1"/>
  <c r="T57" i="1"/>
  <c r="Z35" i="1"/>
  <c r="B47" i="1"/>
  <c r="M74" i="1"/>
  <c r="H49" i="1"/>
  <c r="V74" i="1"/>
  <c r="V57" i="1"/>
  <c r="E44" i="1"/>
  <c r="I65" i="1"/>
  <c r="Y54" i="1"/>
  <c r="W41" i="1"/>
  <c r="S52" i="1"/>
  <c r="Z47" i="1"/>
  <c r="O70" i="1"/>
  <c r="M56" i="1"/>
  <c r="F34" i="1"/>
  <c r="D40" i="1"/>
  <c r="T48" i="1"/>
  <c r="Z44" i="1"/>
  <c r="F61" i="1"/>
  <c r="G61" i="1"/>
  <c r="C56" i="1"/>
  <c r="F32" i="1"/>
  <c r="T38" i="1"/>
  <c r="A46" i="1"/>
  <c r="J68" i="1"/>
  <c r="L59" i="1"/>
  <c r="F74" i="1"/>
  <c r="W65" i="1"/>
  <c r="J53" i="1"/>
  <c r="B64" i="1"/>
  <c r="J85" i="1"/>
  <c r="F70" i="1"/>
  <c r="U63" i="1"/>
  <c r="AA80" i="1"/>
  <c r="S57" i="1"/>
  <c r="X73" i="1"/>
  <c r="O62" i="1"/>
  <c r="U82" i="1"/>
  <c r="P71" i="1"/>
  <c r="N77" i="1"/>
  <c r="E51" i="1"/>
  <c r="A59" i="1"/>
  <c r="W72" i="1"/>
  <c r="AA77" i="1"/>
  <c r="P91" i="1"/>
  <c r="AA124" i="1"/>
  <c r="V80" i="1"/>
  <c r="L111" i="1"/>
  <c r="F83" i="1"/>
  <c r="P130" i="1"/>
  <c r="S91" i="1"/>
  <c r="H118" i="1"/>
  <c r="S103" i="1"/>
  <c r="P76" i="1"/>
  <c r="Z88" i="1"/>
  <c r="O88" i="1"/>
  <c r="A119" i="1"/>
  <c r="M75" i="1"/>
  <c r="A103" i="1"/>
  <c r="Y65" i="1"/>
  <c r="M77" i="1"/>
  <c r="J97" i="1"/>
  <c r="Q88" i="1"/>
  <c r="Z65" i="1"/>
  <c r="W83" i="1"/>
  <c r="P57" i="1"/>
  <c r="A70" i="1"/>
  <c r="K95" i="1"/>
  <c r="U87" i="1"/>
  <c r="T109" i="1"/>
  <c r="U141" i="1"/>
  <c r="I124" i="1"/>
  <c r="H109" i="1"/>
  <c r="S101" i="1"/>
  <c r="W114" i="1"/>
  <c r="D105" i="1"/>
  <c r="G99" i="1"/>
  <c r="X96" i="1"/>
  <c r="H128" i="1"/>
  <c r="V93" i="1"/>
  <c r="R119" i="1"/>
  <c r="L112" i="1"/>
  <c r="T94" i="1"/>
  <c r="X124" i="1"/>
  <c r="G148" i="1"/>
  <c r="O157" i="1"/>
  <c r="X120" i="1"/>
  <c r="C122" i="1"/>
  <c r="U173" i="1"/>
  <c r="F120" i="1"/>
  <c r="M131" i="1"/>
  <c r="C119" i="1"/>
  <c r="O117" i="1"/>
  <c r="AA167" i="1"/>
  <c r="E159" i="1"/>
  <c r="F144" i="1"/>
  <c r="A138" i="1"/>
  <c r="U137" i="1"/>
  <c r="B133" i="1"/>
  <c r="AA156" i="1"/>
  <c r="B168" i="1"/>
  <c r="Z172" i="1"/>
  <c r="J171" i="1"/>
  <c r="K143" i="1"/>
  <c r="J160" i="1"/>
  <c r="AA178" i="1"/>
  <c r="B144" i="1"/>
  <c r="O159" i="1"/>
  <c r="M193" i="1"/>
  <c r="I162" i="1"/>
  <c r="G206" i="1"/>
  <c r="S169" i="1"/>
  <c r="C170" i="1"/>
  <c r="T169" i="1"/>
  <c r="S188" i="1"/>
  <c r="Q187" i="1"/>
  <c r="N189" i="1"/>
  <c r="S186" i="1"/>
  <c r="M176" i="1"/>
  <c r="AA195" i="1"/>
  <c r="X206" i="1"/>
  <c r="P205" i="1"/>
  <c r="F204" i="1"/>
  <c r="W211" i="1"/>
  <c r="O210" i="1"/>
  <c r="P31" i="1"/>
  <c r="S48" i="1"/>
  <c r="E20" i="1"/>
  <c r="G50" i="1"/>
  <c r="Q28" i="1"/>
  <c r="B8" i="1"/>
  <c r="P29" i="1"/>
  <c r="N6" i="1"/>
  <c r="P26" i="1"/>
  <c r="K39" i="1"/>
  <c r="Q5" i="1"/>
  <c r="Q9" i="1"/>
  <c r="R22" i="1"/>
  <c r="M36" i="1"/>
  <c r="S22" i="1"/>
  <c r="Z32" i="1"/>
  <c r="T60" i="1"/>
  <c r="O36" i="1"/>
  <c r="K47" i="1"/>
  <c r="L89" i="1"/>
  <c r="R49" i="1"/>
  <c r="N76" i="1"/>
  <c r="E60" i="1"/>
  <c r="V44" i="1"/>
  <c r="L66" i="1"/>
  <c r="X55" i="1"/>
  <c r="D42" i="1"/>
  <c r="M54" i="1"/>
  <c r="I48" i="1"/>
  <c r="O73" i="1"/>
  <c r="M57" i="1"/>
  <c r="N34" i="1"/>
  <c r="L40" i="1"/>
  <c r="M49" i="1"/>
  <c r="H45" i="1"/>
  <c r="Z61" i="1"/>
  <c r="X62" i="1"/>
  <c r="C57" i="1"/>
  <c r="N32" i="1"/>
  <c r="A39" i="1"/>
  <c r="J46" i="1"/>
  <c r="P72" i="1"/>
  <c r="U59" i="1"/>
  <c r="Y74" i="1"/>
  <c r="X66" i="1"/>
  <c r="R53" i="1"/>
  <c r="O64" i="1"/>
  <c r="N87" i="1"/>
  <c r="O72" i="1"/>
  <c r="R64" i="1"/>
  <c r="O82" i="1"/>
  <c r="I58" i="1"/>
  <c r="P74" i="1"/>
  <c r="Z62" i="1"/>
  <c r="P88" i="1"/>
  <c r="E72" i="1"/>
  <c r="H78" i="1"/>
  <c r="M51" i="1"/>
  <c r="S59" i="1"/>
  <c r="L73" i="1"/>
  <c r="K78" i="1"/>
  <c r="C92" i="1"/>
  <c r="E130" i="1"/>
  <c r="E81" i="1"/>
  <c r="G113" i="1"/>
  <c r="P83" i="1"/>
  <c r="E138" i="1"/>
  <c r="E92" i="1"/>
  <c r="W121" i="1"/>
  <c r="N104" i="1"/>
  <c r="U77" i="1"/>
  <c r="X89" i="1"/>
  <c r="M89" i="1"/>
  <c r="V144" i="1"/>
  <c r="W75" i="1"/>
  <c r="U103" i="1"/>
  <c r="H66" i="1"/>
  <c r="X77" i="1"/>
  <c r="N101" i="1"/>
  <c r="D89" i="1"/>
  <c r="I66" i="1"/>
  <c r="G84" i="1"/>
  <c r="X57" i="1"/>
  <c r="F71" i="1"/>
  <c r="B96" i="1"/>
  <c r="S88" i="1"/>
  <c r="H110" i="1"/>
  <c r="E95" i="1"/>
  <c r="K125" i="1"/>
  <c r="M111" i="1"/>
  <c r="L102" i="1"/>
  <c r="H116" i="1"/>
  <c r="O105" i="1"/>
  <c r="Z99" i="1"/>
  <c r="N97" i="1"/>
  <c r="W129" i="1"/>
  <c r="K94" i="1"/>
  <c r="O120" i="1"/>
  <c r="S113" i="1"/>
  <c r="AA95" i="1"/>
  <c r="F127" i="1"/>
  <c r="N151" i="1"/>
  <c r="U169" i="1"/>
  <c r="R121" i="1"/>
  <c r="M122" i="1"/>
  <c r="A110" i="1"/>
  <c r="Q120" i="1"/>
  <c r="M135" i="1"/>
  <c r="X119" i="1"/>
  <c r="Z117" i="1"/>
  <c r="T141" i="1"/>
  <c r="A161" i="1"/>
  <c r="U144" i="1"/>
  <c r="Q138" i="1"/>
  <c r="C140" i="1"/>
  <c r="G134" i="1"/>
  <c r="G158" i="1"/>
  <c r="X169" i="1"/>
  <c r="G176" i="1"/>
  <c r="C172" i="1"/>
  <c r="S143" i="1"/>
  <c r="V160" i="1"/>
  <c r="E180" i="1"/>
  <c r="A145" i="1"/>
  <c r="A160" i="1"/>
  <c r="M194" i="1"/>
  <c r="V165" i="1"/>
  <c r="P209" i="1"/>
  <c r="M170" i="1"/>
  <c r="H171" i="1"/>
  <c r="O170" i="1"/>
  <c r="K189" i="1"/>
  <c r="L189" i="1"/>
  <c r="W192" i="1"/>
  <c r="S198" i="1"/>
  <c r="V176" i="1"/>
  <c r="U198" i="1"/>
  <c r="G209" i="1"/>
  <c r="A206" i="1"/>
  <c r="N207" i="1"/>
  <c r="J212" i="1"/>
  <c r="T211" i="1"/>
  <c r="X177" i="1"/>
  <c r="D170" i="1"/>
  <c r="N186" i="1"/>
  <c r="X194" i="1"/>
  <c r="J207" i="1"/>
  <c r="L179" i="1"/>
  <c r="V187" i="1"/>
  <c r="Y188" i="1"/>
  <c r="F188" i="1"/>
  <c r="D183" i="1"/>
  <c r="X205" i="1"/>
  <c r="S203" i="1"/>
  <c r="D213" i="1"/>
  <c r="S213" i="1"/>
  <c r="S204" i="1"/>
  <c r="V195" i="1"/>
  <c r="J206" i="1"/>
  <c r="C206" i="1"/>
  <c r="R8" i="1"/>
  <c r="Y22" i="1"/>
  <c r="Q4" i="1"/>
  <c r="W17" i="1"/>
  <c r="C6" i="1"/>
  <c r="AA4" i="1"/>
  <c r="J16" i="1"/>
  <c r="U18" i="1"/>
  <c r="Q19" i="1"/>
  <c r="H11" i="1"/>
  <c r="AA6" i="1"/>
  <c r="Y7" i="1"/>
  <c r="N20" i="1"/>
  <c r="Q6" i="1"/>
  <c r="C10" i="1"/>
  <c r="A13" i="1"/>
  <c r="Q14" i="1"/>
  <c r="D10" i="1"/>
  <c r="N13" i="1"/>
  <c r="E15" i="1"/>
  <c r="S23" i="1"/>
  <c r="B3" i="1"/>
  <c r="R17" i="1"/>
  <c r="O8" i="1"/>
  <c r="P8" i="1"/>
  <c r="B12" i="1"/>
  <c r="O21" i="1"/>
  <c r="X31" i="1"/>
  <c r="R41" i="1"/>
  <c r="K18" i="1"/>
  <c r="N27" i="1"/>
  <c r="N74" i="1"/>
  <c r="D33" i="1"/>
  <c r="R44" i="1"/>
  <c r="A22" i="1"/>
  <c r="Q49" i="1"/>
  <c r="D14" i="1"/>
  <c r="Q23" i="1"/>
  <c r="AA31" i="1"/>
  <c r="X41" i="1"/>
  <c r="M28" i="1"/>
  <c r="Z37" i="1"/>
  <c r="Y30" i="1"/>
  <c r="J40" i="1"/>
  <c r="R35" i="1"/>
  <c r="M78" i="1"/>
  <c r="C38" i="1"/>
  <c r="C11" i="1"/>
  <c r="P20" i="1"/>
  <c r="AA29" i="1"/>
  <c r="I54" i="1"/>
  <c r="B31" i="1"/>
  <c r="L8" i="1"/>
  <c r="E26" i="1"/>
  <c r="D82" i="1"/>
  <c r="J12" i="1"/>
  <c r="Z26" i="1"/>
  <c r="L36" i="1"/>
  <c r="J25" i="1"/>
  <c r="E9" i="1"/>
  <c r="K10" i="1"/>
  <c r="X19" i="1"/>
  <c r="Q29" i="1"/>
  <c r="L39" i="1"/>
  <c r="B23" i="1"/>
  <c r="D30" i="1"/>
  <c r="M39" i="1"/>
  <c r="X27" i="1"/>
  <c r="D37" i="1"/>
  <c r="K44" i="1"/>
  <c r="F55" i="1"/>
  <c r="B42" i="1"/>
  <c r="A50" i="1"/>
  <c r="G66" i="1"/>
  <c r="Z48" i="1"/>
  <c r="B70" i="1"/>
  <c r="D45" i="1"/>
  <c r="AA58" i="1"/>
  <c r="N46" i="1"/>
  <c r="P59" i="1"/>
  <c r="L42" i="1"/>
  <c r="W50" i="1"/>
  <c r="B75" i="1"/>
  <c r="I52" i="1"/>
  <c r="J75" i="1"/>
  <c r="Q53" i="1"/>
  <c r="G31" i="1"/>
  <c r="AA35" i="1"/>
  <c r="T40" i="1"/>
  <c r="Q46" i="1"/>
  <c r="T62" i="1"/>
  <c r="U48" i="1"/>
  <c r="S63" i="1"/>
  <c r="O56" i="1"/>
  <c r="L48" i="1"/>
  <c r="X63" i="1"/>
  <c r="V32" i="1"/>
  <c r="O37" i="1"/>
  <c r="H42" i="1"/>
  <c r="Y49" i="1"/>
  <c r="D76" i="1"/>
  <c r="P56" i="1"/>
  <c r="W66" i="1"/>
  <c r="D95" i="1"/>
  <c r="K67" i="1"/>
  <c r="M95" i="1"/>
  <c r="G57" i="1"/>
  <c r="M68" i="1"/>
  <c r="A90" i="1"/>
  <c r="A65" i="1"/>
  <c r="W87" i="1"/>
  <c r="E69" i="1"/>
  <c r="D84" i="1"/>
  <c r="W55" i="1"/>
  <c r="E68" i="1"/>
  <c r="D81" i="1"/>
  <c r="K63" i="1"/>
  <c r="Z73" i="1"/>
  <c r="H64" i="1"/>
  <c r="H75" i="1"/>
  <c r="D79" i="1"/>
  <c r="AA49" i="1"/>
  <c r="T54" i="1"/>
  <c r="V61" i="1"/>
  <c r="C74" i="1"/>
  <c r="Q75" i="1"/>
  <c r="G85" i="1"/>
  <c r="Z96" i="1"/>
  <c r="U66" i="1"/>
  <c r="G77" i="1"/>
  <c r="E90" i="1"/>
  <c r="P106" i="1"/>
  <c r="AA83" i="1"/>
  <c r="I113" i="1"/>
  <c r="B84" i="1"/>
  <c r="J96" i="1"/>
  <c r="B126" i="1"/>
  <c r="Y97" i="1"/>
  <c r="Z111" i="1"/>
  <c r="T79" i="1"/>
  <c r="I91" i="1"/>
  <c r="F132" i="1"/>
  <c r="M100" i="1"/>
  <c r="U64" i="1"/>
  <c r="A77" i="1"/>
  <c r="I97" i="1"/>
  <c r="A107" i="1"/>
  <c r="Z69" i="1"/>
  <c r="B79" i="1"/>
  <c r="O89" i="1"/>
  <c r="R80" i="1"/>
  <c r="G95" i="1"/>
  <c r="D68" i="1"/>
  <c r="Y79" i="1"/>
  <c r="I108" i="1"/>
  <c r="Z59" i="1"/>
  <c r="P73" i="1"/>
  <c r="AA92" i="1"/>
  <c r="V135" i="1"/>
  <c r="Q97" i="1"/>
  <c r="H113" i="1"/>
  <c r="H125" i="1"/>
  <c r="H106" i="1"/>
  <c r="W95" i="1"/>
  <c r="D112" i="1"/>
  <c r="E96" i="1"/>
  <c r="V114" i="1"/>
  <c r="N124" i="1"/>
  <c r="B108" i="1"/>
  <c r="E97" i="1"/>
  <c r="L116" i="1"/>
  <c r="F103" i="1"/>
  <c r="A84" i="1"/>
  <c r="I92" i="1"/>
  <c r="A106" i="1"/>
  <c r="Z149" i="1"/>
  <c r="I114" i="1"/>
  <c r="J92" i="1"/>
  <c r="V111" i="1"/>
  <c r="N106" i="1"/>
  <c r="K120" i="1"/>
  <c r="V141" i="1"/>
  <c r="S148" i="1"/>
  <c r="A126" i="1"/>
  <c r="B124" i="1"/>
  <c r="H137" i="1"/>
  <c r="D126" i="1"/>
  <c r="L128" i="1"/>
  <c r="V136" i="1"/>
  <c r="D110" i="1"/>
  <c r="Z138" i="1"/>
  <c r="X123" i="1"/>
  <c r="M146" i="1"/>
  <c r="H140" i="1"/>
  <c r="Z137" i="1"/>
  <c r="X125" i="1"/>
  <c r="Z147" i="1"/>
  <c r="N134" i="1"/>
  <c r="U151" i="1"/>
  <c r="B148" i="1"/>
  <c r="G163" i="1"/>
  <c r="B176" i="1"/>
  <c r="A148" i="1"/>
  <c r="T156" i="1"/>
  <c r="R178" i="1"/>
  <c r="F142" i="1"/>
  <c r="U166" i="1"/>
  <c r="O175" i="1"/>
  <c r="O189" i="1"/>
  <c r="N140" i="1"/>
  <c r="T176" i="1"/>
  <c r="D186" i="1"/>
  <c r="Q199" i="1"/>
  <c r="Z156" i="1"/>
  <c r="K181" i="1"/>
  <c r="I174" i="1"/>
  <c r="O172" i="1"/>
  <c r="B163" i="1"/>
  <c r="Q153" i="1"/>
  <c r="X182" i="1"/>
  <c r="AA173" i="1"/>
  <c r="D191" i="1"/>
  <c r="B199" i="1"/>
  <c r="A180" i="1"/>
  <c r="R182" i="1"/>
  <c r="X188" i="1"/>
  <c r="G197" i="1"/>
  <c r="O190" i="1"/>
  <c r="I185" i="1"/>
  <c r="C210" i="1"/>
  <c r="O204" i="1"/>
  <c r="I192" i="1"/>
  <c r="I195" i="1"/>
  <c r="Q205" i="1"/>
  <c r="J197" i="1"/>
  <c r="G207" i="1"/>
  <c r="P207" i="1"/>
  <c r="H184" i="1"/>
  <c r="Y176" i="1"/>
  <c r="I194" i="1"/>
  <c r="U200" i="1"/>
  <c r="K180" i="1"/>
  <c r="K183" i="1"/>
  <c r="AA190" i="1"/>
  <c r="L199" i="1"/>
  <c r="M191" i="1"/>
  <c r="U186" i="1"/>
  <c r="B212" i="1"/>
  <c r="A205" i="1"/>
  <c r="Y194" i="1"/>
  <c r="N196" i="1"/>
  <c r="O206" i="1"/>
  <c r="AA198" i="1"/>
  <c r="O207" i="1"/>
  <c r="X207" i="1"/>
  <c r="T9" i="1"/>
  <c r="F27" i="1"/>
  <c r="O6" i="1"/>
  <c r="L19" i="1"/>
  <c r="H7" i="1"/>
  <c r="U5" i="1"/>
  <c r="Z17" i="1"/>
  <c r="D22" i="1"/>
  <c r="I22" i="1"/>
  <c r="I17" i="1"/>
  <c r="X2" i="1"/>
  <c r="B10" i="1"/>
  <c r="S24" i="1"/>
  <c r="M20" i="1"/>
  <c r="K11" i="1"/>
  <c r="R4" i="1"/>
  <c r="P6" i="1"/>
  <c r="J3" i="1"/>
  <c r="B15" i="1"/>
  <c r="U16" i="1"/>
  <c r="W26" i="1"/>
  <c r="E4" i="1"/>
  <c r="F19" i="1"/>
  <c r="X4" i="1"/>
  <c r="AA10" i="1"/>
  <c r="G13" i="1"/>
  <c r="T22" i="1"/>
  <c r="B33" i="1"/>
  <c r="L44" i="1"/>
  <c r="P19" i="1"/>
  <c r="J28" i="1"/>
  <c r="U24" i="1"/>
  <c r="I34" i="1"/>
  <c r="W61" i="1"/>
  <c r="K24" i="1"/>
  <c r="K53" i="1"/>
  <c r="I15" i="1"/>
  <c r="V24" i="1"/>
  <c r="E33" i="1"/>
  <c r="T44" i="1"/>
  <c r="X29" i="1"/>
  <c r="D39" i="1"/>
  <c r="B32" i="1"/>
  <c r="Y42" i="1"/>
  <c r="W36" i="1"/>
  <c r="Z29" i="1"/>
  <c r="H39" i="1"/>
  <c r="H12" i="1"/>
  <c r="U21" i="1"/>
  <c r="D43" i="1"/>
  <c r="C64" i="1"/>
  <c r="G32" i="1"/>
  <c r="P9" i="1"/>
  <c r="U27" i="1"/>
  <c r="P22" i="1"/>
  <c r="T14" i="1"/>
  <c r="G28" i="1"/>
  <c r="Q37" i="1"/>
  <c r="B2" i="1"/>
  <c r="O11" i="1"/>
  <c r="P11" i="1"/>
  <c r="B21" i="1"/>
  <c r="D31" i="1"/>
  <c r="Q40" i="1"/>
  <c r="X23" i="1"/>
  <c r="E31" i="1"/>
  <c r="R40" i="1"/>
  <c r="T28" i="1"/>
  <c r="I38" i="1"/>
  <c r="K46" i="1"/>
  <c r="R56" i="1"/>
  <c r="R42" i="1"/>
  <c r="C51" i="1"/>
  <c r="AA69" i="1"/>
  <c r="D51" i="1"/>
  <c r="X91" i="1"/>
  <c r="W46" i="1"/>
  <c r="F60" i="1"/>
  <c r="J49" i="1"/>
  <c r="Q61" i="1"/>
  <c r="A43" i="1"/>
  <c r="P51" i="1"/>
  <c r="C84" i="1"/>
  <c r="P53" i="1"/>
  <c r="P44" i="1"/>
  <c r="P54" i="1"/>
  <c r="W31" i="1"/>
  <c r="P36" i="1"/>
  <c r="I41" i="1"/>
  <c r="R47" i="1"/>
  <c r="A68" i="1"/>
  <c r="N49" i="1"/>
  <c r="Y66" i="1"/>
  <c r="G59" i="1"/>
  <c r="O49" i="1"/>
  <c r="I68" i="1"/>
  <c r="K33" i="1"/>
  <c r="D38" i="1"/>
  <c r="X42" i="1"/>
  <c r="A51" i="1"/>
  <c r="Z80" i="1"/>
  <c r="W57" i="1"/>
  <c r="K68" i="1"/>
  <c r="Y56" i="1"/>
  <c r="N69" i="1"/>
  <c r="U52" i="1"/>
  <c r="W58" i="1"/>
  <c r="E70" i="1"/>
  <c r="T95" i="1"/>
  <c r="B69" i="1"/>
  <c r="I96" i="1"/>
  <c r="H70" i="1"/>
  <c r="I88" i="1"/>
  <c r="L56" i="1"/>
  <c r="F69" i="1"/>
  <c r="L88" i="1"/>
  <c r="S64" i="1"/>
  <c r="Q76" i="1"/>
  <c r="S65" i="1"/>
  <c r="L77" i="1"/>
  <c r="J81" i="1"/>
  <c r="P50" i="1"/>
  <c r="I55" i="1"/>
  <c r="Q62" i="1"/>
  <c r="U76" i="1"/>
  <c r="V76" i="1"/>
  <c r="N86" i="1"/>
  <c r="C100" i="1"/>
  <c r="N67" i="1"/>
  <c r="Q79" i="1"/>
  <c r="O92" i="1"/>
  <c r="O111" i="1"/>
  <c r="W84" i="1"/>
  <c r="Z120" i="1"/>
  <c r="I85" i="1"/>
  <c r="R98" i="1"/>
  <c r="S81" i="1"/>
  <c r="Z101" i="1"/>
  <c r="AA115" i="1"/>
  <c r="O80" i="1"/>
  <c r="T93" i="1"/>
  <c r="H86" i="1"/>
  <c r="B102" i="1"/>
  <c r="Z66" i="1"/>
  <c r="A79" i="1"/>
  <c r="T99" i="1"/>
  <c r="O112" i="1"/>
  <c r="D71" i="1"/>
  <c r="W79" i="1"/>
  <c r="Y91" i="1"/>
  <c r="G82" i="1"/>
  <c r="H98" i="1"/>
  <c r="X68" i="1"/>
  <c r="M81" i="1"/>
  <c r="H111" i="1"/>
  <c r="O60" i="1"/>
  <c r="D77" i="1"/>
  <c r="Z93" i="1"/>
  <c r="N81" i="1"/>
  <c r="G106" i="1"/>
  <c r="I115" i="1"/>
  <c r="S127" i="1"/>
  <c r="Y107" i="1"/>
  <c r="B98" i="1"/>
  <c r="K113" i="1"/>
  <c r="X99" i="1"/>
  <c r="B117" i="1"/>
  <c r="B128" i="1"/>
  <c r="Z109" i="1"/>
  <c r="D98" i="1"/>
  <c r="P119" i="1"/>
  <c r="U104" i="1"/>
  <c r="Q84" i="1"/>
  <c r="Y92" i="1"/>
  <c r="P110" i="1"/>
  <c r="H96" i="1"/>
  <c r="R120" i="1"/>
  <c r="G93" i="1"/>
  <c r="A113" i="1"/>
  <c r="J108" i="1"/>
  <c r="AA121" i="1"/>
  <c r="M148" i="1"/>
  <c r="AA151" i="1"/>
  <c r="AA133" i="1"/>
  <c r="G125" i="1"/>
  <c r="E142" i="1"/>
  <c r="J129" i="1"/>
  <c r="X129" i="1"/>
  <c r="F178" i="1"/>
  <c r="U112" i="1"/>
  <c r="Q146" i="1"/>
  <c r="R124" i="1"/>
  <c r="N160" i="1"/>
  <c r="T147" i="1"/>
  <c r="X138" i="1"/>
  <c r="B127" i="1"/>
  <c r="R151" i="1"/>
  <c r="K135" i="1"/>
  <c r="U164" i="1"/>
  <c r="X149" i="1"/>
  <c r="E164" i="1"/>
  <c r="C161" i="1"/>
  <c r="Y149" i="1"/>
  <c r="H160" i="1"/>
  <c r="D147" i="1"/>
  <c r="V142" i="1"/>
  <c r="A170" i="1"/>
  <c r="D143" i="1"/>
  <c r="S153" i="1"/>
  <c r="K141" i="1"/>
  <c r="N148" i="1"/>
  <c r="C209" i="1"/>
  <c r="C171" i="1"/>
  <c r="W158" i="1"/>
  <c r="J183" i="1"/>
  <c r="W184" i="1"/>
  <c r="W175" i="1"/>
  <c r="Y165" i="1"/>
  <c r="D156" i="1"/>
  <c r="R188" i="1"/>
  <c r="Z182" i="1"/>
  <c r="R195" i="1"/>
  <c r="O203" i="1"/>
  <c r="M181" i="1"/>
  <c r="C184" i="1"/>
  <c r="Q194" i="1"/>
  <c r="E201" i="1"/>
  <c r="O192" i="1"/>
  <c r="R193" i="1"/>
  <c r="M212" i="1"/>
  <c r="Z205" i="1"/>
  <c r="Y196" i="1"/>
  <c r="S197" i="1"/>
  <c r="B207" i="1"/>
  <c r="O200" i="1"/>
  <c r="W207" i="1"/>
  <c r="M208" i="1"/>
  <c r="C4" i="1"/>
  <c r="V13" i="1"/>
  <c r="C13" i="1"/>
  <c r="X9" i="1"/>
  <c r="E23" i="1"/>
  <c r="T11" i="1"/>
  <c r="V7" i="1"/>
  <c r="D21" i="1"/>
  <c r="S27" i="1"/>
  <c r="B5" i="1"/>
  <c r="N24" i="1"/>
  <c r="Y11" i="1"/>
  <c r="R12" i="1"/>
  <c r="S11" i="1"/>
  <c r="F2" i="1"/>
  <c r="E18" i="1"/>
  <c r="V12" i="1"/>
  <c r="S3" i="1"/>
  <c r="Z5" i="1"/>
  <c r="G18" i="1"/>
  <c r="Y19" i="1"/>
  <c r="T6" i="1"/>
  <c r="S9" i="1"/>
  <c r="W22" i="1"/>
  <c r="T2" i="1"/>
  <c r="O14" i="1"/>
  <c r="Q15" i="1"/>
  <c r="C25" i="1"/>
  <c r="L35" i="1"/>
  <c r="AA57" i="1"/>
  <c r="Z21" i="1"/>
  <c r="F30" i="1"/>
  <c r="I26" i="1"/>
  <c r="S36" i="1"/>
  <c r="E10" i="1"/>
  <c r="AA27" i="1"/>
  <c r="L75" i="1"/>
  <c r="S17" i="1"/>
  <c r="E27" i="1"/>
  <c r="O35" i="1"/>
  <c r="Z55" i="1"/>
  <c r="A32" i="1"/>
  <c r="Z41" i="1"/>
  <c r="L34" i="1"/>
  <c r="C59" i="1"/>
  <c r="F39" i="1"/>
  <c r="E32" i="1"/>
  <c r="B43" i="1"/>
  <c r="R14" i="1"/>
  <c r="D24" i="1"/>
  <c r="J39" i="1"/>
  <c r="U23" i="1"/>
  <c r="Q34" i="1"/>
  <c r="I14" i="1"/>
  <c r="B30" i="1"/>
  <c r="O26" i="1"/>
  <c r="A21" i="1"/>
  <c r="P30" i="1"/>
  <c r="AA39" i="1"/>
  <c r="O3" i="1"/>
  <c r="Y15" i="1"/>
  <c r="Z13" i="1"/>
  <c r="L23" i="1"/>
  <c r="N33" i="1"/>
  <c r="S47" i="1"/>
  <c r="L25" i="1"/>
  <c r="O33" i="1"/>
  <c r="K45" i="1"/>
  <c r="F31" i="1"/>
  <c r="S40" i="1"/>
  <c r="U47" i="1"/>
  <c r="AA64" i="1"/>
  <c r="W43" i="1"/>
  <c r="X53" i="1"/>
  <c r="S78" i="1"/>
  <c r="A53" i="1"/>
  <c r="V41" i="1"/>
  <c r="G48" i="1"/>
  <c r="W68" i="1"/>
  <c r="O51" i="1"/>
  <c r="Y68" i="1"/>
  <c r="F44" i="1"/>
  <c r="J57" i="1"/>
  <c r="O45" i="1"/>
  <c r="K56" i="1"/>
  <c r="Y45" i="1"/>
  <c r="E59" i="1"/>
  <c r="A33" i="1"/>
  <c r="U37" i="1"/>
  <c r="N42" i="1"/>
  <c r="W49" i="1"/>
  <c r="I80" i="1"/>
  <c r="S53" i="1"/>
  <c r="U75" i="1"/>
  <c r="T63" i="1"/>
  <c r="M52" i="1"/>
  <c r="R87" i="1"/>
  <c r="P34" i="1"/>
  <c r="I39" i="1"/>
  <c r="B44" i="1"/>
  <c r="R57" i="1"/>
  <c r="V91" i="1"/>
  <c r="C60" i="1"/>
  <c r="Q70" i="1"/>
  <c r="M60" i="1"/>
  <c r="L72" i="1"/>
  <c r="Z53" i="1"/>
  <c r="O61" i="1"/>
  <c r="A73" i="1"/>
  <c r="X58" i="1"/>
  <c r="U73" i="1"/>
  <c r="AA87" i="1"/>
  <c r="H73" i="1"/>
  <c r="X52" i="1"/>
  <c r="Z58" i="1"/>
  <c r="M71" i="1"/>
  <c r="U56" i="1"/>
  <c r="E67" i="1"/>
  <c r="F91" i="1"/>
  <c r="G68" i="1"/>
  <c r="W88" i="1"/>
  <c r="K91" i="1"/>
  <c r="U51" i="1"/>
  <c r="N56" i="1"/>
  <c r="V64" i="1"/>
  <c r="E80" i="1"/>
  <c r="E79" i="1"/>
  <c r="F89" i="1"/>
  <c r="H105" i="1"/>
  <c r="I71" i="1"/>
  <c r="AA81" i="1"/>
  <c r="K103" i="1"/>
  <c r="G79" i="1"/>
  <c r="J88" i="1"/>
  <c r="Y76" i="1"/>
  <c r="I89" i="1"/>
  <c r="N103" i="1"/>
  <c r="M84" i="1"/>
  <c r="S105" i="1"/>
  <c r="Y140" i="1"/>
  <c r="C82" i="1"/>
  <c r="O99" i="1"/>
  <c r="Y89" i="1"/>
  <c r="A108" i="1"/>
  <c r="O69" i="1"/>
  <c r="P82" i="1"/>
  <c r="W105" i="1"/>
  <c r="S61" i="1"/>
  <c r="N73" i="1"/>
  <c r="L81" i="1"/>
  <c r="H102" i="1"/>
  <c r="L86" i="1"/>
  <c r="O101" i="1"/>
  <c r="AA71" i="1"/>
  <c r="P85" i="1"/>
  <c r="W119" i="1"/>
  <c r="C63" i="1"/>
  <c r="H84" i="1"/>
  <c r="I98" i="1"/>
  <c r="X83" i="1"/>
  <c r="AA119" i="1"/>
  <c r="L118" i="1"/>
  <c r="D96" i="1"/>
  <c r="S112" i="1"/>
  <c r="F100" i="1"/>
  <c r="U117" i="1"/>
  <c r="D103" i="1"/>
  <c r="K123" i="1"/>
  <c r="M98" i="1"/>
  <c r="E117" i="1"/>
  <c r="I100" i="1"/>
  <c r="E128" i="1"/>
  <c r="T111" i="1"/>
  <c r="K86" i="1"/>
  <c r="I95" i="1"/>
  <c r="H114" i="1"/>
  <c r="A100" i="1"/>
  <c r="B150" i="1"/>
  <c r="Q96" i="1"/>
  <c r="V115" i="1"/>
  <c r="O130" i="1"/>
  <c r="O125" i="1"/>
  <c r="O109" i="1"/>
  <c r="T115" i="1"/>
  <c r="I147" i="1"/>
  <c r="G130" i="1"/>
  <c r="D111" i="1"/>
  <c r="J142" i="1"/>
  <c r="T134" i="1"/>
  <c r="Q166" i="1"/>
  <c r="H120" i="1"/>
  <c r="V112" i="1"/>
  <c r="Q127" i="1"/>
  <c r="H132" i="1"/>
  <c r="B166" i="1"/>
  <c r="D166" i="1"/>
  <c r="F131" i="1"/>
  <c r="V156" i="1"/>
  <c r="Z142" i="1"/>
  <c r="H131" i="1"/>
  <c r="N162" i="1"/>
  <c r="C178" i="1"/>
  <c r="P170" i="1"/>
  <c r="M163" i="1"/>
  <c r="F175" i="1"/>
  <c r="Y151" i="1"/>
  <c r="Q144" i="1"/>
  <c r="Z151" i="1"/>
  <c r="K149" i="1"/>
  <c r="K160" i="1"/>
  <c r="H146" i="1"/>
  <c r="S152" i="1"/>
  <c r="Z178" i="1"/>
  <c r="G188" i="1"/>
  <c r="K167" i="1"/>
  <c r="C195" i="1"/>
  <c r="P198" i="1"/>
  <c r="O188" i="1"/>
  <c r="S171" i="1"/>
  <c r="G160" i="1"/>
  <c r="W155" i="1"/>
  <c r="E192" i="1"/>
  <c r="Y205" i="1"/>
  <c r="H187" i="1"/>
  <c r="D185" i="1"/>
  <c r="N193" i="1"/>
  <c r="A172" i="1"/>
  <c r="M199" i="1"/>
  <c r="I213" i="1"/>
  <c r="P199" i="1"/>
  <c r="T202" i="1"/>
  <c r="E214" i="1"/>
  <c r="A200" i="1"/>
  <c r="E204" i="1"/>
  <c r="F190" i="1"/>
  <c r="C207" i="1"/>
  <c r="S211" i="1"/>
  <c r="I212" i="1"/>
  <c r="K2" i="1"/>
  <c r="P14" i="1"/>
  <c r="F16" i="1"/>
  <c r="N10" i="1"/>
  <c r="S25" i="1"/>
  <c r="W13" i="1"/>
  <c r="U8" i="1"/>
  <c r="G23" i="1"/>
  <c r="Q12" i="1"/>
  <c r="Z9" i="1"/>
  <c r="B26" i="1"/>
  <c r="J13" i="1"/>
  <c r="K13" i="1"/>
  <c r="J19" i="1"/>
  <c r="Y2" i="1"/>
  <c r="O20" i="1"/>
  <c r="F14" i="1"/>
  <c r="K4" i="1"/>
  <c r="I6" i="1"/>
  <c r="A19" i="1"/>
  <c r="S20" i="1"/>
  <c r="AA7" i="1"/>
  <c r="H10" i="1"/>
  <c r="H25" i="1"/>
  <c r="L3" i="1"/>
  <c r="D16" i="1"/>
  <c r="AA15" i="1"/>
  <c r="M25" i="1"/>
  <c r="A36" i="1"/>
  <c r="F66" i="1"/>
  <c r="J22" i="1"/>
  <c r="U30" i="1"/>
  <c r="T26" i="1"/>
  <c r="H37" i="1"/>
  <c r="J11" i="1"/>
  <c r="X28" i="1"/>
  <c r="Q8" i="1"/>
  <c r="B18" i="1"/>
  <c r="P27" i="1"/>
  <c r="D36" i="1"/>
  <c r="G62" i="1"/>
  <c r="Q32" i="1"/>
  <c r="V43" i="1"/>
  <c r="A35" i="1"/>
  <c r="Q68" i="1"/>
  <c r="V39" i="1"/>
  <c r="U32" i="1"/>
  <c r="A44" i="1"/>
  <c r="L15" i="1"/>
  <c r="Y24" i="1"/>
  <c r="Z39" i="1"/>
  <c r="Z24" i="1"/>
  <c r="F35" i="1"/>
  <c r="N15" i="1"/>
  <c r="O30" i="1"/>
  <c r="Z2" i="1"/>
  <c r="W21" i="1"/>
  <c r="C31" i="1"/>
  <c r="P40" i="1"/>
  <c r="D4" i="1"/>
  <c r="H16" i="1"/>
  <c r="J14" i="1"/>
  <c r="W23" i="1"/>
  <c r="C34" i="1"/>
  <c r="Q50" i="1"/>
  <c r="W25" i="1"/>
  <c r="D34" i="1"/>
  <c r="L46" i="1"/>
  <c r="V31" i="1"/>
  <c r="P41" i="1"/>
  <c r="P49" i="1"/>
  <c r="G67" i="1"/>
  <c r="D44" i="1"/>
  <c r="G56" i="1"/>
  <c r="M82" i="1"/>
  <c r="K54" i="1"/>
  <c r="C42" i="1"/>
  <c r="Q48" i="1"/>
  <c r="T71" i="1"/>
  <c r="Y51" i="1"/>
  <c r="U71" i="1"/>
  <c r="W44" i="1"/>
  <c r="Z57" i="1"/>
  <c r="X45" i="1"/>
  <c r="X56" i="1"/>
  <c r="H47" i="1"/>
  <c r="T59" i="1"/>
  <c r="I33" i="1"/>
  <c r="B38" i="1"/>
  <c r="V42" i="1"/>
  <c r="R51" i="1"/>
  <c r="W85" i="1"/>
  <c r="Q54" i="1"/>
  <c r="K80" i="1"/>
  <c r="W64" i="1"/>
  <c r="T53" i="1"/>
  <c r="D100" i="1"/>
  <c r="X34" i="1"/>
  <c r="Q39" i="1"/>
  <c r="S44" i="1"/>
  <c r="I59" i="1"/>
  <c r="Y53" i="1"/>
  <c r="L60" i="1"/>
  <c r="G71" i="1"/>
  <c r="V60" i="1"/>
  <c r="AA72" i="1"/>
  <c r="G54" i="1"/>
  <c r="V62" i="1"/>
  <c r="T73" i="1"/>
  <c r="N59" i="1"/>
  <c r="K74" i="1"/>
  <c r="B93" i="1"/>
  <c r="W73" i="1"/>
  <c r="E53" i="1"/>
  <c r="H60" i="1"/>
  <c r="C72" i="1"/>
  <c r="K57" i="1"/>
  <c r="F68" i="1"/>
  <c r="S93" i="1"/>
  <c r="T68" i="1"/>
  <c r="H91" i="1"/>
  <c r="E94" i="1"/>
  <c r="B52" i="1"/>
  <c r="D57" i="1"/>
  <c r="T65" i="1"/>
  <c r="R84" i="1"/>
  <c r="P79" i="1"/>
  <c r="T89" i="1"/>
  <c r="L107" i="1"/>
  <c r="S71" i="1"/>
  <c r="J82" i="1"/>
  <c r="E104" i="1"/>
  <c r="R79" i="1"/>
  <c r="H89" i="1"/>
  <c r="X78" i="1"/>
  <c r="V89" i="1"/>
  <c r="M104" i="1"/>
  <c r="Z84" i="1"/>
  <c r="R106" i="1"/>
  <c r="K75" i="1"/>
  <c r="N82" i="1"/>
  <c r="Z102" i="1"/>
  <c r="K90" i="1"/>
  <c r="E109" i="1"/>
  <c r="Y69" i="1"/>
  <c r="Z82" i="1"/>
  <c r="G109" i="1"/>
  <c r="A62" i="1"/>
  <c r="Y73" i="1"/>
  <c r="V81" i="1"/>
  <c r="B103" i="1"/>
  <c r="G87" i="1"/>
  <c r="B104" i="1"/>
  <c r="V72" i="1"/>
  <c r="AA85" i="1"/>
  <c r="AA123" i="1"/>
  <c r="L63" i="1"/>
  <c r="T84" i="1"/>
  <c r="B99" i="1"/>
  <c r="J84" i="1"/>
  <c r="C124" i="1"/>
  <c r="F119" i="1"/>
  <c r="U96" i="1"/>
  <c r="J113" i="1"/>
  <c r="P100" i="1"/>
  <c r="P118" i="1"/>
  <c r="W103" i="1"/>
  <c r="N125" i="1"/>
  <c r="W98" i="1"/>
  <c r="AA117" i="1"/>
  <c r="S100" i="1"/>
  <c r="S129" i="1"/>
  <c r="I112" i="1"/>
  <c r="S86" i="1"/>
  <c r="P96" i="1"/>
  <c r="S115" i="1"/>
  <c r="K100" i="1"/>
  <c r="E169" i="1"/>
  <c r="G97" i="1"/>
  <c r="P116" i="1"/>
  <c r="B131" i="1"/>
  <c r="J126" i="1"/>
  <c r="Q110" i="1"/>
  <c r="Y116" i="1"/>
  <c r="P114" i="1"/>
  <c r="U130" i="1"/>
  <c r="X111" i="1"/>
  <c r="P143" i="1"/>
  <c r="D138" i="1"/>
  <c r="G179" i="1"/>
  <c r="B121" i="1"/>
  <c r="F113" i="1"/>
  <c r="O129" i="1"/>
  <c r="P132" i="1"/>
  <c r="X171" i="1"/>
  <c r="D181" i="1"/>
  <c r="V131" i="1"/>
  <c r="T159" i="1"/>
  <c r="X143" i="1"/>
  <c r="P131" i="1"/>
  <c r="M167" i="1"/>
  <c r="K196" i="1"/>
  <c r="E171" i="1"/>
  <c r="G165" i="1"/>
  <c r="O177" i="1"/>
  <c r="G152" i="1"/>
  <c r="X145" i="1"/>
  <c r="Q152" i="1"/>
  <c r="AA150" i="1"/>
  <c r="Y160" i="1"/>
  <c r="O147" i="1"/>
  <c r="K153" i="1"/>
  <c r="K179" i="1"/>
  <c r="Q190" i="1"/>
  <c r="V168" i="1"/>
  <c r="O209" i="1"/>
  <c r="Q200" i="1"/>
  <c r="A190" i="1"/>
  <c r="B173" i="1"/>
  <c r="C163" i="1"/>
  <c r="C157" i="1"/>
  <c r="F193" i="1"/>
  <c r="P208" i="1"/>
  <c r="A188" i="1"/>
  <c r="W185" i="1"/>
  <c r="P194" i="1"/>
  <c r="J172" i="1"/>
  <c r="I200" i="1"/>
  <c r="V174" i="1"/>
  <c r="H202" i="1"/>
  <c r="K205" i="1"/>
  <c r="T214" i="1"/>
  <c r="M200" i="1"/>
  <c r="M207" i="1"/>
  <c r="Z190" i="1"/>
  <c r="A208" i="1"/>
  <c r="AA211" i="1"/>
  <c r="Y212" i="1"/>
  <c r="H93" i="1"/>
  <c r="S110" i="1"/>
  <c r="S67" i="1"/>
  <c r="R76" i="1"/>
  <c r="U86" i="1"/>
  <c r="T110" i="1"/>
  <c r="E119" i="1"/>
  <c r="P69" i="1"/>
  <c r="X75" i="1"/>
  <c r="F82" i="1"/>
  <c r="N94" i="1"/>
  <c r="X79" i="1"/>
  <c r="B90" i="1"/>
  <c r="D106" i="1"/>
  <c r="Q69" i="1"/>
  <c r="C79" i="1"/>
  <c r="A91" i="1"/>
  <c r="T128" i="1"/>
  <c r="D61" i="1"/>
  <c r="K72" i="1"/>
  <c r="G88" i="1"/>
  <c r="Y99" i="1"/>
  <c r="I82" i="1"/>
  <c r="AA93" i="1"/>
  <c r="J105" i="1"/>
  <c r="A120" i="1"/>
  <c r="L138" i="1"/>
  <c r="AA104" i="1"/>
  <c r="O126" i="1"/>
  <c r="I101" i="1"/>
  <c r="T114" i="1"/>
  <c r="O95" i="1"/>
  <c r="W108" i="1"/>
  <c r="Y127" i="1"/>
  <c r="H148" i="1"/>
  <c r="U106" i="1"/>
  <c r="D128" i="1"/>
  <c r="D102" i="1"/>
  <c r="Q123" i="1"/>
  <c r="N102" i="1"/>
  <c r="G117" i="1"/>
  <c r="P87" i="1"/>
  <c r="N93" i="1"/>
  <c r="V104" i="1"/>
  <c r="S123" i="1"/>
  <c r="C101" i="1"/>
  <c r="C127" i="1"/>
  <c r="B92" i="1"/>
  <c r="F102" i="1"/>
  <c r="E118" i="1"/>
  <c r="O110" i="1"/>
  <c r="M157" i="1"/>
  <c r="E129" i="1"/>
  <c r="AA125" i="1"/>
  <c r="Z157" i="1"/>
  <c r="F125" i="1"/>
  <c r="Y118" i="1"/>
  <c r="I131" i="1"/>
  <c r="V158" i="1"/>
  <c r="I125" i="1"/>
  <c r="AA120" i="1"/>
  <c r="R139" i="1"/>
  <c r="P146" i="1"/>
  <c r="K109" i="1"/>
  <c r="Q124" i="1"/>
  <c r="K114" i="1"/>
  <c r="L125" i="1"/>
  <c r="M145" i="1"/>
  <c r="L136" i="1"/>
  <c r="F139" i="1"/>
  <c r="G143" i="1"/>
  <c r="X172" i="1"/>
  <c r="R135" i="1"/>
  <c r="H164" i="1"/>
  <c r="X136" i="1"/>
  <c r="Q148" i="1"/>
  <c r="L135" i="1"/>
  <c r="N143" i="1"/>
  <c r="C165" i="1"/>
  <c r="W172" i="1"/>
  <c r="G141" i="1"/>
  <c r="C167" i="1"/>
  <c r="B162" i="1"/>
  <c r="O176" i="1"/>
  <c r="E162" i="1"/>
  <c r="AA149" i="1"/>
  <c r="I150" i="1"/>
  <c r="J173" i="1"/>
  <c r="A165" i="1"/>
  <c r="O164" i="1"/>
  <c r="U143" i="1"/>
  <c r="K168" i="1"/>
  <c r="K161" i="1"/>
  <c r="B181" i="1"/>
  <c r="C176" i="1"/>
  <c r="I156" i="1"/>
  <c r="Q177" i="1"/>
  <c r="S179" i="1"/>
  <c r="F189" i="1"/>
  <c r="R171" i="1"/>
  <c r="AA200" i="1"/>
  <c r="X175" i="1"/>
  <c r="K157" i="1"/>
  <c r="W179" i="1"/>
  <c r="P166" i="1"/>
  <c r="P195" i="1"/>
  <c r="R207" i="1"/>
  <c r="I198" i="1"/>
  <c r="Q197" i="1"/>
  <c r="P186" i="1"/>
  <c r="A187" i="1"/>
  <c r="N188" i="1"/>
  <c r="E184" i="1"/>
  <c r="A213" i="1"/>
  <c r="C194" i="1"/>
  <c r="G184" i="1"/>
  <c r="M201" i="1"/>
  <c r="C190" i="1"/>
  <c r="I208" i="1"/>
  <c r="Q191" i="1"/>
  <c r="L207" i="1"/>
  <c r="Z194" i="1"/>
  <c r="G212" i="1"/>
  <c r="AA196" i="1"/>
  <c r="X214" i="1"/>
  <c r="X212" i="1"/>
  <c r="G210" i="1"/>
  <c r="AA140" i="1"/>
  <c r="C95" i="1"/>
  <c r="W113" i="1"/>
  <c r="U68" i="1"/>
  <c r="W77" i="1"/>
  <c r="B88" i="1"/>
  <c r="Y113" i="1"/>
  <c r="V133" i="1"/>
  <c r="J70" i="1"/>
  <c r="S76" i="1"/>
  <c r="AA82" i="1"/>
  <c r="C98" i="1"/>
  <c r="B81" i="1"/>
  <c r="AA90" i="1"/>
  <c r="G108" i="1"/>
  <c r="V70" i="1"/>
  <c r="H80" i="1"/>
  <c r="K93" i="1"/>
  <c r="AA56" i="1"/>
  <c r="L62" i="1"/>
  <c r="U74" i="1"/>
  <c r="Q89" i="1"/>
  <c r="P101" i="1"/>
  <c r="C83" i="1"/>
  <c r="Q101" i="1"/>
  <c r="M107" i="1"/>
  <c r="O127" i="1"/>
  <c r="V146" i="1"/>
  <c r="S106" i="1"/>
  <c r="W130" i="1"/>
  <c r="K102" i="1"/>
  <c r="F116" i="1"/>
  <c r="V96" i="1"/>
  <c r="X109" i="1"/>
  <c r="T132" i="1"/>
  <c r="P95" i="1"/>
  <c r="M108" i="1"/>
  <c r="Z132" i="1"/>
  <c r="I104" i="1"/>
  <c r="S125" i="1"/>
  <c r="P103" i="1"/>
  <c r="Q119" i="1"/>
  <c r="E88" i="1"/>
  <c r="C94" i="1"/>
  <c r="L106" i="1"/>
  <c r="Y125" i="1"/>
  <c r="O102" i="1"/>
  <c r="R131" i="1"/>
  <c r="R92" i="1"/>
  <c r="I103" i="1"/>
  <c r="T120" i="1"/>
  <c r="T126" i="1"/>
  <c r="V120" i="1"/>
  <c r="R130" i="1"/>
  <c r="H127" i="1"/>
  <c r="A171" i="1"/>
  <c r="U128" i="1"/>
  <c r="C120" i="1"/>
  <c r="J132" i="1"/>
  <c r="Z108" i="1"/>
  <c r="P126" i="1"/>
  <c r="E122" i="1"/>
  <c r="I149" i="1"/>
  <c r="F151" i="1"/>
  <c r="F111" i="1"/>
  <c r="A131" i="1"/>
  <c r="P115" i="1"/>
  <c r="H126" i="1"/>
  <c r="V151" i="1"/>
  <c r="A137" i="1"/>
  <c r="E144" i="1"/>
  <c r="H147" i="1"/>
  <c r="E126" i="1"/>
  <c r="O136" i="1"/>
  <c r="A142" i="1"/>
  <c r="J138" i="1"/>
  <c r="J153" i="1"/>
  <c r="I136" i="1"/>
  <c r="L144" i="1"/>
  <c r="L167" i="1"/>
  <c r="N179" i="1"/>
  <c r="W141" i="1"/>
  <c r="T168" i="1"/>
  <c r="K169" i="1"/>
  <c r="K193" i="1"/>
  <c r="Z163" i="1"/>
  <c r="AA153" i="1"/>
  <c r="H151" i="1"/>
  <c r="S177" i="1"/>
  <c r="V166" i="1"/>
  <c r="J168" i="1"/>
  <c r="S144" i="1"/>
  <c r="V189" i="1"/>
  <c r="Z166" i="1"/>
  <c r="L182" i="1"/>
  <c r="P179" i="1"/>
  <c r="P157" i="1"/>
  <c r="S180" i="1"/>
  <c r="V184" i="1"/>
  <c r="W191" i="1"/>
  <c r="A173" i="1"/>
  <c r="S157" i="1"/>
  <c r="I178" i="1"/>
  <c r="J158" i="1"/>
  <c r="P183" i="1"/>
  <c r="P167" i="1"/>
  <c r="Y203" i="1"/>
  <c r="G196" i="1"/>
  <c r="X199" i="1"/>
  <c r="V200" i="1"/>
  <c r="G192" i="1"/>
  <c r="W188" i="1"/>
  <c r="L190" i="1"/>
  <c r="Q185" i="1"/>
  <c r="B172" i="1"/>
  <c r="S196" i="1"/>
  <c r="B186" i="1"/>
  <c r="L204" i="1"/>
  <c r="O191" i="1"/>
  <c r="R211" i="1"/>
  <c r="L193" i="1"/>
  <c r="K208" i="1"/>
  <c r="Z196" i="1"/>
  <c r="H214" i="1"/>
  <c r="E198" i="1"/>
  <c r="R213" i="1"/>
  <c r="U213" i="1"/>
  <c r="W210" i="1"/>
  <c r="Q77" i="1"/>
  <c r="K87" i="1"/>
  <c r="Q117" i="1"/>
  <c r="F81" i="1"/>
  <c r="R91" i="1"/>
  <c r="S77" i="1"/>
  <c r="M87" i="1"/>
  <c r="K99" i="1"/>
  <c r="Y131" i="1"/>
  <c r="D93" i="1"/>
  <c r="C126" i="1"/>
  <c r="AA76" i="1"/>
  <c r="H83" i="1"/>
  <c r="F101" i="1"/>
  <c r="Q87" i="1"/>
  <c r="T98" i="1"/>
  <c r="AA61" i="1"/>
  <c r="T70" i="1"/>
  <c r="F80" i="1"/>
  <c r="V92" i="1"/>
  <c r="I127" i="1"/>
  <c r="J62" i="1"/>
  <c r="Z71" i="1"/>
  <c r="G78" i="1"/>
  <c r="B85" i="1"/>
  <c r="X103" i="1"/>
  <c r="L83" i="1"/>
  <c r="J93" i="1"/>
  <c r="N114" i="1"/>
  <c r="E73" i="1"/>
  <c r="R82" i="1"/>
  <c r="E106" i="1"/>
  <c r="E58" i="1"/>
  <c r="X64" i="1"/>
  <c r="N79" i="1"/>
  <c r="AA91" i="1"/>
  <c r="I111" i="1"/>
  <c r="E85" i="1"/>
  <c r="U109" i="1"/>
  <c r="K111" i="1"/>
  <c r="G119" i="1"/>
  <c r="K97" i="1"/>
  <c r="W109" i="1"/>
  <c r="P94" i="1"/>
  <c r="A105" i="1"/>
  <c r="G121" i="1"/>
  <c r="Q100" i="1"/>
  <c r="E112" i="1"/>
  <c r="C117" i="1"/>
  <c r="F99" i="1"/>
  <c r="R111" i="1"/>
  <c r="R94" i="1"/>
  <c r="N110" i="1"/>
  <c r="J131" i="1"/>
  <c r="V106" i="1"/>
  <c r="F133" i="1"/>
  <c r="J89" i="1"/>
  <c r="F97" i="1"/>
  <c r="U111" i="1"/>
  <c r="G133" i="1"/>
  <c r="Y106" i="1"/>
  <c r="Y87" i="1"/>
  <c r="W93" i="1"/>
  <c r="E108" i="1"/>
  <c r="R128" i="1"/>
  <c r="Q131" i="1"/>
  <c r="E123" i="1"/>
  <c r="C137" i="1"/>
  <c r="V132" i="1"/>
  <c r="I117" i="1"/>
  <c r="G137" i="1"/>
  <c r="X122" i="1"/>
  <c r="W171" i="1"/>
  <c r="B113" i="1"/>
  <c r="X130" i="1"/>
  <c r="T125" i="1"/>
  <c r="Q126" i="1"/>
  <c r="F95" i="1"/>
  <c r="J114" i="1"/>
  <c r="N135" i="1"/>
  <c r="I118" i="1"/>
  <c r="D133" i="1"/>
  <c r="F130" i="1"/>
  <c r="F138" i="1"/>
  <c r="W152" i="1"/>
  <c r="AA139" i="1"/>
  <c r="O128" i="1"/>
  <c r="S139" i="1"/>
  <c r="AA147" i="1"/>
  <c r="K144" i="1"/>
  <c r="N129" i="1"/>
  <c r="AA142" i="1"/>
  <c r="F148" i="1"/>
  <c r="D153" i="1"/>
  <c r="R166" i="1"/>
  <c r="I143" i="1"/>
  <c r="V181" i="1"/>
  <c r="Q178" i="1"/>
  <c r="K148" i="1"/>
  <c r="P193" i="1"/>
  <c r="N158" i="1"/>
  <c r="Z152" i="1"/>
  <c r="H145" i="1"/>
  <c r="Q182" i="1"/>
  <c r="M172" i="1"/>
  <c r="E148" i="1"/>
  <c r="M149" i="1"/>
  <c r="AA176" i="1"/>
  <c r="M211" i="1"/>
  <c r="P192" i="1"/>
  <c r="C160" i="1"/>
  <c r="S190" i="1"/>
  <c r="W212" i="1"/>
  <c r="Z158" i="1"/>
  <c r="V177" i="1"/>
  <c r="E161" i="1"/>
  <c r="L186" i="1"/>
  <c r="G166" i="1"/>
  <c r="C197" i="1"/>
  <c r="I171" i="1"/>
  <c r="Z175" i="1"/>
  <c r="T209" i="1"/>
  <c r="J180" i="1"/>
  <c r="E211" i="1"/>
  <c r="R208" i="1"/>
  <c r="W195" i="1"/>
  <c r="B203" i="1"/>
  <c r="M190" i="1"/>
  <c r="W178" i="1"/>
  <c r="D175" i="1"/>
  <c r="S194" i="1"/>
  <c r="V206" i="1"/>
  <c r="Q195" i="1"/>
  <c r="F191" i="1"/>
  <c r="R197" i="1"/>
  <c r="AA191" i="1"/>
  <c r="S199" i="1"/>
  <c r="I191" i="1"/>
  <c r="C202" i="1"/>
  <c r="R206" i="1"/>
  <c r="W202" i="1"/>
  <c r="F213" i="1"/>
  <c r="L78" i="1"/>
  <c r="V87" i="1"/>
  <c r="W120" i="1"/>
  <c r="Q81" i="1"/>
  <c r="C93" i="1"/>
  <c r="C78" i="1"/>
  <c r="Z87" i="1"/>
  <c r="E100" i="1"/>
  <c r="N80" i="1"/>
  <c r="R93" i="1"/>
  <c r="A132" i="1"/>
  <c r="J77" i="1"/>
  <c r="S83" i="1"/>
  <c r="AA101" i="1"/>
  <c r="A88" i="1"/>
  <c r="S99" i="1"/>
  <c r="I62" i="1"/>
  <c r="C71" i="1"/>
  <c r="P80" i="1"/>
  <c r="M94" i="1"/>
  <c r="N100" i="1"/>
  <c r="S62" i="1"/>
  <c r="I72" i="1"/>
  <c r="R78" i="1"/>
  <c r="O85" i="1"/>
  <c r="Y104" i="1"/>
  <c r="S84" i="1"/>
  <c r="Y93" i="1"/>
  <c r="V119" i="1"/>
  <c r="AA73" i="1"/>
  <c r="M83" i="1"/>
  <c r="J107" i="1"/>
  <c r="M58" i="1"/>
  <c r="G65" i="1"/>
  <c r="S80" i="1"/>
  <c r="M92" i="1"/>
  <c r="X112" i="1"/>
  <c r="Q85" i="1"/>
  <c r="C113" i="1"/>
  <c r="B112" i="1"/>
  <c r="B120" i="1"/>
  <c r="K98" i="1"/>
  <c r="I110" i="1"/>
  <c r="X94" i="1"/>
  <c r="M105" i="1"/>
  <c r="I122" i="1"/>
  <c r="AA100" i="1"/>
  <c r="W112" i="1"/>
  <c r="X117" i="1"/>
  <c r="P99" i="1"/>
  <c r="Y112" i="1"/>
  <c r="H95" i="1"/>
  <c r="B111" i="1"/>
  <c r="C133" i="1"/>
  <c r="H107" i="1"/>
  <c r="N139" i="1"/>
  <c r="R89" i="1"/>
  <c r="W97" i="1"/>
  <c r="J112" i="1"/>
  <c r="E135" i="1"/>
  <c r="I107" i="1"/>
  <c r="F88" i="1"/>
  <c r="D94" i="1"/>
  <c r="C109" i="1"/>
  <c r="U131" i="1"/>
  <c r="D132" i="1"/>
  <c r="P123" i="1"/>
  <c r="A140" i="1"/>
  <c r="I133" i="1"/>
  <c r="C118" i="1"/>
  <c r="X137" i="1"/>
  <c r="H123" i="1"/>
  <c r="X127" i="1"/>
  <c r="G114" i="1"/>
  <c r="N133" i="1"/>
  <c r="A127" i="1"/>
  <c r="M128" i="1"/>
  <c r="V95" i="1"/>
  <c r="D115" i="1"/>
  <c r="F136" i="1"/>
  <c r="T118" i="1"/>
  <c r="Z136" i="1"/>
  <c r="V130" i="1"/>
  <c r="N138" i="1"/>
  <c r="J156" i="1"/>
  <c r="D141" i="1"/>
  <c r="D129" i="1"/>
  <c r="L140" i="1"/>
  <c r="P148" i="1"/>
  <c r="Y145" i="1"/>
  <c r="V129" i="1"/>
  <c r="Z144" i="1"/>
  <c r="W148" i="1"/>
  <c r="M153" i="1"/>
  <c r="Q167" i="1"/>
  <c r="O144" i="1"/>
  <c r="F200" i="1"/>
  <c r="R179" i="1"/>
  <c r="A149" i="1"/>
  <c r="T140" i="1"/>
  <c r="F162" i="1"/>
  <c r="H153" i="1"/>
  <c r="Q145" i="1"/>
  <c r="L185" i="1"/>
  <c r="R175" i="1"/>
  <c r="V148" i="1"/>
  <c r="J151" i="1"/>
  <c r="Q180" i="1"/>
  <c r="Y185" i="1"/>
  <c r="F196" i="1"/>
  <c r="L160" i="1"/>
  <c r="R191" i="1"/>
  <c r="E168" i="1"/>
  <c r="F160" i="1"/>
  <c r="H178" i="1"/>
  <c r="V161" i="1"/>
  <c r="E187" i="1"/>
  <c r="X166" i="1"/>
  <c r="X203" i="1"/>
  <c r="U171" i="1"/>
  <c r="L176" i="1"/>
  <c r="AA210" i="1"/>
  <c r="L181" i="1"/>
  <c r="L212" i="1"/>
  <c r="Y213" i="1"/>
  <c r="L196" i="1"/>
  <c r="I205" i="1"/>
  <c r="O193" i="1"/>
  <c r="R181" i="1"/>
  <c r="M175" i="1"/>
  <c r="L195" i="1"/>
  <c r="T207" i="1"/>
  <c r="AA197" i="1"/>
  <c r="Z191" i="1"/>
  <c r="C198" i="1"/>
  <c r="T192" i="1"/>
  <c r="N200" i="1"/>
  <c r="A192" i="1"/>
  <c r="H204" i="1"/>
  <c r="Z206" i="1"/>
  <c r="L203" i="1"/>
  <c r="N213" i="1"/>
  <c r="G104" i="1"/>
  <c r="C114" i="1"/>
  <c r="D114" i="1"/>
  <c r="D131" i="1"/>
  <c r="M102" i="1"/>
  <c r="N113" i="1"/>
  <c r="D139" i="1"/>
  <c r="K101" i="1"/>
  <c r="Y114" i="1"/>
  <c r="X162" i="1"/>
  <c r="J104" i="1"/>
  <c r="M116" i="1"/>
  <c r="F85" i="1"/>
  <c r="Z89" i="1"/>
  <c r="S94" i="1"/>
  <c r="AA103" i="1"/>
  <c r="N116" i="1"/>
  <c r="D144" i="1"/>
  <c r="R103" i="1"/>
  <c r="Z125" i="1"/>
  <c r="S89" i="1"/>
  <c r="L94" i="1"/>
  <c r="G105" i="1"/>
  <c r="K117" i="1"/>
  <c r="V105" i="1"/>
  <c r="R132" i="1"/>
  <c r="P121" i="1"/>
  <c r="S128" i="1"/>
  <c r="D154" i="1"/>
  <c r="W137" i="1"/>
  <c r="D171" i="1"/>
  <c r="L124" i="1"/>
  <c r="U115" i="1"/>
  <c r="R123" i="1"/>
  <c r="Y135" i="1"/>
  <c r="R152" i="1"/>
  <c r="F118" i="1"/>
  <c r="C134" i="1"/>
  <c r="E124" i="1"/>
  <c r="V138" i="1"/>
  <c r="C136" i="1"/>
  <c r="S96" i="1"/>
  <c r="AA111" i="1"/>
  <c r="W123" i="1"/>
  <c r="X110" i="1"/>
  <c r="D119" i="1"/>
  <c r="E127" i="1"/>
  <c r="AA144" i="1"/>
  <c r="X132" i="1"/>
  <c r="W138" i="1"/>
  <c r="O149" i="1"/>
  <c r="X141" i="1"/>
  <c r="F145" i="1"/>
  <c r="A130" i="1"/>
  <c r="D137" i="1"/>
  <c r="Z161" i="1"/>
  <c r="F134" i="1"/>
  <c r="K146" i="1"/>
  <c r="U155" i="1"/>
  <c r="D135" i="1"/>
  <c r="N152" i="1"/>
  <c r="E149" i="1"/>
  <c r="U175" i="1"/>
  <c r="K170" i="1"/>
  <c r="C175" i="1"/>
  <c r="K147" i="1"/>
  <c r="AA171" i="1"/>
  <c r="D161" i="1"/>
  <c r="J165" i="1"/>
  <c r="R149" i="1"/>
  <c r="R170" i="1"/>
  <c r="C148" i="1"/>
  <c r="I166" i="1"/>
  <c r="A156" i="1"/>
  <c r="W142" i="1"/>
  <c r="N164" i="1"/>
  <c r="V154" i="1"/>
  <c r="X185" i="1"/>
  <c r="R145" i="1"/>
  <c r="W167" i="1"/>
  <c r="W154" i="1"/>
  <c r="E183" i="1"/>
  <c r="Q186" i="1"/>
  <c r="Q174" i="1"/>
  <c r="H188" i="1"/>
  <c r="B161" i="1"/>
  <c r="R184" i="1"/>
  <c r="V212" i="1"/>
  <c r="AA172" i="1"/>
  <c r="C162" i="1"/>
  <c r="I175" i="1"/>
  <c r="Q198" i="1"/>
  <c r="I169" i="1"/>
  <c r="J189" i="1"/>
  <c r="Q159" i="1"/>
  <c r="I179" i="1"/>
  <c r="T157" i="1"/>
  <c r="O173" i="1"/>
  <c r="P173" i="1"/>
  <c r="Z203" i="1"/>
  <c r="Y186" i="1"/>
  <c r="T184" i="1"/>
  <c r="R202" i="1"/>
  <c r="F186" i="1"/>
  <c r="H182" i="1"/>
  <c r="E197" i="1"/>
  <c r="A194" i="1"/>
  <c r="L183" i="1"/>
  <c r="C203" i="1"/>
  <c r="K182" i="1"/>
  <c r="F203" i="1"/>
  <c r="X183" i="1"/>
  <c r="T205" i="1"/>
  <c r="S209" i="1"/>
  <c r="Q192" i="1"/>
  <c r="Y206" i="1"/>
  <c r="Q201" i="1"/>
  <c r="M198" i="1"/>
  <c r="V209" i="1"/>
  <c r="G213" i="1"/>
  <c r="D205" i="1"/>
  <c r="D193" i="1"/>
  <c r="E200" i="1"/>
  <c r="U212" i="1"/>
  <c r="L208" i="1"/>
  <c r="I204" i="1"/>
  <c r="A212" i="1"/>
  <c r="N105" i="1"/>
  <c r="M115" i="1"/>
  <c r="N115" i="1"/>
  <c r="D159" i="1"/>
  <c r="Y103" i="1"/>
  <c r="Q115" i="1"/>
  <c r="B94" i="1"/>
  <c r="W102" i="1"/>
  <c r="F117" i="1"/>
  <c r="Q95" i="1"/>
  <c r="E105" i="1"/>
  <c r="A118" i="1"/>
  <c r="V85" i="1"/>
  <c r="O90" i="1"/>
  <c r="Z95" i="1"/>
  <c r="F105" i="1"/>
  <c r="B118" i="1"/>
  <c r="A95" i="1"/>
  <c r="K104" i="1"/>
  <c r="N128" i="1"/>
  <c r="H90" i="1"/>
  <c r="J95" i="1"/>
  <c r="B106" i="1"/>
  <c r="Z118" i="1"/>
  <c r="G107" i="1"/>
  <c r="I134" i="1"/>
  <c r="K122" i="1"/>
  <c r="Q129" i="1"/>
  <c r="Y162" i="1"/>
  <c r="H139" i="1"/>
  <c r="D116" i="1"/>
  <c r="Q125" i="1"/>
  <c r="O116" i="1"/>
  <c r="M124" i="1"/>
  <c r="B146" i="1"/>
  <c r="F165" i="1"/>
  <c r="K119" i="1"/>
  <c r="S136" i="1"/>
  <c r="Z124" i="1"/>
  <c r="O140" i="1"/>
  <c r="O146" i="1"/>
  <c r="H97" i="1"/>
  <c r="E113" i="1"/>
  <c r="V125" i="1"/>
  <c r="A112" i="1"/>
  <c r="Y119" i="1"/>
  <c r="P128" i="1"/>
  <c r="A146" i="1"/>
  <c r="M133" i="1"/>
  <c r="G142" i="1"/>
  <c r="V150" i="1"/>
  <c r="T144" i="1"/>
  <c r="P149" i="1"/>
  <c r="Q130" i="1"/>
  <c r="I138" i="1"/>
  <c r="V169" i="1"/>
  <c r="V134" i="1"/>
  <c r="M150" i="1"/>
  <c r="D127" i="1"/>
  <c r="T135" i="1"/>
  <c r="N154" i="1"/>
  <c r="B151" i="1"/>
  <c r="I183" i="1"/>
  <c r="W173" i="1"/>
  <c r="O178" i="1"/>
  <c r="R148" i="1"/>
  <c r="E175" i="1"/>
  <c r="Y163" i="1"/>
  <c r="U168" i="1"/>
  <c r="Y150" i="1"/>
  <c r="G175" i="1"/>
  <c r="Q150" i="1"/>
  <c r="H167" i="1"/>
  <c r="D158" i="1"/>
  <c r="A144" i="1"/>
  <c r="L165" i="1"/>
  <c r="I157" i="1"/>
  <c r="B195" i="1"/>
  <c r="Y146" i="1"/>
  <c r="P174" i="1"/>
  <c r="O156" i="1"/>
  <c r="J190" i="1"/>
  <c r="J193" i="1"/>
  <c r="B178" i="1"/>
  <c r="T189" i="1"/>
  <c r="P163" i="1"/>
  <c r="P187" i="1"/>
  <c r="V182" i="1"/>
  <c r="U177" i="1"/>
  <c r="J163" i="1"/>
  <c r="I176" i="1"/>
  <c r="L213" i="1"/>
  <c r="N170" i="1"/>
  <c r="B197" i="1"/>
  <c r="N161" i="1"/>
  <c r="G182" i="1"/>
  <c r="Z159" i="1"/>
  <c r="L175" i="1"/>
  <c r="N174" i="1"/>
  <c r="Z210" i="1"/>
  <c r="J188" i="1"/>
  <c r="M185" i="1"/>
  <c r="F206" i="1"/>
  <c r="R187" i="1"/>
  <c r="A183" i="1"/>
  <c r="AA201" i="1"/>
  <c r="F197" i="1"/>
  <c r="O184" i="1"/>
  <c r="M214" i="1"/>
  <c r="W183" i="1"/>
  <c r="N214" i="1"/>
  <c r="Z184" i="1"/>
  <c r="N209" i="1"/>
  <c r="O211" i="1"/>
  <c r="T193" i="1"/>
  <c r="H209" i="1"/>
  <c r="X202" i="1"/>
  <c r="H199" i="1"/>
  <c r="E212" i="1"/>
  <c r="J195" i="1"/>
  <c r="D206" i="1"/>
  <c r="U197" i="1"/>
  <c r="J201" i="1"/>
  <c r="B213" i="1"/>
  <c r="Q209" i="1"/>
  <c r="Y204" i="1"/>
  <c r="Q212" i="1"/>
  <c r="K107" i="1"/>
  <c r="U108" i="1"/>
  <c r="D123" i="1"/>
  <c r="L132" i="1"/>
  <c r="C103" i="1"/>
  <c r="A114" i="1"/>
  <c r="C97" i="1"/>
  <c r="X105" i="1"/>
  <c r="J119" i="1"/>
  <c r="L98" i="1"/>
  <c r="O107" i="1"/>
  <c r="Q118" i="1"/>
  <c r="R118" i="1"/>
  <c r="W96" i="1"/>
  <c r="Z105" i="1"/>
  <c r="U118" i="1"/>
  <c r="Y95" i="1"/>
  <c r="AA105" i="1"/>
  <c r="O121" i="1"/>
  <c r="N98" i="1"/>
  <c r="C108" i="1"/>
  <c r="T124" i="1"/>
  <c r="AA86" i="1"/>
  <c r="T91" i="1"/>
  <c r="E98" i="1"/>
  <c r="S107" i="1"/>
  <c r="Q121" i="1"/>
  <c r="O97" i="1"/>
  <c r="T107" i="1"/>
  <c r="O137" i="1"/>
  <c r="M91" i="1"/>
  <c r="G98" i="1"/>
  <c r="P109" i="1"/>
  <c r="V122" i="1"/>
  <c r="V109" i="1"/>
  <c r="X139" i="1"/>
  <c r="Z123" i="1"/>
  <c r="W133" i="1"/>
  <c r="AA110" i="1"/>
  <c r="U145" i="1"/>
  <c r="N118" i="1"/>
  <c r="W132" i="1"/>
  <c r="D118" i="1"/>
  <c r="Y126" i="1"/>
  <c r="H130" i="1"/>
  <c r="K110" i="1"/>
  <c r="O122" i="1"/>
  <c r="R147" i="1"/>
  <c r="N127" i="1"/>
  <c r="Q108" i="1"/>
  <c r="P140" i="1"/>
  <c r="Y100" i="1"/>
  <c r="I116" i="1"/>
  <c r="B132" i="1"/>
  <c r="P113" i="1"/>
  <c r="X121" i="1"/>
  <c r="P137" i="1"/>
  <c r="F157" i="1"/>
  <c r="Z134" i="1"/>
  <c r="H156" i="1"/>
  <c r="F159" i="1"/>
  <c r="W153" i="1"/>
  <c r="R159" i="1"/>
  <c r="C132" i="1"/>
  <c r="K142" i="1"/>
  <c r="J144" i="1"/>
  <c r="H136" i="1"/>
  <c r="J162" i="1"/>
  <c r="C130" i="1"/>
  <c r="Y136" i="1"/>
  <c r="W197" i="1"/>
  <c r="Y161" i="1"/>
  <c r="V153" i="1"/>
  <c r="B175" i="1"/>
  <c r="R140" i="1"/>
  <c r="E151" i="1"/>
  <c r="O152" i="1"/>
  <c r="Q170" i="1"/>
  <c r="F173" i="1"/>
  <c r="P153" i="1"/>
  <c r="A141" i="1"/>
  <c r="P155" i="1"/>
  <c r="P176" i="1"/>
  <c r="T161" i="1"/>
  <c r="G146" i="1"/>
  <c r="U170" i="1"/>
  <c r="U161" i="1"/>
  <c r="Y139" i="1"/>
  <c r="K150" i="1"/>
  <c r="H208" i="1"/>
  <c r="M160" i="1"/>
  <c r="B174" i="1"/>
  <c r="R186" i="1"/>
  <c r="V186" i="1"/>
  <c r="X197" i="1"/>
  <c r="O169" i="1"/>
  <c r="O212" i="1"/>
  <c r="E189" i="1"/>
  <c r="H186" i="1"/>
  <c r="F166" i="1"/>
  <c r="H179" i="1"/>
  <c r="R158" i="1"/>
  <c r="N173" i="1"/>
  <c r="W151" i="1"/>
  <c r="F167" i="1"/>
  <c r="F187" i="1"/>
  <c r="V162" i="1"/>
  <c r="U185" i="1"/>
  <c r="L177" i="1"/>
  <c r="W199" i="1"/>
  <c r="H196" i="1"/>
  <c r="K188" i="1"/>
  <c r="G173" i="1"/>
  <c r="A195" i="1"/>
  <c r="Z185" i="1"/>
  <c r="S182" i="1"/>
  <c r="T206" i="1"/>
  <c r="J186" i="1"/>
  <c r="U206" i="1"/>
  <c r="P188" i="1"/>
  <c r="V175" i="1"/>
  <c r="S189" i="1"/>
  <c r="S200" i="1"/>
  <c r="O213" i="1"/>
  <c r="J200" i="1"/>
  <c r="R212" i="1"/>
  <c r="N190" i="1"/>
  <c r="R201" i="1"/>
  <c r="C193" i="1"/>
  <c r="T197" i="1"/>
  <c r="Y208" i="1"/>
  <c r="P206" i="1"/>
  <c r="T204" i="1"/>
  <c r="O214" i="1"/>
  <c r="H212" i="1"/>
  <c r="AA206" i="1"/>
  <c r="C214" i="1"/>
  <c r="F109" i="1"/>
  <c r="F124" i="1"/>
  <c r="J136" i="1"/>
  <c r="V103" i="1"/>
  <c r="S114" i="1"/>
  <c r="T97" i="1"/>
  <c r="C107" i="1"/>
  <c r="D120" i="1"/>
  <c r="E99" i="1"/>
  <c r="AA107" i="1"/>
  <c r="L119" i="1"/>
  <c r="M119" i="1"/>
  <c r="M97" i="1"/>
  <c r="J106" i="1"/>
  <c r="O119" i="1"/>
  <c r="O96" i="1"/>
  <c r="K106" i="1"/>
  <c r="N122" i="1"/>
  <c r="Y98" i="1"/>
  <c r="N108" i="1"/>
  <c r="U125" i="1"/>
  <c r="H87" i="1"/>
  <c r="A92" i="1"/>
  <c r="P98" i="1"/>
  <c r="N109" i="1"/>
  <c r="T122" i="1"/>
  <c r="F98" i="1"/>
  <c r="D108" i="1"/>
  <c r="G144" i="1"/>
  <c r="U91" i="1"/>
  <c r="Q98" i="1"/>
  <c r="C110" i="1"/>
  <c r="Y123" i="1"/>
  <c r="E110" i="1"/>
  <c r="U140" i="1"/>
  <c r="J124" i="1"/>
  <c r="L134" i="1"/>
  <c r="J111" i="1"/>
  <c r="C147" i="1"/>
  <c r="H119" i="1"/>
  <c r="K133" i="1"/>
  <c r="O118" i="1"/>
  <c r="W127" i="1"/>
  <c r="Y132" i="1"/>
  <c r="U110" i="1"/>
  <c r="T123" i="1"/>
  <c r="X150" i="1"/>
  <c r="AA127" i="1"/>
  <c r="J109" i="1"/>
  <c r="L141" i="1"/>
  <c r="H103" i="1"/>
  <c r="N117" i="1"/>
  <c r="S133" i="1"/>
  <c r="AA113" i="1"/>
  <c r="S122" i="1"/>
  <c r="H138" i="1"/>
  <c r="T158" i="1"/>
  <c r="O135" i="1"/>
  <c r="Q157" i="1"/>
  <c r="H135" i="1"/>
  <c r="X157" i="1"/>
  <c r="W163" i="1"/>
  <c r="K132" i="1"/>
  <c r="I144" i="1"/>
  <c r="W144" i="1"/>
  <c r="P136" i="1"/>
  <c r="I170" i="1"/>
  <c r="K130" i="1"/>
  <c r="N137" i="1"/>
  <c r="Q142" i="1"/>
  <c r="W162" i="1"/>
  <c r="K155" i="1"/>
  <c r="M178" i="1"/>
  <c r="Z140" i="1"/>
  <c r="A155" i="1"/>
  <c r="F153" i="1"/>
  <c r="E174" i="1"/>
  <c r="F174" i="1"/>
  <c r="S154" i="1"/>
  <c r="I141" i="1"/>
  <c r="AA155" i="1"/>
  <c r="M204" i="1"/>
  <c r="R162" i="1"/>
  <c r="X146" i="1"/>
  <c r="O174" i="1"/>
  <c r="Q163" i="1"/>
  <c r="F140" i="1"/>
  <c r="V157" i="1"/>
  <c r="G147" i="1"/>
  <c r="Z160" i="1"/>
  <c r="N175" i="1"/>
  <c r="J187" i="1"/>
  <c r="O187" i="1"/>
  <c r="V208" i="1"/>
  <c r="T170" i="1"/>
  <c r="U180" i="1"/>
  <c r="X192" i="1"/>
  <c r="M188" i="1"/>
  <c r="N167" i="1"/>
  <c r="Y180" i="1"/>
  <c r="H159" i="1"/>
  <c r="Z173" i="1"/>
  <c r="L152" i="1"/>
  <c r="P168" i="1"/>
  <c r="Y187" i="1"/>
  <c r="B164" i="1"/>
  <c r="M186" i="1"/>
  <c r="K178" i="1"/>
  <c r="P201" i="1"/>
  <c r="P197" i="1"/>
  <c r="C189" i="1"/>
  <c r="Q175" i="1"/>
  <c r="K198" i="1"/>
  <c r="I186" i="1"/>
  <c r="U183" i="1"/>
  <c r="M210" i="1"/>
  <c r="B187" i="1"/>
  <c r="F209" i="1"/>
  <c r="Z188" i="1"/>
  <c r="D176" i="1"/>
  <c r="B191" i="1"/>
  <c r="C201" i="1"/>
  <c r="A214" i="1"/>
  <c r="R203" i="1"/>
  <c r="Q213" i="1"/>
  <c r="G191" i="1"/>
  <c r="U203" i="1"/>
  <c r="V193" i="1"/>
  <c r="D198" i="1"/>
  <c r="X209" i="1"/>
  <c r="Z208" i="1"/>
  <c r="G205" i="1"/>
  <c r="P204" i="1"/>
  <c r="P212" i="1"/>
  <c r="H207" i="1"/>
  <c r="AA214" i="1"/>
  <c r="H143" i="1"/>
  <c r="T119" i="1"/>
  <c r="N126" i="1"/>
  <c r="P144" i="1"/>
  <c r="E141" i="1"/>
  <c r="H112" i="1"/>
  <c r="U121" i="1"/>
  <c r="B136" i="1"/>
  <c r="V121" i="1"/>
  <c r="K129" i="1"/>
  <c r="S165" i="1"/>
  <c r="C145" i="1"/>
  <c r="Y94" i="1"/>
  <c r="M106" i="1"/>
  <c r="O115" i="1"/>
  <c r="A125" i="1"/>
  <c r="R142" i="1"/>
  <c r="E115" i="1"/>
  <c r="N121" i="1"/>
  <c r="C128" i="1"/>
  <c r="AA160" i="1"/>
  <c r="A177" i="1"/>
  <c r="R134" i="1"/>
  <c r="B141" i="1"/>
  <c r="R143" i="1"/>
  <c r="E136" i="1"/>
  <c r="J148" i="1"/>
  <c r="W147" i="1"/>
  <c r="R127" i="1"/>
  <c r="X133" i="1"/>
  <c r="P141" i="1"/>
  <c r="AA166" i="1"/>
  <c r="O155" i="1"/>
  <c r="B138" i="1"/>
  <c r="K158" i="1"/>
  <c r="J170" i="1"/>
  <c r="U132" i="1"/>
  <c r="H141" i="1"/>
  <c r="A176" i="1"/>
  <c r="L150" i="1"/>
  <c r="A166" i="1"/>
  <c r="U158" i="1"/>
  <c r="V183" i="1"/>
  <c r="G177" i="1"/>
  <c r="A143" i="1"/>
  <c r="O162" i="1"/>
  <c r="F152" i="1"/>
  <c r="AA162" i="1"/>
  <c r="V201" i="1"/>
  <c r="B182" i="1"/>
  <c r="G153" i="1"/>
  <c r="G174" i="1"/>
  <c r="AA143" i="1"/>
  <c r="G157" i="1"/>
  <c r="L171" i="1"/>
  <c r="H157" i="1"/>
  <c r="Q176" i="1"/>
  <c r="U148" i="1"/>
  <c r="F170" i="1"/>
  <c r="Y156" i="1"/>
  <c r="N171" i="1"/>
  <c r="C141" i="1"/>
  <c r="U149" i="1"/>
  <c r="O171" i="1"/>
  <c r="J152" i="1"/>
  <c r="R163" i="1"/>
  <c r="T172" i="1"/>
  <c r="B188" i="1"/>
  <c r="N211" i="1"/>
  <c r="P191" i="1"/>
  <c r="J196" i="1"/>
  <c r="Z162" i="1"/>
  <c r="C180" i="1"/>
  <c r="T182" i="1"/>
  <c r="T187" i="1"/>
  <c r="H176" i="1"/>
  <c r="K213" i="1"/>
  <c r="H169" i="1"/>
  <c r="U178" i="1"/>
  <c r="L206" i="1"/>
  <c r="A164" i="1"/>
  <c r="I177" i="1"/>
  <c r="O151" i="1"/>
  <c r="X160" i="1"/>
  <c r="C173" i="1"/>
  <c r="H194" i="1"/>
  <c r="M162" i="1"/>
  <c r="Y174" i="1"/>
  <c r="L201" i="1"/>
  <c r="Q183" i="1"/>
  <c r="H198" i="1"/>
  <c r="AA187" i="1"/>
  <c r="A211" i="1"/>
  <c r="T191" i="1"/>
  <c r="Y172" i="1"/>
  <c r="Z186" i="1"/>
  <c r="S174" i="1"/>
  <c r="D188" i="1"/>
  <c r="Z181" i="1"/>
  <c r="E195" i="1"/>
  <c r="U176" i="1"/>
  <c r="AA189" i="1"/>
  <c r="L205" i="1"/>
  <c r="M183" i="1"/>
  <c r="Z195" i="1"/>
  <c r="N177" i="1"/>
  <c r="X187" i="1"/>
  <c r="F208" i="1"/>
  <c r="I206" i="1"/>
  <c r="I202" i="1"/>
  <c r="E199" i="1"/>
  <c r="W208" i="1"/>
  <c r="U193" i="1"/>
  <c r="S192" i="1"/>
  <c r="F201" i="1"/>
  <c r="U211" i="1"/>
  <c r="I203" i="1"/>
  <c r="I199" i="1"/>
  <c r="AA207" i="1"/>
  <c r="G194" i="1"/>
  <c r="V197" i="1"/>
  <c r="Q206" i="1"/>
  <c r="G214" i="1"/>
  <c r="I209" i="1"/>
  <c r="O202" i="1"/>
  <c r="E208" i="1"/>
  <c r="V213" i="1"/>
  <c r="E114" i="1"/>
  <c r="N120" i="1"/>
  <c r="K127" i="1"/>
  <c r="X148" i="1"/>
  <c r="O143" i="1"/>
  <c r="M113" i="1"/>
  <c r="Z122" i="1"/>
  <c r="K137" i="1"/>
  <c r="P122" i="1"/>
  <c r="L131" i="1"/>
  <c r="AA108" i="1"/>
  <c r="Y147" i="1"/>
  <c r="N95" i="1"/>
  <c r="F107" i="1"/>
  <c r="T116" i="1"/>
  <c r="R126" i="1"/>
  <c r="Q149" i="1"/>
  <c r="Z115" i="1"/>
  <c r="H122" i="1"/>
  <c r="A129" i="1"/>
  <c r="T186" i="1"/>
  <c r="N130" i="1"/>
  <c r="G135" i="1"/>
  <c r="S142" i="1"/>
  <c r="S146" i="1"/>
  <c r="U136" i="1"/>
  <c r="C155" i="1"/>
  <c r="F150" i="1"/>
  <c r="W128" i="1"/>
  <c r="M134" i="1"/>
  <c r="W143" i="1"/>
  <c r="X186" i="1"/>
  <c r="W169" i="1"/>
  <c r="T139" i="1"/>
  <c r="T164" i="1"/>
  <c r="L127" i="1"/>
  <c r="J133" i="1"/>
  <c r="M144" i="1"/>
  <c r="I142" i="1"/>
  <c r="C154" i="1"/>
  <c r="Z167" i="1"/>
  <c r="O161" i="1"/>
  <c r="E176" i="1"/>
  <c r="U181" i="1"/>
  <c r="Y143" i="1"/>
  <c r="V164" i="1"/>
  <c r="X152" i="1"/>
  <c r="U165" i="1"/>
  <c r="V159" i="1"/>
  <c r="Z201" i="1"/>
  <c r="I154" i="1"/>
  <c r="S178" i="1"/>
  <c r="G145" i="1"/>
  <c r="Y158" i="1"/>
  <c r="AA179" i="1"/>
  <c r="O158" i="1"/>
  <c r="D180" i="1"/>
  <c r="J150" i="1"/>
  <c r="K173" i="1"/>
  <c r="E158" i="1"/>
  <c r="L173" i="1"/>
  <c r="S141" i="1"/>
  <c r="A151" i="1"/>
  <c r="S175" i="1"/>
  <c r="B153" i="1"/>
  <c r="L168" i="1"/>
  <c r="AA174" i="1"/>
  <c r="K194" i="1"/>
  <c r="Y171" i="1"/>
  <c r="T194" i="1"/>
  <c r="H205" i="1"/>
  <c r="E165" i="1"/>
  <c r="J181" i="1"/>
  <c r="N185" i="1"/>
  <c r="Y189" i="1"/>
  <c r="T178" i="1"/>
  <c r="P159" i="1"/>
  <c r="B170" i="1"/>
  <c r="H180" i="1"/>
  <c r="Y153" i="1"/>
  <c r="O166" i="1"/>
  <c r="V178" i="1"/>
  <c r="D152" i="1"/>
  <c r="U162" i="1"/>
  <c r="J177" i="1"/>
  <c r="B201" i="1"/>
  <c r="L163" i="1"/>
  <c r="Y175" i="1"/>
  <c r="E207" i="1"/>
  <c r="B185" i="1"/>
  <c r="R200" i="1"/>
  <c r="T188" i="1"/>
  <c r="T180" i="1"/>
  <c r="AA194" i="1"/>
  <c r="H175" i="1"/>
  <c r="U188" i="1"/>
  <c r="K177" i="1"/>
  <c r="K191" i="1"/>
  <c r="B183" i="1"/>
  <c r="Y197" i="1"/>
  <c r="D179" i="1"/>
  <c r="L191" i="1"/>
  <c r="C208" i="1"/>
  <c r="F184" i="1"/>
  <c r="L197" i="1"/>
  <c r="N178" i="1"/>
  <c r="P190" i="1"/>
  <c r="R210" i="1"/>
  <c r="I207" i="1"/>
  <c r="B204" i="1"/>
  <c r="V202" i="1"/>
  <c r="U209" i="1"/>
  <c r="S195" i="1"/>
  <c r="D194" i="1"/>
  <c r="A202" i="1"/>
  <c r="S212" i="1"/>
  <c r="C205" i="1"/>
  <c r="C200" i="1"/>
  <c r="L209" i="1"/>
  <c r="Z198" i="1"/>
  <c r="O198" i="1"/>
  <c r="Q207" i="1"/>
  <c r="Y214" i="1"/>
  <c r="N210" i="1"/>
  <c r="D203" i="1"/>
  <c r="U208" i="1"/>
  <c r="K214" i="1"/>
  <c r="AA114" i="1"/>
  <c r="H121" i="1"/>
  <c r="J128" i="1"/>
  <c r="I152" i="1"/>
  <c r="AA148" i="1"/>
  <c r="R114" i="1"/>
  <c r="D124" i="1"/>
  <c r="K140" i="1"/>
  <c r="J123" i="1"/>
  <c r="N132" i="1"/>
  <c r="B110" i="1"/>
  <c r="F156" i="1"/>
  <c r="C96" i="1"/>
  <c r="H108" i="1"/>
  <c r="Y117" i="1"/>
  <c r="Z129" i="1"/>
  <c r="R160" i="1"/>
  <c r="U116" i="1"/>
  <c r="B123" i="1"/>
  <c r="AA129" i="1"/>
  <c r="C142" i="1"/>
  <c r="C131" i="1"/>
  <c r="W135" i="1"/>
  <c r="D146" i="1"/>
  <c r="I148" i="1"/>
  <c r="J137" i="1"/>
  <c r="L161" i="1"/>
  <c r="AA152" i="1"/>
  <c r="L129" i="1"/>
  <c r="B135" i="1"/>
  <c r="J145" i="1"/>
  <c r="AA138" i="1"/>
  <c r="Q133" i="1"/>
  <c r="M140" i="1"/>
  <c r="J191" i="1"/>
  <c r="I128" i="1"/>
  <c r="O134" i="1"/>
  <c r="AA145" i="1"/>
  <c r="Y142" i="1"/>
  <c r="E156" i="1"/>
  <c r="U172" i="1"/>
  <c r="I163" i="1"/>
  <c r="M187" i="1"/>
  <c r="J192" i="1"/>
  <c r="E145" i="1"/>
  <c r="T165" i="1"/>
  <c r="O153" i="1"/>
  <c r="D167" i="1"/>
  <c r="P162" i="1"/>
  <c r="E146" i="1"/>
  <c r="Z155" i="1"/>
  <c r="E185" i="1"/>
  <c r="W146" i="1"/>
  <c r="O163" i="1"/>
  <c r="B149" i="1"/>
  <c r="L159" i="1"/>
  <c r="B189" i="1"/>
  <c r="A154" i="1"/>
  <c r="P175" i="1"/>
  <c r="B159" i="1"/>
  <c r="S176" i="1"/>
  <c r="P142" i="1"/>
  <c r="N159" i="1"/>
  <c r="A178" i="1"/>
  <c r="T153" i="1"/>
  <c r="H170" i="1"/>
  <c r="Z176" i="1"/>
  <c r="F199" i="1"/>
  <c r="H173" i="1"/>
  <c r="V199" i="1"/>
  <c r="C212" i="1"/>
  <c r="L166" i="1"/>
  <c r="G183" i="1"/>
  <c r="S187" i="1"/>
  <c r="D195" i="1"/>
  <c r="N181" i="1"/>
  <c r="W160" i="1"/>
  <c r="X170" i="1"/>
  <c r="W182" i="1"/>
  <c r="L156" i="1"/>
  <c r="X167" i="1"/>
  <c r="I180" i="1"/>
  <c r="T152" i="1"/>
  <c r="T163" i="1"/>
  <c r="J178" i="1"/>
  <c r="D207" i="1"/>
  <c r="S164" i="1"/>
  <c r="Y178" i="1"/>
  <c r="S172" i="1"/>
  <c r="G187" i="1"/>
  <c r="Q202" i="1"/>
  <c r="T190" i="1"/>
  <c r="R183" i="1"/>
  <c r="I196" i="1"/>
  <c r="R177" i="1"/>
  <c r="X189" i="1"/>
  <c r="U179" i="1"/>
  <c r="M192" i="1"/>
  <c r="D184" i="1"/>
  <c r="G200" i="1"/>
  <c r="X180" i="1"/>
  <c r="X195" i="1"/>
  <c r="P210" i="1"/>
  <c r="H185" i="1"/>
  <c r="K200" i="1"/>
  <c r="F180" i="1"/>
  <c r="N191" i="1"/>
  <c r="Q214" i="1"/>
  <c r="G208" i="1"/>
  <c r="U207" i="1"/>
  <c r="C204" i="1"/>
  <c r="S210" i="1"/>
  <c r="B198" i="1"/>
  <c r="H195" i="1"/>
  <c r="R204" i="1"/>
  <c r="F214" i="1"/>
  <c r="W209" i="1"/>
  <c r="H201" i="1"/>
  <c r="H211" i="1"/>
  <c r="I201" i="1"/>
  <c r="J199" i="1"/>
  <c r="O208" i="1"/>
  <c r="X204" i="1"/>
  <c r="C211" i="1"/>
  <c r="T203" i="1"/>
  <c r="J209" i="1"/>
  <c r="J115" i="1"/>
  <c r="S121" i="1"/>
  <c r="V128" i="1"/>
  <c r="Z154" i="1"/>
  <c r="S150" i="1"/>
  <c r="L115" i="1"/>
  <c r="Y124" i="1"/>
  <c r="J141" i="1"/>
  <c r="U123" i="1"/>
  <c r="A133" i="1"/>
  <c r="V110" i="1"/>
  <c r="N166" i="1"/>
  <c r="K96" i="1"/>
  <c r="A109" i="1"/>
  <c r="S118" i="1"/>
  <c r="M130" i="1"/>
  <c r="T183" i="1"/>
  <c r="D117" i="1"/>
  <c r="M123" i="1"/>
  <c r="Q132" i="1"/>
  <c r="Z143" i="1"/>
  <c r="K131" i="1"/>
  <c r="D136" i="1"/>
  <c r="E147" i="1"/>
  <c r="Y148" i="1"/>
  <c r="R137" i="1"/>
  <c r="V163" i="1"/>
  <c r="Z153" i="1"/>
  <c r="T129" i="1"/>
  <c r="J135" i="1"/>
  <c r="J147" i="1"/>
  <c r="F141" i="1"/>
  <c r="Y133" i="1"/>
  <c r="R141" i="1"/>
  <c r="S138" i="1"/>
  <c r="Q128" i="1"/>
  <c r="W134" i="1"/>
  <c r="AA146" i="1"/>
  <c r="F143" i="1"/>
  <c r="P156" i="1"/>
  <c r="S173" i="1"/>
  <c r="G164" i="1"/>
  <c r="S191" i="1"/>
  <c r="E139" i="1"/>
  <c r="B147" i="1"/>
  <c r="E166" i="1"/>
  <c r="X153" i="1"/>
  <c r="R167" i="1"/>
  <c r="N163" i="1"/>
  <c r="N146" i="1"/>
  <c r="C158" i="1"/>
  <c r="V188" i="1"/>
  <c r="M147" i="1"/>
  <c r="AA163" i="1"/>
  <c r="S149" i="1"/>
  <c r="X159" i="1"/>
  <c r="O142" i="1"/>
  <c r="U157" i="1"/>
  <c r="T177" i="1"/>
  <c r="AA159" i="1"/>
  <c r="A179" i="1"/>
  <c r="X142" i="1"/>
  <c r="J161" i="1"/>
  <c r="B179" i="1"/>
  <c r="L154" i="1"/>
  <c r="Z170" i="1"/>
  <c r="M177" i="1"/>
  <c r="N201" i="1"/>
  <c r="T173" i="1"/>
  <c r="R180" i="1"/>
  <c r="S155" i="1"/>
  <c r="B167" i="1"/>
  <c r="Z183" i="1"/>
  <c r="L188" i="1"/>
  <c r="T196" i="1"/>
  <c r="D182" i="1"/>
  <c r="M161" i="1"/>
  <c r="G171" i="1"/>
  <c r="N183" i="1"/>
  <c r="B157" i="1"/>
  <c r="F168" i="1"/>
  <c r="AA180" i="1"/>
  <c r="I153" i="1"/>
  <c r="Q165" i="1"/>
  <c r="X178" i="1"/>
  <c r="E210" i="1"/>
  <c r="I165" i="1"/>
  <c r="J179" i="1"/>
  <c r="D173" i="1"/>
  <c r="Z187" i="1"/>
  <c r="U204" i="1"/>
  <c r="E191" i="1"/>
  <c r="J184" i="1"/>
  <c r="A197" i="1"/>
  <c r="AA177" i="1"/>
  <c r="U190" i="1"/>
  <c r="P181" i="1"/>
  <c r="Y192" i="1"/>
  <c r="N184" i="1"/>
  <c r="D201" i="1"/>
  <c r="G181" i="1"/>
  <c r="R196" i="1"/>
  <c r="X211" i="1"/>
  <c r="K186" i="1"/>
  <c r="K201" i="1"/>
  <c r="P180" i="1"/>
  <c r="B192" i="1"/>
  <c r="C199" i="1"/>
  <c r="E209" i="1"/>
  <c r="P214" i="1"/>
  <c r="N204" i="1"/>
  <c r="F211" i="1"/>
  <c r="G199" i="1"/>
  <c r="T195" i="1"/>
  <c r="B205" i="1"/>
  <c r="U214" i="1"/>
  <c r="F212" i="1"/>
  <c r="S201" i="1"/>
  <c r="V211" i="1"/>
  <c r="Z202" i="1"/>
  <c r="T199" i="1"/>
  <c r="M209" i="1"/>
  <c r="U205" i="1"/>
  <c r="K211" i="1"/>
  <c r="A204" i="1"/>
  <c r="R209" i="1"/>
  <c r="A72" i="1"/>
  <c r="N168" i="1"/>
  <c r="C152" i="1"/>
  <c r="G138" i="1"/>
  <c r="G159" i="1"/>
  <c r="Z148" i="1"/>
  <c r="U126" i="1"/>
  <c r="N131" i="1"/>
  <c r="G136" i="1"/>
  <c r="J146" i="1"/>
  <c r="X173" i="1"/>
  <c r="E153" i="1"/>
  <c r="AA135" i="1"/>
  <c r="X144" i="1"/>
  <c r="K139" i="1"/>
  <c r="T127" i="1"/>
  <c r="M132" i="1"/>
  <c r="F137" i="1"/>
  <c r="D151" i="1"/>
  <c r="V143" i="1"/>
  <c r="T155" i="1"/>
  <c r="M166" i="1"/>
  <c r="R156" i="1"/>
  <c r="B171" i="1"/>
  <c r="A162" i="1"/>
  <c r="U199" i="1"/>
  <c r="Q143" i="1"/>
  <c r="L158" i="1"/>
  <c r="D174" i="1"/>
  <c r="M155" i="1"/>
  <c r="D168" i="1"/>
  <c r="T160" i="1"/>
  <c r="Z179" i="1"/>
  <c r="G151" i="1"/>
  <c r="G161" i="1"/>
  <c r="U202" i="1"/>
  <c r="F146" i="1"/>
  <c r="R157" i="1"/>
  <c r="H168" i="1"/>
  <c r="H152" i="1"/>
  <c r="H161" i="1"/>
  <c r="AA204" i="1"/>
  <c r="A150" i="1"/>
  <c r="I167" i="1"/>
  <c r="W205" i="1"/>
  <c r="S162" i="1"/>
  <c r="C183" i="1"/>
  <c r="AA141" i="1"/>
  <c r="L149" i="1"/>
  <c r="Y166" i="1"/>
  <c r="X147" i="1"/>
  <c r="H155" i="1"/>
  <c r="Q169" i="1"/>
  <c r="Q173" i="1"/>
  <c r="K184" i="1"/>
  <c r="K190" i="1"/>
  <c r="P177" i="1"/>
  <c r="B180" i="1"/>
  <c r="AA199" i="1"/>
  <c r="S161" i="1"/>
  <c r="V173" i="1"/>
  <c r="I188" i="1"/>
  <c r="D189" i="1"/>
  <c r="V191" i="1"/>
  <c r="W174" i="1"/>
  <c r="AA193" i="1"/>
  <c r="I164" i="1"/>
  <c r="D172" i="1"/>
  <c r="E182" i="1"/>
  <c r="B210" i="1"/>
  <c r="L162" i="1"/>
  <c r="P172" i="1"/>
  <c r="T185" i="1"/>
  <c r="A153" i="1"/>
  <c r="D162" i="1"/>
  <c r="E172" i="1"/>
  <c r="AA184" i="1"/>
  <c r="M156" i="1"/>
  <c r="Z165" i="1"/>
  <c r="K176" i="1"/>
  <c r="A199" i="1"/>
  <c r="Y177" i="1"/>
  <c r="D199" i="1"/>
  <c r="F207" i="1"/>
  <c r="G190" i="1"/>
  <c r="X213" i="1"/>
  <c r="M189" i="1"/>
  <c r="Q203" i="1"/>
  <c r="C181" i="1"/>
  <c r="H190" i="1"/>
  <c r="B177" i="1"/>
  <c r="K187" i="1"/>
  <c r="K199" i="1"/>
  <c r="L187" i="1"/>
  <c r="D202" i="1"/>
  <c r="M179" i="1"/>
  <c r="H189" i="1"/>
  <c r="Z197" i="1"/>
  <c r="L174" i="1"/>
  <c r="N187" i="1"/>
  <c r="O199" i="1"/>
  <c r="W177" i="1"/>
  <c r="S185" i="1"/>
  <c r="M197" i="1"/>
  <c r="H200" i="1"/>
  <c r="S208" i="1"/>
  <c r="P203" i="1"/>
  <c r="V196" i="1"/>
  <c r="O205" i="1"/>
  <c r="C213" i="1"/>
  <c r="L200" i="1"/>
  <c r="O194" i="1"/>
  <c r="W200" i="1"/>
  <c r="X208" i="1"/>
  <c r="E194" i="1"/>
  <c r="T213" i="1"/>
  <c r="X200" i="1"/>
  <c r="N208" i="1"/>
  <c r="K192" i="1"/>
  <c r="H213" i="1"/>
  <c r="Y200" i="1"/>
  <c r="AA208" i="1"/>
  <c r="W214" i="1"/>
  <c r="T208" i="1"/>
  <c r="M213" i="1"/>
  <c r="F205" i="1"/>
  <c r="Z209" i="1"/>
  <c r="S214" i="1"/>
  <c r="Z139" i="1"/>
  <c r="R168" i="1"/>
  <c r="I140" i="1"/>
  <c r="C169" i="1"/>
  <c r="M151" i="1"/>
  <c r="Z127" i="1"/>
  <c r="S132" i="1"/>
  <c r="L137" i="1"/>
  <c r="C149" i="1"/>
  <c r="J139" i="1"/>
  <c r="B160" i="1"/>
  <c r="E137" i="1"/>
  <c r="F149" i="1"/>
  <c r="M142" i="1"/>
  <c r="Y128" i="1"/>
  <c r="R133" i="1"/>
  <c r="K138" i="1"/>
  <c r="D157" i="1"/>
  <c r="S145" i="1"/>
  <c r="L157" i="1"/>
  <c r="R169" i="1"/>
  <c r="S159" i="1"/>
  <c r="F177" i="1"/>
  <c r="S168" i="1"/>
  <c r="B140" i="1"/>
  <c r="V145" i="1"/>
  <c r="X163" i="1"/>
  <c r="M184" i="1"/>
  <c r="J159" i="1"/>
  <c r="F171" i="1"/>
  <c r="L164" i="1"/>
  <c r="H144" i="1"/>
  <c r="P152" i="1"/>
  <c r="T166" i="1"/>
  <c r="Q141" i="1"/>
  <c r="T148" i="1"/>
  <c r="Q162" i="1"/>
  <c r="H172" i="1"/>
  <c r="R153" i="1"/>
  <c r="U167" i="1"/>
  <c r="L143" i="1"/>
  <c r="U154" i="1"/>
  <c r="M171" i="1"/>
  <c r="G155" i="1"/>
  <c r="K166" i="1"/>
  <c r="S207" i="1"/>
  <c r="E143" i="1"/>
  <c r="B154" i="1"/>
  <c r="P169" i="1"/>
  <c r="C150" i="1"/>
  <c r="Q158" i="1"/>
  <c r="N172" i="1"/>
  <c r="AA175" i="1"/>
  <c r="I190" i="1"/>
  <c r="A196" i="1"/>
  <c r="H181" i="1"/>
  <c r="F183" i="1"/>
  <c r="T154" i="1"/>
  <c r="F164" i="1"/>
  <c r="D178" i="1"/>
  <c r="V194" i="1"/>
  <c r="G198" i="1"/>
  <c r="L198" i="1"/>
  <c r="T179" i="1"/>
  <c r="M203" i="1"/>
  <c r="W166" i="1"/>
  <c r="Y173" i="1"/>
  <c r="R185" i="1"/>
  <c r="E155" i="1"/>
  <c r="R164" i="1"/>
  <c r="X174" i="1"/>
  <c r="C192" i="1"/>
  <c r="X154" i="1"/>
  <c r="J164" i="1"/>
  <c r="K175" i="1"/>
  <c r="E190" i="1"/>
  <c r="S158" i="1"/>
  <c r="Y167" i="1"/>
  <c r="A181" i="1"/>
  <c r="AA213" i="1"/>
  <c r="J182" i="1"/>
  <c r="D214" i="1"/>
  <c r="K212" i="1"/>
  <c r="V192" i="1"/>
  <c r="O182" i="1"/>
  <c r="H193" i="1"/>
  <c r="Q208" i="1"/>
  <c r="Y182" i="1"/>
  <c r="I193" i="1"/>
  <c r="M180" i="1"/>
  <c r="Z189" i="1"/>
  <c r="L210" i="1"/>
  <c r="G189" i="1"/>
  <c r="V207" i="1"/>
  <c r="Q181" i="1"/>
  <c r="N192" i="1"/>
  <c r="F202" i="1"/>
  <c r="E179" i="1"/>
  <c r="I189" i="1"/>
  <c r="S205" i="1"/>
  <c r="O179" i="1"/>
  <c r="Q188" i="1"/>
  <c r="G203" i="1"/>
  <c r="X201" i="1"/>
  <c r="Q210" i="1"/>
  <c r="D210" i="1"/>
  <c r="O201" i="1"/>
  <c r="K207" i="1"/>
  <c r="D190" i="1"/>
  <c r="D204" i="1"/>
  <c r="C196" i="1"/>
  <c r="L202" i="1"/>
  <c r="U210" i="1"/>
  <c r="X198" i="1"/>
  <c r="D196" i="1"/>
  <c r="N202" i="1"/>
  <c r="J210" i="1"/>
  <c r="K195" i="1"/>
  <c r="E196" i="1"/>
  <c r="P202" i="1"/>
  <c r="Y210" i="1"/>
  <c r="E205" i="1"/>
  <c r="Y209" i="1"/>
  <c r="R214" i="1"/>
  <c r="K206" i="1"/>
  <c r="D211" i="1"/>
  <c r="A135" i="1"/>
  <c r="M141" i="1"/>
  <c r="AA134" i="1"/>
  <c r="S140" i="1"/>
  <c r="V172" i="1"/>
  <c r="E152" i="1"/>
  <c r="G128" i="1"/>
  <c r="AA132" i="1"/>
  <c r="T137" i="1"/>
  <c r="T149" i="1"/>
  <c r="W140" i="1"/>
  <c r="AA161" i="1"/>
  <c r="M137" i="1"/>
  <c r="W149" i="1"/>
  <c r="L145" i="1"/>
  <c r="F129" i="1"/>
  <c r="Z133" i="1"/>
  <c r="B139" i="1"/>
  <c r="M158" i="1"/>
  <c r="I146" i="1"/>
  <c r="W157" i="1"/>
  <c r="AA170" i="1"/>
  <c r="D160" i="1"/>
  <c r="G178" i="1"/>
  <c r="F169" i="1"/>
  <c r="J140" i="1"/>
  <c r="L146" i="1"/>
  <c r="K164" i="1"/>
  <c r="C188" i="1"/>
  <c r="U159" i="1"/>
  <c r="E173" i="1"/>
  <c r="X164" i="1"/>
  <c r="Y144" i="1"/>
  <c r="Y152" i="1"/>
  <c r="S167" i="1"/>
  <c r="Y141" i="1"/>
  <c r="J149" i="1"/>
  <c r="D163" i="1"/>
  <c r="H174" i="1"/>
  <c r="J154" i="1"/>
  <c r="I168" i="1"/>
  <c r="T143" i="1"/>
  <c r="Q155" i="1"/>
  <c r="L172" i="1"/>
  <c r="B156" i="1"/>
  <c r="V167" i="1"/>
  <c r="T138" i="1"/>
  <c r="M143" i="1"/>
  <c r="R155" i="1"/>
  <c r="W170" i="1"/>
  <c r="T150" i="1"/>
  <c r="C159" i="1"/>
  <c r="R173" i="1"/>
  <c r="N176" i="1"/>
  <c r="H192" i="1"/>
  <c r="O197" i="1"/>
  <c r="Q184" i="1"/>
  <c r="Y183" i="1"/>
  <c r="J155" i="1"/>
  <c r="W164" i="1"/>
  <c r="C179" i="1"/>
  <c r="F198" i="1"/>
  <c r="P200" i="1"/>
  <c r="AA202" i="1"/>
  <c r="G180" i="1"/>
  <c r="H206" i="1"/>
  <c r="E167" i="1"/>
  <c r="J174" i="1"/>
  <c r="C187" i="1"/>
  <c r="V155" i="1"/>
  <c r="H165" i="1"/>
  <c r="J175" i="1"/>
  <c r="E193" i="1"/>
  <c r="N155" i="1"/>
  <c r="AA164" i="1"/>
  <c r="J176" i="1"/>
  <c r="C191" i="1"/>
  <c r="I159" i="1"/>
  <c r="G168" i="1"/>
  <c r="S181" i="1"/>
  <c r="V171" i="1"/>
  <c r="AA182" i="1"/>
  <c r="W194" i="1"/>
  <c r="P213" i="1"/>
  <c r="G193" i="1"/>
  <c r="H183" i="1"/>
  <c r="X193" i="1"/>
  <c r="A210" i="1"/>
  <c r="A184" i="1"/>
  <c r="Y193" i="1"/>
  <c r="F181" i="1"/>
  <c r="Y190" i="1"/>
  <c r="L214" i="1"/>
  <c r="Q189" i="1"/>
  <c r="D209" i="1"/>
  <c r="I182" i="1"/>
  <c r="Z192" i="1"/>
  <c r="J204" i="1"/>
  <c r="O180" i="1"/>
  <c r="B190" i="1"/>
  <c r="Y211" i="1"/>
  <c r="X179" i="1"/>
  <c r="AA188" i="1"/>
  <c r="K204" i="1"/>
  <c r="S202" i="1"/>
  <c r="B211" i="1"/>
  <c r="N212" i="1"/>
  <c r="J202" i="1"/>
  <c r="Y207" i="1"/>
  <c r="W190" i="1"/>
  <c r="AA205" i="1"/>
  <c r="M196" i="1"/>
  <c r="H203" i="1"/>
  <c r="G211" i="1"/>
  <c r="B200" i="1"/>
  <c r="O196" i="1"/>
  <c r="J203" i="1"/>
  <c r="X210" i="1"/>
  <c r="P196" i="1"/>
  <c r="Q196" i="1"/>
  <c r="W203" i="1"/>
  <c r="J211" i="1"/>
  <c r="M205" i="1"/>
  <c r="F210" i="1"/>
  <c r="Z214" i="1"/>
  <c r="S206" i="1"/>
  <c r="L211" i="1"/>
  <c r="A18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<sst xmlns="http://schemas.openxmlformats.org/spreadsheetml/2006/main" count="27" uniqueCount="27">
  <si>
    <t>指標コード</t>
  </si>
  <si>
    <t>指標名称</t>
  </si>
  <si>
    <t>現在日付</t>
  </si>
  <si>
    <t>更新時刻</t>
  </si>
  <si>
    <t>現在値</t>
  </si>
  <si>
    <t>現在値ティック</t>
  </si>
  <si>
    <t>前日比</t>
  </si>
  <si>
    <t>前日比率</t>
  </si>
  <si>
    <t>前日終値</t>
  </si>
  <si>
    <t>前日日付</t>
  </si>
  <si>
    <t>始値</t>
  </si>
  <si>
    <t>高値</t>
  </si>
  <si>
    <t>安値</t>
  </si>
  <si>
    <t>始値時刻</t>
  </si>
  <si>
    <t>高値時刻</t>
  </si>
  <si>
    <t>安値時刻</t>
  </si>
  <si>
    <t>出来高</t>
  </si>
  <si>
    <t>売買代金</t>
  </si>
  <si>
    <t>前年最高値</t>
  </si>
  <si>
    <t>前年最安値</t>
  </si>
  <si>
    <t>前年終値</t>
  </si>
  <si>
    <t>年初来高値</t>
  </si>
  <si>
    <t>年初来安値</t>
  </si>
  <si>
    <t>上場来高値</t>
  </si>
  <si>
    <t>上場来安値</t>
  </si>
  <si>
    <t>上場来高値日付</t>
  </si>
  <si>
    <t>上場来安値日付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</si>
</sst>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1"/>
      <color theme="1"/>
      <name val="Yu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38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38" fontId="0" fillId="2" borderId="0" xfId="1" applyFont="1" applyFill="1" applyAlignment="1"/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dff54f4b11dd4e0d9cb19000fb943d8c">
      <tp t="s">
        <v>日経300</v>
        <stp/>
        <stp>Market</stp>
        <stp>INDEX</stp>
        <stp>N300</stp>
        <stp>指標名称</stp>
        <tr r="B3" s="1"/>
      </tp>
      <tp t="s">
        <v>日経500</v>
        <stp/>
        <stp>Market</stp>
        <stp>INDEX</stp>
        <stp>N500</stp>
        <stp>指標名称</stp>
        <tr r="B9" s="1"/>
      </tp>
      <tp t="s">
        <v/>
        <stp/>
        <stp>Market</stp>
        <stp>INDEX</stp>
        <stp>CNH/JPY</stp>
        <stp>上場来高値日付</stp>
        <tr r="Z210" s="1"/>
      </tp>
      <tp t="s">
        <v/>
        <stp/>
        <stp>Market</stp>
        <stp>INDEX</stp>
        <stp>CNH/JPY</stp>
        <stp>上場来安値日付</stp>
        <tr r="AA210" s="1"/>
      </tp>
    </main>
    <main first="rtdsrv.dff54f4b11dd4e0d9cb19000fb943d8c">
      <tp>
        <v>0</v>
        <stp/>
        <stp>Market</stp>
        <stp>INDEX</stp>
        <stp>PLATINUMMINI.FUT02.OS</stp>
        <stp>安値</stp>
        <tr r="M123" s="1"/>
      </tp>
      <tp t="s">
        <v/>
        <stp/>
        <stp>Market</stp>
        <stp>INDEX</stp>
        <stp>CHF/JPY</stp>
        <stp>上場来高値日付</stp>
        <tr r="Z194" s="1"/>
      </tp>
      <tp t="s">
        <v/>
        <stp/>
        <stp>Market</stp>
        <stp>INDEX</stp>
        <stp>CHF/JPY</stp>
        <stp>上場来安値日付</stp>
        <tr r="AA194" s="1"/>
      </tp>
      <tp t="s">
        <v/>
        <stp/>
        <stp>Market</stp>
        <stp>INDEX</stp>
        <stp>SOYBEAN.FUT03.OS</stp>
        <stp>上場来高値日付</stp>
        <tr r="Z173" s="1"/>
      </tp>
      <tp t="s">
        <v/>
        <stp/>
        <stp>Market</stp>
        <stp>INDEX</stp>
        <stp>SOYBEAN.FUT02.OS</stp>
        <stp>上場来高値日付</stp>
        <tr r="Z172" s="1"/>
      </tp>
      <tp t="s">
        <v/>
        <stp/>
        <stp>Market</stp>
        <stp>INDEX</stp>
        <stp>SOYBEAN.FUT01.OS</stp>
        <stp>上場来高値日付</stp>
        <tr r="Z171" s="1"/>
      </tp>
      <tp t="s">
        <v/>
        <stp/>
        <stp>Market</stp>
        <stp>INDEX</stp>
        <stp>SOYBEAN.FUT06.OS</stp>
        <stp>上場来高値日付</stp>
        <tr r="Z176" s="1"/>
      </tp>
      <tp t="s">
        <v/>
        <stp/>
        <stp>Market</stp>
        <stp>INDEX</stp>
        <stp>SOYBEAN.FUT05.OS</stp>
        <stp>上場来高値日付</stp>
        <tr r="Z175" s="1"/>
      </tp>
      <tp t="s">
        <v/>
        <stp/>
        <stp>Market</stp>
        <stp>INDEX</stp>
        <stp>SOYBEAN.FUT04.OS</stp>
        <stp>上場来高値日付</stp>
        <tr r="Z174" s="1"/>
      </tp>
    </main>
    <main first="rtdsrv.dff54f4b11dd4e0d9cb19000fb943d8c">
      <tp t="s">
        <v/>
        <stp/>
        <stp>Market</stp>
        <stp>INDEX</stp>
        <stp>SOYBEAN.FUT02.OS</stp>
        <stp>上場来安値日付</stp>
        <tr r="AA172" s="1"/>
      </tp>
      <tp t="s">
        <v/>
        <stp/>
        <stp>Market</stp>
        <stp>INDEX</stp>
        <stp>SOYBEAN.FUT03.OS</stp>
        <stp>上場来安値日付</stp>
        <tr r="AA173" s="1"/>
      </tp>
      <tp t="s">
        <v/>
        <stp/>
        <stp>Market</stp>
        <stp>INDEX</stp>
        <stp>SOYBEAN.FUT01.OS</stp>
        <stp>上場来安値日付</stp>
        <tr r="AA171" s="1"/>
      </tp>
      <tp t="s">
        <v/>
        <stp/>
        <stp>Market</stp>
        <stp>INDEX</stp>
        <stp>SOYBEAN.FUT06.OS</stp>
        <stp>上場来安値日付</stp>
        <tr r="AA176" s="1"/>
      </tp>
      <tp t="s">
        <v/>
        <stp/>
        <stp>Market</stp>
        <stp>INDEX</stp>
        <stp>SOYBEAN.FUT04.OS</stp>
        <stp>上場来安値日付</stp>
        <tr r="AA174" s="1"/>
      </tp>
      <tp t="s">
        <v/>
        <stp/>
        <stp>Market</stp>
        <stp>INDEX</stp>
        <stp>SOYBEAN.FUT05.OS</stp>
        <stp>上場来安値日付</stp>
        <tr r="AA175" s="1"/>
      </tp>
    </main>
    <main first="rtdsrv.dff54f4b11dd4e0d9cb19000fb943d8c">
      <tp>
        <v>0</v>
        <stp/>
        <stp>Market</stp>
        <stp>INDEX</stp>
        <stp>CORN.FUT06.OS</stp>
        <stp>安値</stp>
        <tr r="M182" s="1"/>
      </tp>
    </main>
    <main first="rtdsrv.dff54f4b11dd4e0d9cb19000fb943d8c">
      <tp t="s">
        <v/>
        <stp/>
        <stp>Market</stp>
        <stp>INDEX</stp>
        <stp>CAD/JPY</stp>
        <stp>上場来高値日付</stp>
        <tr r="Z193" s="1"/>
      </tp>
      <tp t="s">
        <v/>
        <stp/>
        <stp>Market</stp>
        <stp>INDEX</stp>
        <stp>CAD/JPY</stp>
        <stp>上場来安値日付</stp>
        <tr r="AA193" s="1"/>
      </tp>
      <tp>
        <v>26927</v>
        <stp/>
        <stp>Market</stp>
        <stp>INDEX</stp>
        <stp>GOLD.FUT06.OS</stp>
        <stp>安値</stp>
        <tr r="M108" s="1"/>
      </tp>
      <tp>
        <v>2478.08</v>
        <stp/>
        <stp>Market</stp>
        <stp>INDEX</stp>
        <stp>HXC</stp>
        <stp>上場来安値</stp>
        <tr r="Y55" s="1"/>
      </tp>
      <tp>
        <v>3.34</v>
        <stp/>
        <stp>Market</stp>
        <stp>INDEX</stp>
        <stp>INSR</stp>
        <stp>前日比</stp>
        <tr r="G41" s="1"/>
      </tp>
      <tp t="s">
        <v>2026/02/27</v>
        <stp/>
        <stp>Market</stp>
        <stp>INDEX</stp>
        <stp>N500</stp>
        <stp>現在日付</stp>
        <tr r="C9" s="1"/>
      </tp>
      <tp t="s">
        <v>2026/02/27</v>
        <stp/>
        <stp>Market</stp>
        <stp>INDEX</stp>
        <stp>N300</stp>
        <stp>現在日付</stp>
        <tr r="C3" s="1"/>
      </tp>
      <tp>
        <v>0</v>
        <stp/>
        <stp>Market</stp>
        <stp>INDEX</stp>
        <stp>TSR20.FUT10.OS</stp>
        <stp>安値</stp>
        <tr r="M162" s="1"/>
      </tp>
      <tp>
        <v>7332.47</v>
        <stp/>
        <stp>Market</stp>
        <stp>INDEX</stp>
        <stp>HXC</stp>
        <stp>年初来安値</stp>
        <tr r="W55" s="1"/>
      </tp>
    </main>
    <main first="rtdsrv.dff54f4b11dd4e0d9cb19000fb943d8c">
      <tp>
        <v>112.19</v>
        <stp/>
        <stp>Market</stp>
        <stp>INDEX</stp>
        <stp>INDS</stp>
        <stp>前日比</stp>
        <tr r="G39" s="1"/>
      </tp>
    </main>
    <main first="rtdsrv.dff54f4b11dd4e0d9cb19000fb943d8c">
      <tp>
        <v>0</v>
        <stp/>
        <stp>Market</stp>
        <stp>INDEX</stp>
        <stp>TOPX.FUT04.OS</stp>
        <stp>始値</stp>
        <tr r="K89" s="1"/>
      </tp>
    </main>
    <main first="rtdsrv.dff54f4b11dd4e0d9cb19000fb943d8c">
      <tp>
        <v>0</v>
        <stp/>
        <stp>Market</stp>
        <stp>INDEX</stp>
        <stp>CORN.FUT04.OS</stp>
        <stp>始値</stp>
        <tr r="K180" s="1"/>
      </tp>
    </main>
    <main first="rtdsrv.dff54f4b11dd4e0d9cb19000fb943d8c">
      <tp>
        <v>26505</v>
        <stp/>
        <stp>Market</stp>
        <stp>INDEX</stp>
        <stp>GOLD.FUT04.OS</stp>
        <stp>始値</stp>
        <tr r="K106" s="1"/>
      </tp>
    </main>
    <main first="rtdsrv.dff54f4b11dd4e0d9cb19000fb943d8c">
      <tp>
        <v>0</v>
        <stp/>
        <stp>Market</stp>
        <stp>INDEX</stp>
        <stp>TSR20.FUT02.OS</stp>
        <stp>始値</stp>
        <tr r="K154" s="1"/>
      </tp>
      <tp>
        <v>0</v>
        <stp/>
        <stp>Market</stp>
        <stp>INDEX</stp>
        <stp>TSR20.FUT12.OS</stp>
        <stp>始値</stp>
        <tr r="K164" s="1"/>
      </tp>
      <tp t="s">
        <v>↑</v>
        <stp/>
        <stp>Market</stp>
        <stp>INDEX</stp>
        <stp>TSGMC</stp>
        <stp>現在値ティック</stp>
        <tr r="F12" s="1"/>
      </tp>
    </main>
    <main first="rtdsrv.dff54f4b11dd4e0d9cb19000fb943d8c">
      <tp>
        <v>0</v>
        <stp/>
        <stp>Market</stp>
        <stp>INDEX</stp>
        <stp>PLATINUMMINI.FUT03.OS</stp>
        <stp>安値</stp>
        <tr r="M124" s="1"/>
      </tp>
    </main>
    <main first="rtdsrv.dff54f4b11dd4e0d9cb19000fb943d8c">
      <tp>
        <v>58.34</v>
        <stp/>
        <stp>Market</stp>
        <stp>INDEX</stp>
        <stp>TOPX</stp>
        <stp>前日比</stp>
        <tr r="G4" s="1"/>
      </tp>
      <tp>
        <v>0</v>
        <stp/>
        <stp>Market</stp>
        <stp>INDEX</stp>
        <stp>TSR20.FUT01.OS</stp>
        <stp>安値</stp>
        <tr r="M153" s="1"/>
      </tp>
      <tp>
        <v>0</v>
        <stp/>
        <stp>Market</stp>
        <stp>INDEX</stp>
        <stp>TSR20.FUT11.OS</stp>
        <stp>安値</stp>
        <tr r="M163" s="1"/>
      </tp>
    </main>
    <main first="rtdsrv.dff54f4b11dd4e0d9cb19000fb943d8c">
      <tp>
        <v>0</v>
        <stp/>
        <stp>Market</stp>
        <stp>INDEX</stp>
        <stp>VOLQ</stp>
        <stp>前日比</stp>
        <tr r="G64" s="1"/>
      </tp>
    </main>
    <main first="rtdsrv.dff54f4b11dd4e0d9cb19000fb943d8c">
      <tp>
        <v>0</v>
        <stp/>
        <stp>Market</stp>
        <stp>INDEX</stp>
        <stp>PLATINUMMINI.FUT01.OS</stp>
        <stp>始値</stp>
        <tr r="K122" s="1"/>
      </tp>
    </main>
    <main first="rtdsrv.dff54f4b11dd4e0d9cb19000fb943d8c">
      <tp>
        <v>0</v>
        <stp/>
        <stp>Market</stp>
        <stp>INDEX</stp>
        <stp>TOPX.FUT05.OS</stp>
        <stp>始値</stp>
        <tr r="K90" s="1"/>
      </tp>
    </main>
    <main first="rtdsrv.dff54f4b11dd4e0d9cb19000fb943d8c">
      <tp>
        <v>0</v>
        <stp/>
        <stp>Market</stp>
        <stp>INDEX</stp>
        <stp>CORN.FUT05.OS</stp>
        <stp>始値</stp>
        <tr r="K181" s="1"/>
      </tp>
    </main>
    <main first="rtdsrv.dff54f4b11dd4e0d9cb19000fb943d8c">
      <tp>
        <v>26796</v>
        <stp/>
        <stp>Market</stp>
        <stp>INDEX</stp>
        <stp>GOLD.FUT05.OS</stp>
        <stp>始値</stp>
        <tr r="K107" s="1"/>
      </tp>
    </main>
    <main first="rtdsrv.dff54f4b11dd4e0d9cb19000fb943d8c">
      <tp t="s">
        <v/>
        <stp/>
        <stp>Market</stp>
        <stp>INDEX</stp>
        <stp>PLATINUM.FUT03.OS</stp>
        <stp>上場来高値日付</stp>
        <tr r="Z118" s="1"/>
      </tp>
      <tp t="s">
        <v/>
        <stp/>
        <stp>Market</stp>
        <stp>INDEX</stp>
        <stp>PLATINUM.FUT02.OS</stp>
        <stp>上場来高値日付</stp>
        <tr r="Z117" s="1"/>
      </tp>
      <tp t="s">
        <v/>
        <stp/>
        <stp>Market</stp>
        <stp>INDEX</stp>
        <stp>PLATINUM.FUT01.OS</stp>
        <stp>上場来高値日付</stp>
        <tr r="Z116" s="1"/>
      </tp>
      <tp t="s">
        <v/>
        <stp/>
        <stp>Market</stp>
        <stp>INDEX</stp>
        <stp>PLATINUM.FUT06.OS</stp>
        <stp>上場来高値日付</stp>
        <tr r="Z121" s="1"/>
      </tp>
      <tp t="s">
        <v/>
        <stp/>
        <stp>Market</stp>
        <stp>INDEX</stp>
        <stp>PLATINUM.FUT05.OS</stp>
        <stp>上場来高値日付</stp>
        <tr r="Z120" s="1"/>
      </tp>
      <tp t="s">
        <v/>
        <stp/>
        <stp>Market</stp>
        <stp>INDEX</stp>
        <stp>PLATINUM.FUT04.OS</stp>
        <stp>上場来高値日付</stp>
        <tr r="Z119" s="1"/>
      </tp>
      <tp t="s">
        <v/>
        <stp/>
        <stp>Market</stp>
        <stp>INDEX</stp>
        <stp>PLATINUM.FUT02.OS</stp>
        <stp>上場来安値日付</stp>
        <tr r="AA117" s="1"/>
      </tp>
      <tp t="s">
        <v/>
        <stp/>
        <stp>Market</stp>
        <stp>INDEX</stp>
        <stp>PLATINUM.FUT03.OS</stp>
        <stp>上場来安値日付</stp>
        <tr r="AA118" s="1"/>
      </tp>
      <tp t="s">
        <v/>
        <stp/>
        <stp>Market</stp>
        <stp>INDEX</stp>
        <stp>PLATINUM.FUT01.OS</stp>
        <stp>上場来安値日付</stp>
        <tr r="AA116" s="1"/>
      </tp>
      <tp t="s">
        <v/>
        <stp/>
        <stp>Market</stp>
        <stp>INDEX</stp>
        <stp>PLATINUM.FUT06.OS</stp>
        <stp>上場来安値日付</stp>
        <tr r="AA121" s="1"/>
      </tp>
      <tp t="s">
        <v/>
        <stp/>
        <stp>Market</stp>
        <stp>INDEX</stp>
        <stp>PLATINUM.FUT04.OS</stp>
        <stp>上場来安値日付</stp>
        <tr r="AA119" s="1"/>
      </tp>
      <tp t="s">
        <v/>
        <stp/>
        <stp>Market</stp>
        <stp>INDEX</stp>
        <stp>PLATINUM.FUT05.OS</stp>
        <stp>上場来安値日付</stp>
        <tr r="AA120" s="1"/>
      </tp>
    </main>
    <main first="rtdsrv.dff54f4b11dd4e0d9cb19000fb943d8c">
      <tp>
        <v>0</v>
        <stp/>
        <stp>Market</stp>
        <stp>INDEX</stp>
        <stp>TSR20.FUT03.OS</stp>
        <stp>始値</stp>
        <tr r="K155" s="1"/>
      </tp>
    </main>
    <main first="rtdsrv.dff54f4b11dd4e0d9cb19000fb943d8c">
      <tp>
        <v>4623.7</v>
        <stp/>
        <stp>Market</stp>
        <stp>INDEX</stp>
        <stp>BANK</stp>
        <stp>安値</stp>
        <tr r="M40" s="1"/>
      </tp>
    </main>
    <main first="rtdsrv.dff54f4b11dd4e0d9cb19000fb943d8c">
      <tp t="s">
        <v>日経225</v>
        <stp/>
        <stp>Market</stp>
        <stp>INDEX</stp>
        <stp>N225</stp>
        <stp>指標名称</stp>
        <tr r="B2" s="1"/>
      </tp>
    </main>
    <main first="rtdsrv.dff54f4b11dd4e0d9cb19000fb943d8c">
      <tp>
        <v>0</v>
        <stp/>
        <stp>Market</stp>
        <stp>INDEX</stp>
        <stp>CORN.FUT04.OS</stp>
        <stp>安値</stp>
        <tr r="M180" s="1"/>
      </tp>
    </main>
    <main first="rtdsrv.dff54f4b11dd4e0d9cb19000fb943d8c">
      <tp>
        <v>0</v>
        <stp/>
        <stp>Market</stp>
        <stp>INDEX</stp>
        <stp>TOPX.FUT04.OS</stp>
        <stp>安値</stp>
        <tr r="M89" s="1"/>
      </tp>
    </main>
    <main first="rtdsrv.dff54f4b11dd4e0d9cb19000fb943d8c">
      <tp>
        <v>26473</v>
        <stp/>
        <stp>Market</stp>
        <stp>INDEX</stp>
        <stp>GOLD.FUT04.OS</stp>
        <stp>安値</stp>
        <tr r="M106" s="1"/>
      </tp>
    </main>
    <main first="rtdsrv.dff54f4b11dd4e0d9cb19000fb943d8c">
      <tp t="s">
        <v/>
        <stp/>
        <stp>Market</stp>
        <stp>INDEX</stp>
        <stp>AUD/JPY</stp>
        <stp>上場来高値日付</stp>
        <tr r="Z190" s="1"/>
      </tp>
      <tp t="s">
        <v/>
        <stp/>
        <stp>Market</stp>
        <stp>INDEX</stp>
        <stp>AUD/JPY</stp>
        <stp>上場来安値日付</stp>
        <tr r="AA190" s="1"/>
      </tp>
    </main>
    <main first="rtdsrv.dff54f4b11dd4e0d9cb19000fb943d8c">
      <tp t="s">
        <v>2026/02/27</v>
        <stp/>
        <stp>Market</stp>
        <stp>INDEX</stp>
        <stp>N225</stp>
        <stp>現在日付</stp>
        <tr r="C2" s="1"/>
      </tp>
      <tp>
        <v>0</v>
        <stp/>
        <stp>Market</stp>
        <stp>INDEX</stp>
        <stp>TSR20.FUT02.OS</stp>
        <stp>安値</stp>
        <tr r="M154" s="1"/>
      </tp>
      <tp>
        <v>0</v>
        <stp/>
        <stp>Market</stp>
        <stp>INDEX</stp>
        <stp>TSR20.FUT12.OS</stp>
        <stp>安値</stp>
        <tr r="M164" s="1"/>
      </tp>
    </main>
    <main first="rtdsrv.dff54f4b11dd4e0d9cb19000fb943d8c">
      <tp>
        <v>0</v>
        <stp/>
        <stp>Market</stp>
        <stp>INDEX</stp>
        <stp>PLATINUMMINI.FUT02.OS</stp>
        <stp>始値</stp>
        <tr r="K123" s="1"/>
      </tp>
    </main>
    <main first="rtdsrv.dff54f4b11dd4e0d9cb19000fb943d8c">
      <tp>
        <v>0</v>
        <stp/>
        <stp>Market</stp>
        <stp>INDEX</stp>
        <stp>CORN.FUT06.OS</stp>
        <stp>始値</stp>
        <tr r="K182" s="1"/>
      </tp>
    </main>
    <main first="rtdsrv.dff54f4b11dd4e0d9cb19000fb943d8c">
      <tp>
        <v>27000</v>
        <stp/>
        <stp>Market</stp>
        <stp>INDEX</stp>
        <stp>GOLD.FUT06.OS</stp>
        <stp>始値</stp>
        <tr r="K108" s="1"/>
      </tp>
    </main>
    <main first="rtdsrv.dff54f4b11dd4e0d9cb19000fb943d8c">
      <tp>
        <v>0</v>
        <stp/>
        <stp>Market</stp>
        <stp>INDEX</stp>
        <stp>TCWSI</stp>
        <stp>前日比</stp>
        <tr r="G101" s="1"/>
      </tp>
      <tp t="s">
        <v>↑</v>
        <stp/>
        <stp>Market</stp>
        <stp>INDEX</stp>
        <stp>SPESG</stp>
        <stp>現在値ティック</stp>
        <tr r="F38" s="1"/>
      </tp>
      <tp>
        <v>0</v>
        <stp/>
        <stp>Market</stp>
        <stp>INDEX</stp>
        <stp>TSR20.FUT10.OS</stp>
        <stp>始値</stp>
        <tr r="K162" s="1"/>
      </tp>
      <tp t="s">
        <v>↓</v>
        <stp/>
        <stp>Market</stp>
        <stp>INDEX</stp>
        <stp>TREIT</stp>
        <stp>現在値ティック</stp>
        <tr r="F15" s="1"/>
      </tp>
    </main>
    <main first="rtdsrv.dff54f4b11dd4e0d9cb19000fb943d8c">
      <tp>
        <v>0</v>
        <stp/>
        <stp>Market</stp>
        <stp>INDEX</stp>
        <stp>PLATINUMMINI.FUT01.OS</stp>
        <stp>安値</stp>
        <tr r="M122" s="1"/>
      </tp>
    </main>
    <main first="rtdsrv.dff54f4b11dd4e0d9cb19000fb943d8c">
      <tp t="s">
        <v>2021/11/09</v>
        <stp/>
        <stp>Market</stp>
        <stp>INDEX</stp>
        <stp>EMCLOUD</stp>
        <stp>上場来高値日付</stp>
        <tr r="Z62" s="1"/>
      </tp>
      <tp t="s">
        <v>2018/11/20</v>
        <stp/>
        <stp>Market</stp>
        <stp>INDEX</stp>
        <stp>EMCLOUD</stp>
        <stp>上場来安値日付</stp>
        <tr r="AA62" s="1"/>
      </tp>
    </main>
    <main first="rtdsrv.dff54f4b11dd4e0d9cb19000fb943d8c">
      <tp>
        <v>0</v>
        <stp/>
        <stp>Market</stp>
        <stp>INDEX</stp>
        <stp>CORN.FUT05.OS</stp>
        <stp>安値</stp>
        <tr r="M181" s="1"/>
      </tp>
    </main>
    <main first="rtdsrv.dff54f4b11dd4e0d9cb19000fb943d8c">
      <tp>
        <v>0</v>
        <stp/>
        <stp>Market</stp>
        <stp>INDEX</stp>
        <stp>TOPX.FUT05.OS</stp>
        <stp>安値</stp>
        <tr r="M90" s="1"/>
      </tp>
    </main>
    <main first="rtdsrv.dff54f4b11dd4e0d9cb19000fb943d8c">
      <tp>
        <v>26699</v>
        <stp/>
        <stp>Market</stp>
        <stp>INDEX</stp>
        <stp>GOLD.FUT05.OS</stp>
        <stp>安値</stp>
        <tr r="M107" s="1"/>
      </tp>
    </main>
    <main first="rtdsrv.dff54f4b11dd4e0d9cb19000fb943d8c">
      <tp>
        <v>0</v>
        <stp/>
        <stp>Market</stp>
        <stp>INDEX</stp>
        <stp>TSR20.FUT03.OS</stp>
        <stp>安値</stp>
        <tr r="M155" s="1"/>
      </tp>
    </main>
    <main first="rtdsrv.dff54f4b11dd4e0d9cb19000fb943d8c">
      <tp>
        <v>4790.22</v>
        <stp/>
        <stp>Market</stp>
        <stp>INDEX</stp>
        <stp>BANK</stp>
        <stp>始値</stp>
        <tr r="K40" s="1"/>
      </tp>
    </main>
    <main first="rtdsrv.dff54f4b11dd4e0d9cb19000fb943d8c">
      <tp>
        <v>0</v>
        <stp/>
        <stp>Market</stp>
        <stp>INDEX</stp>
        <stp>PLATINUMMINI.FUT03.OS</stp>
        <stp>始値</stp>
        <tr r="K124" s="1"/>
      </tp>
    </main>
    <main first="rtdsrv.dff54f4b11dd4e0d9cb19000fb943d8c">
      <tp>
        <v>0</v>
        <stp/>
        <stp>Market</stp>
        <stp>INDEX</stp>
        <stp>TSR20.FUT01.OS</stp>
        <stp>始値</stp>
        <tr r="K153" s="1"/>
      </tp>
      <tp>
        <v>0</v>
        <stp/>
        <stp>Market</stp>
        <stp>INDEX</stp>
        <stp>TSR20.FUT11.OS</stp>
        <stp>始値</stp>
        <tr r="K163" s="1"/>
      </tp>
    </main>
    <main first="rtdsrv.dff54f4b11dd4e0d9cb19000fb943d8c">
      <tp>
        <v>11547.5</v>
        <stp/>
        <stp>Market</stp>
        <stp>INDEX</stp>
        <stp>PLATINUMMINI.FUT06.OS</stp>
        <stp>安値</stp>
        <tr r="M127" s="1"/>
      </tp>
    </main>
    <main first="rtdsrv.dff54f4b11dd4e0d9cb19000fb943d8c">
      <tp t="s">
        <v/>
        <stp/>
        <stp>Market</stp>
        <stp>INDEX</stp>
        <stp>GBP/JPY</stp>
        <stp>上場来高値日付</stp>
        <tr r="Z189" s="1"/>
      </tp>
      <tp t="s">
        <v/>
        <stp/>
        <stp>Market</stp>
        <stp>INDEX</stp>
        <stp>NZD/CHF</stp>
        <stp>上場来高値日付</stp>
        <tr r="Z206" s="1"/>
      </tp>
      <tp t="s">
        <v/>
        <stp/>
        <stp>Market</stp>
        <stp>INDEX</stp>
        <stp>GBP/JPY</stp>
        <stp>上場来安値日付</stp>
        <tr r="AA189" s="1"/>
      </tp>
      <tp t="s">
        <v/>
        <stp/>
        <stp>Market</stp>
        <stp>INDEX</stp>
        <stp>NZD/CHF</stp>
        <stp>上場来安値日付</stp>
        <tr r="AA206" s="1"/>
      </tp>
    </main>
    <main first="rtdsrv.dff54f4b11dd4e0d9cb19000fb943d8c">
      <tp>
        <v>0</v>
        <stp/>
        <stp>Market</stp>
        <stp>INDEX</stp>
        <stp>CORN.FUT02.OS</stp>
        <stp>安値</stp>
        <tr r="M178" s="1"/>
      </tp>
    </main>
    <main first="rtdsrv.dff54f4b11dd4e0d9cb19000fb943d8c">
      <tp>
        <v>3935</v>
        <stp/>
        <stp>Market</stp>
        <stp>INDEX</stp>
        <stp>TOPX.FUT02.OS</stp>
        <stp>安値</stp>
        <tr r="M87" s="1"/>
      </tp>
    </main>
    <main first="rtdsrv.dff54f4b11dd4e0d9cb19000fb943d8c">
      <tp>
        <v>26085</v>
        <stp/>
        <stp>Market</stp>
        <stp>INDEX</stp>
        <stp>GOLD.FUT02.OS</stp>
        <stp>安値</stp>
        <tr r="M104" s="1"/>
      </tp>
    </main>
    <main first="rtdsrv.dff54f4b11dd4e0d9cb19000fb943d8c">
      <tp t="s">
        <v>↓</v>
        <stp/>
        <stp>Market</stp>
        <stp>INDEX</stp>
        <stp>IXTC</stp>
        <stp>現在値ティック</stp>
        <tr r="F44" s="1"/>
      </tp>
      <tp>
        <v>0</v>
        <stp/>
        <stp>Market</stp>
        <stp>INDEX</stp>
        <stp>TSR20.FUT04.OS</stp>
        <stp>安値</stp>
        <tr r="M156" s="1"/>
      </tp>
      <tp t="s">
        <v>↑</v>
        <stp/>
        <stp>Market</stp>
        <stp>INDEX</stp>
        <stp>IXCO</stp>
        <stp>現在値ティック</stp>
        <tr r="F45" s="1"/>
      </tp>
    </main>
    <main first="rtdsrv.dff54f4b11dd4e0d9cb19000fb943d8c">
      <tp>
        <v>-521.28</v>
        <stp/>
        <stp>Market</stp>
        <stp>INDEX</stp>
        <stp>DJIA</stp>
        <stp>前日比</stp>
        <tr r="G20" s="1"/>
      </tp>
      <tp t="s">
        <v>↑</v>
        <stp/>
        <stp>Market</stp>
        <stp>INDEX</stp>
        <stp>IXHC</stp>
        <stp>現在値ティック</stp>
        <tr r="F48" s="1"/>
      </tp>
    </main>
    <main first="rtdsrv.dff54f4b11dd4e0d9cb19000fb943d8c">
      <tp>
        <v>0</v>
        <stp/>
        <stp>Market</stp>
        <stp>INDEX</stp>
        <stp>PLATINUMMINI.FUT04.OS</stp>
        <stp>始値</stp>
        <tr r="K125" s="1"/>
      </tp>
    </main>
    <main first="rtdsrv.dff54f4b11dd4e0d9cb19000fb943d8c">
      <tp>
        <v>0</v>
        <stp/>
        <stp>Market</stp>
        <stp>INDEX</stp>
        <stp>TSR20.FUT06.OS</stp>
        <stp>始値</stp>
        <tr r="K158" s="1"/>
      </tp>
      <tp t="s">
        <v>↓</v>
        <stp/>
        <stp>Market</stp>
        <stp>INDEX</stp>
        <stp>HSCEI</stp>
        <stp>現在値ティック</stp>
        <tr r="F66" s="1"/>
      </tp>
      <tp t="s">
        <v>↑</v>
        <stp/>
        <stp>Market</stp>
        <stp>INDEX</stp>
        <stp>HSCCI</stp>
        <stp>現在値ティック</stp>
        <tr r="F67" s="1"/>
      </tp>
    </main>
    <main first="rtdsrv.dff54f4b11dd4e0d9cb19000fb943d8c">
      <tp t="s">
        <v>↑</v>
        <stp/>
        <stp>Market</stp>
        <stp>INDEX</stp>
        <stp>JGB:F</stp>
        <stp>現在値ティック</stp>
        <tr r="F16" s="1"/>
      </tp>
    </main>
    <main first="rtdsrv.dff54f4b11dd4e0d9cb19000fb943d8c">
      <tp>
        <v>0</v>
        <stp/>
        <stp>Market</stp>
        <stp>INDEX</stp>
        <stp>CORN.FUT03.OS</stp>
        <stp>安値</stp>
        <tr r="M179" s="1"/>
      </tp>
    </main>
    <main first="rtdsrv.dff54f4b11dd4e0d9cb19000fb943d8c">
      <tp>
        <v>0</v>
        <stp/>
        <stp>Market</stp>
        <stp>INDEX</stp>
        <stp>TOPX.FUT03.OS</stp>
        <stp>安値</stp>
        <tr r="M88" s="1"/>
      </tp>
    </main>
    <main first="rtdsrv.dff54f4b11dd4e0d9cb19000fb943d8c">
      <tp>
        <v>26259</v>
        <stp/>
        <stp>Market</stp>
        <stp>INDEX</stp>
        <stp>GOLD.FUT03.OS</stp>
        <stp>安値</stp>
        <tr r="M105" s="1"/>
      </tp>
      <tp t="s">
        <v/>
        <stp/>
        <stp>Market</stp>
        <stp>INDEX</stp>
        <stp>JGB:FDI</stp>
        <stp>上場来高値日付</stp>
        <tr r="Z19" s="1"/>
      </tp>
      <tp t="s">
        <v/>
        <stp/>
        <stp>Market</stp>
        <stp>INDEX</stp>
        <stp>JGB:FDI</stp>
        <stp>上場来安値日付</stp>
        <tr r="AA19" s="1"/>
      </tp>
      <tp>
        <v>276.73</v>
        <stp/>
        <stp>Market</stp>
        <stp>INDEX</stp>
        <stp>IXF</stp>
        <stp>上場来安値</stp>
        <tr r="Y46" s="1"/>
      </tp>
    </main>
    <main first="rtdsrv.dff54f4b11dd4e0d9cb19000fb943d8c">
      <tp>
        <v>0</v>
        <stp/>
        <stp>Market</stp>
        <stp>INDEX</stp>
        <stp>TSR20.FUT05.OS</stp>
        <stp>安値</stp>
        <tr r="M157" s="1"/>
      </tp>
      <tp>
        <v>6837.97</v>
        <stp/>
        <stp>Market</stp>
        <stp>INDEX</stp>
        <stp>IXF</stp>
        <stp>年初来安値</stp>
        <tr r="W46" s="1"/>
      </tp>
    </main>
    <main first="rtdsrv.dff54f4b11dd4e0d9cb19000fb943d8c">
      <tp>
        <v>49253.57</v>
        <stp/>
        <stp>Market</stp>
        <stp>INDEX</stp>
        <stp>DJIA</stp>
        <stp>始値</stp>
        <tr r="K20" s="1"/>
      </tp>
    </main>
    <main first="rtdsrv.dff54f4b11dd4e0d9cb19000fb943d8c">
      <tp>
        <v>11770</v>
        <stp/>
        <stp>Market</stp>
        <stp>INDEX</stp>
        <stp>PLATINUMMINI.FUT05.OS</stp>
        <stp>始値</stp>
        <tr r="K126" s="1"/>
      </tp>
    </main>
    <main first="rtdsrv.dff54f4b11dd4e0d9cb19000fb943d8c">
      <tp>
        <v>3963.5</v>
        <stp/>
        <stp>Market</stp>
        <stp>INDEX</stp>
        <stp>TOPX.FUT01.OS</stp>
        <stp>始値</stp>
        <tr r="K86" s="1"/>
      </tp>
    </main>
    <main first="rtdsrv.dff54f4b11dd4e0d9cb19000fb943d8c">
      <tp>
        <v>0</v>
        <stp/>
        <stp>Market</stp>
        <stp>INDEX</stp>
        <stp>CORN.FUT01.OS</stp>
        <stp>始値</stp>
        <tr r="K177" s="1"/>
      </tp>
    </main>
    <main first="rtdsrv.dff54f4b11dd4e0d9cb19000fb943d8c">
      <tp>
        <v>26060</v>
        <stp/>
        <stp>Market</stp>
        <stp>INDEX</stp>
        <stp>GOLD.FUT01.OS</stp>
        <stp>始値</stp>
        <tr r="K103" s="1"/>
      </tp>
    </main>
    <main first="rtdsrv.dff54f4b11dd4e0d9cb19000fb943d8c">
      <tp>
        <v>0</v>
        <stp/>
        <stp>Market</stp>
        <stp>INDEX</stp>
        <stp>TSR20.FUT07.OS</stp>
        <stp>始値</stp>
        <tr r="K159" s="1"/>
      </tp>
    </main>
    <main first="rtdsrv.dff54f4b11dd4e0d9cb19000fb943d8c">
      <tp>
        <v>0</v>
        <stp/>
        <stp>Market</stp>
        <stp>INDEX</stp>
        <stp>PLATINUMMINI.FUT04.OS</stp>
        <stp>安値</stp>
        <tr r="M125" s="1"/>
      </tp>
    </main>
    <main first="rtdsrv.dff54f4b11dd4e0d9cb19000fb943d8c">
      <tp t="s">
        <v/>
        <stp/>
        <stp>Market</stp>
        <stp>INDEX</stp>
        <stp>AUD/NZD</stp>
        <stp>上場来高値日付</stp>
        <tr r="Z207" s="1"/>
      </tp>
      <tp t="s">
        <v/>
        <stp/>
        <stp>Market</stp>
        <stp>INDEX</stp>
        <stp>AUD/NZD</stp>
        <stp>上場来安値日付</stp>
        <tr r="AA207" s="1"/>
      </tp>
    </main>
    <main first="rtdsrv.dff54f4b11dd4e0d9cb19000fb943d8c">
      <tp t="s">
        <v/>
        <stp/>
        <stp>Market</stp>
        <stp>INDEX</stp>
        <stp>GOLDMINI.FUT01.OS</stp>
        <stp>前年最安値</stp>
        <tr r="T109" s="1"/>
      </tp>
      <tp t="s">
        <v/>
        <stp/>
        <stp>Market</stp>
        <stp>INDEX</stp>
        <stp>GOLDMINI.FUT02.OS</stp>
        <stp>前年最安値</stp>
        <tr r="T110" s="1"/>
      </tp>
      <tp t="s">
        <v/>
        <stp/>
        <stp>Market</stp>
        <stp>INDEX</stp>
        <stp>GOLDMINI.FUT03.OS</stp>
        <stp>前年最安値</stp>
        <tr r="T111" s="1"/>
      </tp>
      <tp t="s">
        <v/>
        <stp/>
        <stp>Market</stp>
        <stp>INDEX</stp>
        <stp>EUR/JPY</stp>
        <stp>上場来高値日付</stp>
        <tr r="Z188" s="1"/>
      </tp>
      <tp t="s">
        <v/>
        <stp/>
        <stp>Market</stp>
        <stp>INDEX</stp>
        <stp>EUR/JPY</stp>
        <stp>上場来安値日付</stp>
        <tr r="AA188" s="1"/>
      </tp>
      <tp t="s">
        <v/>
        <stp/>
        <stp>Market</stp>
        <stp>INDEX</stp>
        <stp>GOLDMINI.FUT04.OS</stp>
        <stp>前年最安値</stp>
        <tr r="T112" s="1"/>
      </tp>
      <tp t="s">
        <v/>
        <stp/>
        <stp>Market</stp>
        <stp>INDEX</stp>
        <stp>GOLDMINI.FUT05.OS</stp>
        <stp>前年最安値</stp>
        <tr r="T113" s="1"/>
      </tp>
      <tp t="s">
        <v/>
        <stp/>
        <stp>Market</stp>
        <stp>INDEX</stp>
        <stp>GOLDMINI.FUT06.OS</stp>
        <stp>前年最安値</stp>
        <tr r="T114" s="1"/>
      </tp>
      <tp>
        <v>0</v>
        <stp/>
        <stp>Market</stp>
        <stp>INDEX</stp>
        <stp>TSR20.FUT06.OS</stp>
        <stp>安値</stp>
        <tr r="M158" s="1"/>
      </tp>
    </main>
    <main first="rtdsrv.dff54f4b11dd4e0d9cb19000fb943d8c">
      <tp>
        <v>11701</v>
        <stp/>
        <stp>Market</stp>
        <stp>INDEX</stp>
        <stp>PLATINUMMINI.FUT06.OS</stp>
        <stp>始値</stp>
        <tr r="K127" s="1"/>
      </tp>
    </main>
    <main first="rtdsrv.dff54f4b11dd4e0d9cb19000fb943d8c">
      <tp>
        <v>3937</v>
        <stp/>
        <stp>Market</stp>
        <stp>INDEX</stp>
        <stp>TOPX.FUT02.OS</stp>
        <stp>始値</stp>
        <tr r="K87" s="1"/>
      </tp>
    </main>
    <main first="rtdsrv.dff54f4b11dd4e0d9cb19000fb943d8c">
      <tp>
        <v>0</v>
        <stp/>
        <stp>Market</stp>
        <stp>INDEX</stp>
        <stp>CORN.FUT02.OS</stp>
        <stp>始値</stp>
        <tr r="K178" s="1"/>
      </tp>
    </main>
    <main first="rtdsrv.dff54f4b11dd4e0d9cb19000fb943d8c">
      <tp>
        <v>26085</v>
        <stp/>
        <stp>Market</stp>
        <stp>INDEX</stp>
        <stp>GOLD.FUT02.OS</stp>
        <stp>始値</stp>
        <tr r="K104" s="1"/>
      </tp>
    </main>
    <main first="rtdsrv.dff54f4b11dd4e0d9cb19000fb943d8c">
      <tp>
        <v>0</v>
        <stp/>
        <stp>Market</stp>
        <stp>INDEX</stp>
        <stp>TSR20.FUT04.OS</stp>
        <stp>始値</stp>
        <tr r="K156" s="1"/>
      </tp>
      <tp>
        <v>0</v>
        <stp/>
        <stp>Market</stp>
        <stp>INDEX</stp>
        <stp>JGB:F</stp>
        <stp>前年終値</stp>
        <tr r="U16" s="1"/>
      </tp>
    </main>
    <main first="rtdsrv.dff54f4b11dd4e0d9cb19000fb943d8c">
      <tp>
        <v>11506.5</v>
        <stp/>
        <stp>Market</stp>
        <stp>INDEX</stp>
        <stp>PLATINUMMINI.FUT05.OS</stp>
        <stp>安値</stp>
        <tr r="M126" s="1"/>
      </tp>
    </main>
    <main first="rtdsrv.dff54f4b11dd4e0d9cb19000fb943d8c">
      <tp>
        <v>0</v>
        <stp/>
        <stp>Market</stp>
        <stp>INDEX</stp>
        <stp>CORN.FUT01.OS</stp>
        <stp>安値</stp>
        <tr r="M177" s="1"/>
      </tp>
    </main>
    <main first="rtdsrv.dff54f4b11dd4e0d9cb19000fb943d8c">
      <tp>
        <v>3903</v>
        <stp/>
        <stp>Market</stp>
        <stp>INDEX</stp>
        <stp>TOPX.FUT01.OS</stp>
        <stp>安値</stp>
        <tr r="M86" s="1"/>
      </tp>
    </main>
    <main first="rtdsrv.dff54f4b11dd4e0d9cb19000fb943d8c">
      <tp>
        <v>26060</v>
        <stp/>
        <stp>Market</stp>
        <stp>INDEX</stp>
        <stp>GOLD.FUT01.OS</stp>
        <stp>安値</stp>
        <tr r="M103" s="1"/>
      </tp>
    </main>
    <main first="rtdsrv.dff54f4b11dd4e0d9cb19000fb943d8c">
      <tp>
        <v>7</v>
        <stp/>
        <stp>Market</stp>
        <stp>INDEX</stp>
        <stp>SIXC</stp>
        <stp>前日比</stp>
        <tr r="G33" s="1"/>
      </tp>
      <tp>
        <v>8.4700000000000006</v>
        <stp/>
        <stp>Market</stp>
        <stp>INDEX</stp>
        <stp>SIXB</stp>
        <stp>前日比</stp>
        <tr r="G27" s="1"/>
      </tp>
      <tp>
        <v>18.03</v>
        <stp/>
        <stp>Market</stp>
        <stp>INDEX</stp>
        <stp>SIXE</stp>
        <stp>前日比</stp>
        <tr r="G28" s="1"/>
      </tp>
      <tp>
        <v>4.1900000000000004</v>
        <stp/>
        <stp>Market</stp>
        <stp>INDEX</stp>
        <stp>SIXI</stp>
        <stp>前日比</stp>
        <tr r="G34" s="1"/>
      </tp>
      <tp>
        <v>-12.83</v>
        <stp/>
        <stp>Market</stp>
        <stp>INDEX</stp>
        <stp>SIXM</stp>
        <stp>前日比</stp>
        <tr r="G29" s="1"/>
      </tp>
      <tp>
        <v>11.45</v>
        <stp/>
        <stp>Market</stp>
        <stp>INDEX</stp>
        <stp>SIXR</stp>
        <stp>前日比</stp>
        <tr r="G35" s="1"/>
      </tp>
      <tp>
        <v>10.210000000000001</v>
        <stp/>
        <stp>Market</stp>
        <stp>INDEX</stp>
        <stp>SIXU</stp>
        <stp>前日比</stp>
        <tr r="G31" s="1"/>
      </tp>
      <tp>
        <v>-44.91</v>
        <stp/>
        <stp>Market</stp>
        <stp>INDEX</stp>
        <stp>SIXT</stp>
        <stp>前日比</stp>
        <tr r="G36" s="1"/>
      </tp>
      <tp>
        <v>28.14</v>
        <stp/>
        <stp>Market</stp>
        <stp>INDEX</stp>
        <stp>SIXV</stp>
        <stp>前日比</stp>
        <tr r="G37" s="1"/>
      </tp>
      <tp>
        <v>-3.57</v>
        <stp/>
        <stp>Market</stp>
        <stp>INDEX</stp>
        <stp>SIXY</stp>
        <stp>前日比</stp>
        <tr r="G32" s="1"/>
      </tp>
    </main>
    <main first="rtdsrv.dff54f4b11dd4e0d9cb19000fb943d8c">
      <tp>
        <v>0</v>
        <stp/>
        <stp>Market</stp>
        <stp>INDEX</stp>
        <stp>TSR20.FUT07.OS</stp>
        <stp>安値</stp>
        <tr r="M159" s="1"/>
      </tp>
    </main>
    <main first="rtdsrv.dff54f4b11dd4e0d9cb19000fb943d8c">
      <tp>
        <v>0</v>
        <stp/>
        <stp>Market</stp>
        <stp>INDEX</stp>
        <stp>TOPX.FUT03.OS</stp>
        <stp>始値</stp>
        <tr r="K88" s="1"/>
      </tp>
    </main>
    <main first="rtdsrv.dff54f4b11dd4e0d9cb19000fb943d8c">
      <tp>
        <v>0</v>
        <stp/>
        <stp>Market</stp>
        <stp>INDEX</stp>
        <stp>CORN.FUT03.OS</stp>
        <stp>始値</stp>
        <tr r="K179" s="1"/>
      </tp>
    </main>
    <main first="rtdsrv.dff54f4b11dd4e0d9cb19000fb943d8c">
      <tp>
        <v>26262</v>
        <stp/>
        <stp>Market</stp>
        <stp>INDEX</stp>
        <stp>GOLD.FUT03.OS</stp>
        <stp>始値</stp>
        <tr r="K105" s="1"/>
      </tp>
    </main>
    <main first="rtdsrv.dff54f4b11dd4e0d9cb19000fb943d8c">
      <tp>
        <v>0</v>
        <stp/>
        <stp>Market</stp>
        <stp>INDEX</stp>
        <stp>TSR20.FUT05.OS</stp>
        <stp>始値</stp>
        <tr r="K157" s="1"/>
      </tp>
      <tp>
        <v>48678.78</v>
        <stp/>
        <stp>Market</stp>
        <stp>INDEX</stp>
        <stp>DJIA</stp>
        <stp>安値</stp>
        <tr r="M20" s="1"/>
      </tp>
    </main>
    <main first="rtdsrv.dff54f4b11dd4e0d9cb19000fb943d8c">
      <tp>
        <v>546.74</v>
        <stp/>
        <stp>Market</stp>
        <stp>INDEX</stp>
        <stp>IXTC</stp>
        <stp>始値</stp>
        <tr r="K44" s="1"/>
      </tp>
      <tp>
        <v>1205.77</v>
        <stp/>
        <stp>Market</stp>
        <stp>INDEX</stp>
        <stp>IXHC</stp>
        <stp>始値</stp>
        <tr r="K48" s="1"/>
      </tp>
      <tp>
        <v>21767.88</v>
        <stp/>
        <stp>Market</stp>
        <stp>INDEX</stp>
        <stp>IXCO</stp>
        <stp>始値</stp>
        <tr r="K45" s="1"/>
      </tp>
    </main>
    <main first="rtdsrv.dff54f4b11dd4e0d9cb19000fb943d8c">
      <tp>
        <v>0</v>
        <stp/>
        <stp>Market</stp>
        <stp>INDEX</stp>
        <stp>TSR20.FUT08.OS</stp>
        <stp>安値</stp>
        <tr r="M160" s="1"/>
      </tp>
    </main>
    <main first="rtdsrv.dff54f4b11dd4e0d9cb19000fb943d8c">
      <tp>
        <v>15119.45</v>
        <stp/>
        <stp>Market</stp>
        <stp>INDEX</stp>
        <stp>INSR</stp>
        <stp>始値</stp>
        <tr r="K41" s="1"/>
      </tp>
      <tp>
        <v>12386.15</v>
        <stp/>
        <stp>Market</stp>
        <stp>INDEX</stp>
        <stp>INDS</stp>
        <stp>始値</stp>
        <tr r="K39" s="1"/>
      </tp>
    </main>
    <main first="rtdsrv.dff54f4b11dd4e0d9cb19000fb943d8c">
      <tp>
        <v>-183.82</v>
        <stp/>
        <stp>Market</stp>
        <stp>INDEX</stp>
        <stp>OFIN</stp>
        <stp>前日比</stp>
        <tr r="G42" s="1"/>
      </tp>
      <tp>
        <v>-20</v>
        <stp/>
        <stp>Market</stp>
        <stp>INDEX</stp>
        <stp>N225.FUT02.C</stp>
        <stp>前日比</stp>
        <tr r="G184" s="1"/>
      </tp>
      <tp>
        <v>-475</v>
        <stp/>
        <stp>Market</stp>
        <stp>INDEX</stp>
        <stp>N225.FUT02.S</stp>
        <stp>前日比</stp>
        <tr r="G186" s="1"/>
      </tp>
      <tp t="s">
        <v>↑</v>
        <stp/>
        <stp>Market</stp>
        <stp>INDEX</stp>
        <stp>MTHR</stp>
        <stp>現在値ティック</stp>
        <tr r="F13" s="1"/>
      </tp>
    </main>
    <main first="rtdsrv.dff54f4b11dd4e0d9cb19000fb943d8c">
      <tp>
        <v>0</v>
        <stp/>
        <stp>Market</stp>
        <stp>INDEX</stp>
        <stp>TSR20.FUT09.OS</stp>
        <stp>安値</stp>
        <tr r="M161" s="1"/>
      </tp>
    </main>
    <main first="rtdsrv.dff54f4b11dd4e0d9cb19000fb943d8c">
      <tp t="s">
        <v>↑</v>
        <stp/>
        <stp>Market</stp>
        <stp>INDEX</stp>
        <stp>NQ</stp>
        <stp>現在値ティック</stp>
        <tr r="F21" s="1"/>
      </tp>
      <tp>
        <v>276.60000000000002</v>
        <stp/>
        <stp>Market</stp>
        <stp>INDEX</stp>
        <stp>NQ</stp>
        <stp>上場来安値</stp>
        <tr r="Y21" s="1"/>
      </tp>
    </main>
    <main first="rtdsrv.dff54f4b11dd4e0d9cb19000fb943d8c">
      <tp>
        <v>22256.76</v>
        <stp/>
        <stp>Market</stp>
        <stp>INDEX</stp>
        <stp>NQ</stp>
        <stp>年初来安値</stp>
        <tr r="W21" s="1"/>
      </tp>
    </main>
    <main first="rtdsrv.dff54f4b11dd4e0d9cb19000fb943d8c">
      <tp t="s">
        <v>↑</v>
        <stp/>
        <stp>Market</stp>
        <stp>INDEX</stp>
        <stp>TSM20</stp>
        <stp>現在値ティック</stp>
        <tr r="F11" s="1"/>
      </tp>
      <tp t="s">
        <v/>
        <stp/>
        <stp>Market</stp>
        <stp>INDEX</stp>
        <stp>PLATINUM.SPOT.OS</stp>
        <stp>上場来高値日付</stp>
        <tr r="Z128" s="1"/>
      </tp>
      <tp t="s">
        <v/>
        <stp/>
        <stp>Market</stp>
        <stp>INDEX</stp>
        <stp>PLATINUM.SPOT.OS</stp>
        <stp>上場来安値日付</stp>
        <tr r="AA128" s="1"/>
      </tp>
    </main>
    <main first="rtdsrv.dff54f4b11dd4e0d9cb19000fb943d8c">
      <tp t="s">
        <v/>
        <stp/>
        <stp>Market</stp>
        <stp>INDEX</stp>
        <stp>REDBEAN.FUT02.OS</stp>
        <stp>上場来高値日付</stp>
        <tr r="Z166" s="1"/>
      </tp>
      <tp t="s">
        <v/>
        <stp/>
        <stp>Market</stp>
        <stp>INDEX</stp>
        <stp>REDBEAN.FUT03.OS</stp>
        <stp>上場来高値日付</stp>
        <tr r="Z167" s="1"/>
      </tp>
      <tp t="s">
        <v/>
        <stp/>
        <stp>Market</stp>
        <stp>INDEX</stp>
        <stp>REDBEAN.FUT01.OS</stp>
        <stp>上場来高値日付</stp>
        <tr r="Z165" s="1"/>
      </tp>
      <tp t="s">
        <v/>
        <stp/>
        <stp>Market</stp>
        <stp>INDEX</stp>
        <stp>REDBEAN.FUT06.OS</stp>
        <stp>上場来高値日付</stp>
        <tr r="Z170" s="1"/>
      </tp>
      <tp t="s">
        <v/>
        <stp/>
        <stp>Market</stp>
        <stp>INDEX</stp>
        <stp>REDBEAN.FUT04.OS</stp>
        <stp>上場来高値日付</stp>
        <tr r="Z168" s="1"/>
      </tp>
      <tp t="s">
        <v/>
        <stp/>
        <stp>Market</stp>
        <stp>INDEX</stp>
        <stp>REDBEAN.FUT05.OS</stp>
        <stp>上場来高値日付</stp>
        <tr r="Z169" s="1"/>
      </tp>
      <tp t="s">
        <v/>
        <stp/>
        <stp>Market</stp>
        <stp>INDEX</stp>
        <stp>REDBEAN.FUT03.OS</stp>
        <stp>上場来安値日付</stp>
        <tr r="AA167" s="1"/>
      </tp>
      <tp t="s">
        <v/>
        <stp/>
        <stp>Market</stp>
        <stp>INDEX</stp>
        <stp>REDBEAN.FUT02.OS</stp>
        <stp>上場来安値日付</stp>
        <tr r="AA166" s="1"/>
      </tp>
      <tp t="s">
        <v/>
        <stp/>
        <stp>Market</stp>
        <stp>INDEX</stp>
        <stp>REDBEAN.FUT01.OS</stp>
        <stp>上場来安値日付</stp>
        <tr r="AA165" s="1"/>
      </tp>
      <tp t="s">
        <v/>
        <stp/>
        <stp>Market</stp>
        <stp>INDEX</stp>
        <stp>REDBEAN.FUT06.OS</stp>
        <stp>上場来安値日付</stp>
        <tr r="AA170" s="1"/>
      </tp>
      <tp t="s">
        <v/>
        <stp/>
        <stp>Market</stp>
        <stp>INDEX</stp>
        <stp>REDBEAN.FUT05.OS</stp>
        <stp>上場来安値日付</stp>
        <tr r="AA169" s="1"/>
      </tp>
      <tp t="s">
        <v/>
        <stp/>
        <stp>Market</stp>
        <stp>INDEX</stp>
        <stp>REDBEAN.FUT04.OS</stp>
        <stp>上場来安値日付</stp>
        <tr r="AA168" s="1"/>
      </tp>
      <tp>
        <v>11.82</v>
        <stp/>
        <stp>Market</stp>
        <stp>INDEX</stp>
        <stp>NVI</stp>
        <stp>上場来安値</stp>
        <tr r="Y14" s="1"/>
      </tp>
      <tp>
        <v>141.4</v>
        <stp/>
        <stp>Market</stp>
        <stp>INDEX</stp>
        <stp>NBI</stp>
        <stp>上場来安値</stp>
        <tr r="Y47" s="1"/>
      </tp>
      <tp>
        <v>58.61</v>
        <stp/>
        <stp>Market</stp>
        <stp>INDEX</stp>
        <stp>HSI</stp>
        <stp>上場来安値</stp>
        <tr r="Y65" s="1"/>
      </tp>
      <tp>
        <v>-156.16</v>
        <stp/>
        <stp>Market</stp>
        <stp>INDEX</stp>
        <stp>NDXT</stp>
        <stp>前日比</stp>
        <tr r="G49" s="1"/>
      </tp>
      <tp>
        <v>25717.42</v>
        <stp/>
        <stp>Market</stp>
        <stp>INDEX</stp>
        <stp>HSI</stp>
        <stp>年初来安値</stp>
        <tr r="W65" s="1"/>
      </tp>
      <tp>
        <v>24.09</v>
        <stp/>
        <stp>Market</stp>
        <stp>INDEX</stp>
        <stp>NVI</stp>
        <stp>年初来安値</stp>
        <tr r="W14" s="1"/>
      </tp>
      <tp>
        <v>5565.79</v>
        <stp/>
        <stp>Market</stp>
        <stp>INDEX</stp>
        <stp>NBI</stp>
        <stp>年初来安値</stp>
        <tr r="W47" s="1"/>
      </tp>
    </main>
    <main first="rtdsrv.dff54f4b11dd4e0d9cb19000fb943d8c">
      <tp t="s">
        <v>↑</v>
        <stp/>
        <stp>Market</stp>
        <stp>INDEX</stp>
        <stp>VVIX</stp>
        <stp>現在値ティック</stp>
        <tr r="F26" s="1"/>
      </tp>
    </main>
    <main first="rtdsrv.dff54f4b11dd4e0d9cb19000fb943d8c">
      <tp>
        <v>546.09</v>
        <stp/>
        <stp>Market</stp>
        <stp>INDEX</stp>
        <stp>IXTC</stp>
        <stp>安値</stp>
        <tr r="M44" s="1"/>
      </tp>
      <tp>
        <v>1205.77</v>
        <stp/>
        <stp>Market</stp>
        <stp>INDEX</stp>
        <stp>IXHC</stp>
        <stp>安値</stp>
        <tr r="M48" s="1"/>
      </tp>
      <tp>
        <v>21647.85</v>
        <stp/>
        <stp>Market</stp>
        <stp>INDEX</stp>
        <stp>IXCO</stp>
        <stp>安値</stp>
        <tr r="M45" s="1"/>
      </tp>
    </main>
    <main first="rtdsrv.dff54f4b11dd4e0d9cb19000fb943d8c">
      <tp>
        <v>0</v>
        <stp/>
        <stp>Market</stp>
        <stp>INDEX</stp>
        <stp>TSR20.FUT08.OS</stp>
        <stp>始値</stp>
        <tr r="K160" s="1"/>
      </tp>
      <tp>
        <v>14959.02</v>
        <stp/>
        <stp>Market</stp>
        <stp>INDEX</stp>
        <stp>INSR</stp>
        <stp>安値</stp>
        <tr r="M41" s="1"/>
      </tp>
      <tp>
        <v>12341.04</v>
        <stp/>
        <stp>Market</stp>
        <stp>INDEX</stp>
        <stp>INDS</stp>
        <stp>安値</stp>
        <tr r="M39" s="1"/>
      </tp>
    </main>
    <main first="rtdsrv.dff54f4b11dd4e0d9cb19000fb943d8c">
      <tp t="s">
        <v/>
        <stp/>
        <stp>Market</stp>
        <stp>INDEX</stp>
        <stp>N225M.FUT03.OS</stp>
        <stp>前年終値</stp>
        <tr r="U79" s="1"/>
      </tp>
      <tp t="s">
        <v/>
        <stp/>
        <stp>Market</stp>
        <stp>INDEX</stp>
        <stp>N225M.FUT02.OS</stp>
        <stp>前年終値</stp>
        <tr r="U78" s="1"/>
      </tp>
      <tp t="s">
        <v/>
        <stp/>
        <stp>Market</stp>
        <stp>INDEX</stp>
        <stp>N225M.FUT01.OS</stp>
        <stp>前年終値</stp>
        <tr r="U77" s="1"/>
      </tp>
      <tp t="s">
        <v/>
        <stp/>
        <stp>Market</stp>
        <stp>INDEX</stp>
        <stp>N225M.FUT05.OS</stp>
        <stp>前年終値</stp>
        <tr r="U81" s="1"/>
      </tp>
      <tp t="s">
        <v/>
        <stp/>
        <stp>Market</stp>
        <stp>INDEX</stp>
        <stp>N225M.FUT04.OS</stp>
        <stp>前年終値</stp>
        <tr r="U80" s="1"/>
      </tp>
    </main>
    <main first="rtdsrv.dff54f4b11dd4e0d9cb19000fb943d8c">
      <tp t="s">
        <v/>
        <stp/>
        <stp>Market</stp>
        <stp>INDEX</stp>
        <stp>AUD/CHF</stp>
        <stp>上場来高値日付</stp>
        <tr r="Z205" s="1"/>
      </tp>
      <tp t="s">
        <v/>
        <stp/>
        <stp>Market</stp>
        <stp>INDEX</stp>
        <stp>AUD/CHF</stp>
        <stp>上場来安値日付</stp>
        <tr r="AA205" s="1"/>
      </tp>
      <tp t="s">
        <v/>
        <stp/>
        <stp>Market</stp>
        <stp>INDEX</stp>
        <stp>HKD/JPY</stp>
        <stp>上場来高値日付</stp>
        <tr r="Z195" s="1"/>
      </tp>
      <tp t="s">
        <v/>
        <stp/>
        <stp>Market</stp>
        <stp>INDEX</stp>
        <stp>HKD/JPY</stp>
        <stp>上場来安値日付</stp>
        <tr r="AA195" s="1"/>
      </tp>
    </main>
    <main first="rtdsrv.dff54f4b11dd4e0d9cb19000fb943d8c">
      <tp t="s">
        <v/>
        <stp/>
        <stp>Market</stp>
        <stp>INDEX</stp>
        <stp>EUR/GBP</stp>
        <stp>上場来高値日付</stp>
        <tr r="Z203" s="1"/>
      </tp>
      <tp t="s">
        <v/>
        <stp/>
        <stp>Market</stp>
        <stp>INDEX</stp>
        <stp>EUR/GBP</stp>
        <stp>上場来安値日付</stp>
        <tr r="AA203" s="1"/>
      </tp>
    </main>
    <main first="rtdsrv.dff54f4b11dd4e0d9cb19000fb943d8c">
      <tp>
        <v>-95</v>
        <stp/>
        <stp>Market</stp>
        <stp>INDEX</stp>
        <stp>N225.FUT01.C</stp>
        <stp>前日比</stp>
        <tr r="G183" s="1"/>
      </tp>
      <tp>
        <v>-455</v>
        <stp/>
        <stp>Market</stp>
        <stp>INDEX</stp>
        <stp>N225.FUT01.S</stp>
        <stp>前日比</stp>
        <tr r="G185" s="1"/>
      </tp>
    </main>
    <main first="rtdsrv.dff54f4b11dd4e0d9cb19000fb943d8c">
      <tp>
        <v>0</v>
        <stp/>
        <stp>Market</stp>
        <stp>INDEX</stp>
        <stp>TSR20.FUT09.OS</stp>
        <stp>始値</stp>
        <tr r="K161" s="1"/>
      </tp>
    </main>
    <main first="rtdsrv.dff54f4b11dd4e0d9cb19000fb943d8c">
      <tp>
        <v>754.18</v>
        <stp/>
        <stp>Market</stp>
        <stp>INDEX</stp>
        <stp>MTHR</stp>
        <stp>始値</stp>
        <tr r="K13" s="1"/>
      </tp>
    </main>
    <main first="rtdsrv.dff54f4b11dd4e0d9cb19000fb943d8c">
      <tp t="s">
        <v>↓</v>
        <stp/>
        <stp>Market</stp>
        <stp>INDEX</stp>
        <stp>SHKSC</stp>
        <stp>現在値ティック</stp>
        <tr r="F70" s="1"/>
      </tp>
      <tp>
        <v>12755.29</v>
        <stp/>
        <stp>Market</stp>
        <stp>INDEX</stp>
        <stp>OFIN</stp>
        <stp>安値</stp>
        <tr r="M42" s="1"/>
      </tp>
    </main>
    <main first="rtdsrv.dff54f4b11dd4e0d9cb19000fb943d8c">
      <tp t="s">
        <v>09:38</v>
        <stp/>
        <stp>Market</stp>
        <stp>INDEX</stp>
        <stp>N225</stp>
        <stp>安値時刻</stp>
        <tr r="P2" s="1"/>
      </tp>
      <tp t="s">
        <v>09:00</v>
        <stp/>
        <stp>Market</stp>
        <stp>INDEX</stp>
        <stp>N225</stp>
        <stp>始値時刻</stp>
        <tr r="N2" s="1"/>
      </tp>
    </main>
    <main first="rtdsrv.dff54f4b11dd4e0d9cb19000fb943d8c">
      <tp t="s">
        <v>14:47</v>
        <stp/>
        <stp>Market</stp>
        <stp>INDEX</stp>
        <stp>N225</stp>
        <stp>高値時刻</stp>
        <tr r="O2" s="1"/>
      </tp>
    </main>
    <main first="rtdsrv.dff54f4b11dd4e0d9cb19000fb943d8c">
      <tp>
        <v>6845.5</v>
        <stp/>
        <stp>Market</stp>
        <stp>INDEX</stp>
        <stp>SP500</stp>
        <stp>前年終値</stp>
        <tr r="U24" s="1"/>
      </tp>
      <tp>
        <v>3432.34</v>
        <stp/>
        <stp>Market</stp>
        <stp>INDEX</stp>
        <stp>SP100</stp>
        <stp>前年終値</stp>
        <tr r="U23" s="1"/>
      </tp>
    </main>
    <main first="rtdsrv.dff54f4b11dd4e0d9cb19000fb943d8c">
      <tp>
        <v>30706.41</v>
        <stp/>
        <stp>Market</stp>
        <stp>INDEX</stp>
        <stp>JN400</stp>
        <stp>前年終値</stp>
        <tr r="U5" s="1"/>
      </tp>
    </main>
    <main first="rtdsrv.dff54f4b11dd4e0d9cb19000fb943d8c">
      <tp>
        <v>25249.847000000002</v>
        <stp/>
        <stp>Market</stp>
        <stp>INDEX</stp>
        <stp>NQ100</stp>
        <stp>前年終値</stp>
        <tr r="U22" s="1"/>
      </tp>
    </main>
    <main first="rtdsrv.dff54f4b11dd4e0d9cb19000fb943d8c">
      <tp t="s">
        <v/>
        <stp/>
        <stp>Market</stp>
        <stp>INDEX</stp>
        <stp>NOK/JPY</stp>
        <stp>上場来高値日付</stp>
        <tr r="Z208" s="1"/>
      </tp>
      <tp t="s">
        <v/>
        <stp/>
        <stp>Market</stp>
        <stp>INDEX</stp>
        <stp>NOK/JPY</stp>
        <stp>上場来安値日付</stp>
        <tr r="AA208" s="1"/>
      </tp>
      <tp>
        <v>4321.5</v>
        <stp/>
        <stp>Market</stp>
        <stp>INDEX</stp>
        <stp>N500</stp>
        <stp>安値</stp>
        <tr r="M9" s="1"/>
      </tp>
      <tp>
        <v>822.97</v>
        <stp/>
        <stp>Market</stp>
        <stp>INDEX</stp>
        <stp>N300</stp>
        <stp>安値</stp>
        <tr r="M3" s="1"/>
      </tp>
      <tp>
        <v>58130.57</v>
        <stp/>
        <stp>Market</stp>
        <stp>INDEX</stp>
        <stp>N225</stp>
        <stp>安値</stp>
        <tr r="M2" s="1"/>
      </tp>
    </main>
    <main first="rtdsrv.dff54f4b11dd4e0d9cb19000fb943d8c">
      <tp t="s">
        <v/>
        <stp/>
        <stp>Market</stp>
        <stp>INDEX</stp>
        <stp>NZD/JPY</stp>
        <stp>上場来高値日付</stp>
        <tr r="Z191" s="1"/>
      </tp>
      <tp t="s">
        <v/>
        <stp/>
        <stp>Market</stp>
        <stp>INDEX</stp>
        <stp>GBP/CHF</stp>
        <stp>上場来高値日付</stp>
        <tr r="Z202" s="1"/>
      </tp>
      <tp t="s">
        <v/>
        <stp/>
        <stp>Market</stp>
        <stp>INDEX</stp>
        <stp>NZD/JPY</stp>
        <stp>上場来安値日付</stp>
        <tr r="AA191" s="1"/>
      </tp>
      <tp t="s">
        <v/>
        <stp/>
        <stp>Market</stp>
        <stp>INDEX</stp>
        <stp>GBP/CHF</stp>
        <stp>上場来安値日付</stp>
        <tr r="AA202" s="1"/>
      </tp>
      <tp t="s">
        <v/>
        <stp/>
        <stp>Market</stp>
        <stp>INDEX</stp>
        <stp>EUR/AUD</stp>
        <stp>上場来高値日付</stp>
        <tr r="Z213" s="1"/>
      </tp>
      <tp t="s">
        <v/>
        <stp/>
        <stp>Market</stp>
        <stp>INDEX</stp>
        <stp>EUR/AUD</stp>
        <stp>上場来安値日付</stp>
        <tr r="AA213" s="1"/>
      </tp>
    </main>
    <main first="rtdsrv.dff54f4b11dd4e0d9cb19000fb943d8c">
      <tp>
        <v>0.94</v>
        <stp/>
        <stp>Market</stp>
        <stp>INDEX</stp>
        <stp>SIXRE</stp>
        <stp>前日比</stp>
        <tr r="G30" s="1"/>
      </tp>
      <tp>
        <v>12142.19</v>
        <stp/>
        <stp>Market</stp>
        <stp>INDEX</stp>
        <stp>NDXT</stp>
        <stp>安値</stp>
        <tr r="M49" s="1"/>
      </tp>
    </main>
    <main first="rtdsrv.dff54f4b11dd4e0d9cb19000fb943d8c">
      <tp>
        <v>3214.87</v>
        <stp/>
        <stp>Market</stp>
        <stp>INDEX</stp>
        <stp>NQUSST</stp>
        <stp>前年終値</stp>
        <tr r="U58" s="1"/>
      </tp>
    </main>
    <main first="rtdsrv.dff54f4b11dd4e0d9cb19000fb943d8c">
      <tp t="s">
        <v/>
        <stp/>
        <stp>Market</stp>
        <stp>INDEX</stp>
        <stp>MXN/JPY</stp>
        <stp>上場来高値日付</stp>
        <tr r="Z211" s="1"/>
      </tp>
    </main>
    <main first="rtdsrv.dff54f4b11dd4e0d9cb19000fb943d8c">
      <tp t="s">
        <v/>
        <stp/>
        <stp>Market</stp>
        <stp>INDEX</stp>
        <stp>MXN/JPY</stp>
        <stp>上場来安値日付</stp>
        <tr r="AA211" s="1"/>
      </tp>
    </main>
    <main first="rtdsrv.dff54f4b11dd4e0d9cb19000fb943d8c">
      <tp t="s">
        <v>↑</v>
        <stp/>
        <stp>Market</stp>
        <stp>INDEX</stp>
        <stp>N225.FUT01.OS</stp>
        <stp>現在値ティック</stp>
        <tr r="F72" s="1"/>
      </tp>
      <tp t="s">
        <v>↑</v>
        <stp/>
        <stp>Market</stp>
        <stp>INDEX</stp>
        <stp>N225.FUT02.OS</stp>
        <stp>現在値ティック</stp>
        <tr r="F73" s="1"/>
      </tp>
      <tp t="s">
        <v>↓</v>
        <stp/>
        <stp>Market</stp>
        <stp>INDEX</stp>
        <stp>N225.FUT03.OS</stp>
        <stp>現在値ティック</stp>
        <tr r="F74" s="1"/>
      </tp>
      <tp t="s">
        <v>↑</v>
        <stp/>
        <stp>Market</stp>
        <stp>INDEX</stp>
        <stp>N225.FUT04.OS</stp>
        <stp>現在値ティック</stp>
        <tr r="F75" s="1"/>
      </tp>
      <tp t="s">
        <v>↑</v>
        <stp/>
        <stp>Market</stp>
        <stp>INDEX</stp>
        <stp>N225.FUT05.OS</stp>
        <stp>現在値ティック</stp>
        <tr r="F76" s="1"/>
      </tp>
    </main>
    <main first="rtdsrv.dff54f4b11dd4e0d9cb19000fb943d8c">
      <tp t="s">
        <v>↓</v>
        <stp/>
        <stp>Market</stp>
        <stp>INDEX</stp>
        <stp>TRAN</stp>
        <stp>現在値ティック</stp>
        <tr r="F43" s="1"/>
      </tp>
    </main>
    <main first="rtdsrv.dff54f4b11dd4e0d9cb19000fb943d8c">
      <tp>
        <v>12879.9</v>
        <stp/>
        <stp>Market</stp>
        <stp>INDEX</stp>
        <stp>OFIN</stp>
        <stp>始値</stp>
        <tr r="K42" s="1"/>
      </tp>
    </main>
    <main first="rtdsrv.dff54f4b11dd4e0d9cb19000fb943d8c">
      <tp>
        <v>754.18</v>
        <stp/>
        <stp>Market</stp>
        <stp>INDEX</stp>
        <stp>MTHR</stp>
        <stp>安値</stp>
        <tr r="M13" s="1"/>
      </tp>
    </main>
    <main first="rtdsrv.dff54f4b11dd4e0d9cb19000fb943d8c">
      <tp t="s">
        <v>09:42</v>
        <stp/>
        <stp>Market</stp>
        <stp>INDEX</stp>
        <stp>N500</stp>
        <stp>安値時刻</stp>
        <tr r="P9" s="1"/>
      </tp>
      <tp t="s">
        <v>09:00</v>
        <stp/>
        <stp>Market</stp>
        <stp>INDEX</stp>
        <stp>N300</stp>
        <stp>安値時刻</stp>
        <tr r="P3" s="1"/>
      </tp>
      <tp t="s">
        <v>09:01</v>
        <stp/>
        <stp>Market</stp>
        <stp>INDEX</stp>
        <stp>N500</stp>
        <stp>始値時刻</stp>
        <tr r="N9" s="1"/>
      </tp>
      <tp t="s">
        <v>09:00</v>
        <stp/>
        <stp>Market</stp>
        <stp>INDEX</stp>
        <stp>N300</stp>
        <stp>始値時刻</stp>
        <tr r="N3" s="1"/>
      </tp>
      <tp t="s">
        <v>15:30</v>
        <stp/>
        <stp>Market</stp>
        <stp>INDEX</stp>
        <stp>N500</stp>
        <stp>高値時刻</stp>
        <tr r="O9" s="1"/>
      </tp>
      <tp t="s">
        <v>15:30</v>
        <stp/>
        <stp>Market</stp>
        <stp>INDEX</stp>
        <stp>N300</stp>
        <stp>高値時刻</stp>
        <tr r="O3" s="1"/>
      </tp>
    </main>
    <main first="rtdsrv.dff54f4b11dd4e0d9cb19000fb943d8c">
      <tp>
        <v>1391.24</v>
        <stp/>
        <stp>Market</stp>
        <stp>INDEX</stp>
        <stp>TSM20</stp>
        <stp>前年終値</stp>
        <tr r="U11" s="1"/>
      </tp>
    </main>
    <main first="rtdsrv.dff54f4b11dd4e0d9cb19000fb943d8c">
      <tp t="s">
        <v/>
        <stp/>
        <stp>Market</stp>
        <stp>INDEX</stp>
        <stp>EUR/CHF</stp>
        <stp>上場来高値日付</stp>
        <tr r="Z204" s="1"/>
      </tp>
      <tp t="s">
        <v/>
        <stp/>
        <stp>Market</stp>
        <stp>INDEX</stp>
        <stp>EUR/CHF</stp>
        <stp>上場来安値日付</stp>
        <tr r="AA204" s="1"/>
      </tp>
    </main>
    <main first="rtdsrv.dff54f4b11dd4e0d9cb19000fb943d8c">
      <tp t="s">
        <v/>
        <stp/>
        <stp>Market</stp>
        <stp>INDEX</stp>
        <stp>GBP/AUD</stp>
        <stp>上場来高値日付</stp>
        <tr r="Z214" s="1"/>
      </tp>
      <tp t="s">
        <v/>
        <stp/>
        <stp>Market</stp>
        <stp>INDEX</stp>
        <stp>GBP/AUD</stp>
        <stp>上場来安値日付</stp>
        <tr r="AA214" s="1"/>
      </tp>
    </main>
    <main first="rtdsrv.dff54f4b11dd4e0d9cb19000fb943d8c">
      <tp t="s">
        <v>↑</v>
        <stp/>
        <stp>Market</stp>
        <stp>INDEX</stp>
        <stp>TSSM</stp>
        <stp>現在値ティック</stp>
        <tr r="F7" s="1"/>
      </tp>
      <tp t="s">
        <v>↑</v>
        <stp/>
        <stp>Market</stp>
        <stp>INDEX</stp>
        <stp>TSPM</stp>
        <stp>現在値ティック</stp>
        <tr r="F6" s="1"/>
      </tp>
    </main>
    <main first="rtdsrv.dff54f4b11dd4e0d9cb19000fb943d8c">
      <tp t="s">
        <v>↑</v>
        <stp/>
        <stp>Market</stp>
        <stp>INDEX</stp>
        <stp>TSGM</stp>
        <stp>現在値ティック</stp>
        <tr r="F8" s="1"/>
      </tp>
    </main>
    <main first="rtdsrv.dff54f4b11dd4e0d9cb19000fb943d8c">
      <tp t="s">
        <v>↓</v>
        <stp/>
        <stp>Market</stp>
        <stp>INDEX</stp>
        <stp>SSEC</stp>
        <stp>現在値ティック</stp>
        <tr r="F68" s="1"/>
      </tp>
      <tp t="s">
        <v>↓</v>
        <stp/>
        <stp>Market</stp>
        <stp>INDEX</stp>
        <stp>SSEA</stp>
        <stp>現在値ティック</stp>
        <tr r="F69" s="1"/>
      </tp>
    </main>
    <main first="rtdsrv.dff54f4b11dd4e0d9cb19000fb943d8c">
      <tp>
        <v>12193.85</v>
        <stp/>
        <stp>Market</stp>
        <stp>INDEX</stp>
        <stp>NDXT</stp>
        <stp>始値</stp>
        <tr r="K49" s="1"/>
      </tp>
    </main>
    <main first="rtdsrv.dff54f4b11dd4e0d9cb19000fb943d8c">
      <tp>
        <v>-222.03</v>
        <stp/>
        <stp>Market</stp>
        <stp>INDEX</stp>
        <stp>BANK</stp>
        <stp>前日比</stp>
        <tr r="G40" s="1"/>
      </tp>
    </main>
    <main first="rtdsrv.dff54f4b11dd4e0d9cb19000fb943d8c">
      <tp>
        <v>4339.5200000000004</v>
        <stp/>
        <stp>Market</stp>
        <stp>INDEX</stp>
        <stp>N500</stp>
        <stp>始値</stp>
        <tr r="K9" s="1"/>
      </tp>
      <tp>
        <v>823.27</v>
        <stp/>
        <stp>Market</stp>
        <stp>INDEX</stp>
        <stp>N300</stp>
        <stp>始値</stp>
        <tr r="K3" s="1"/>
      </tp>
      <tp>
        <v>58606.03</v>
        <stp/>
        <stp>Market</stp>
        <stp>INDEX</stp>
        <stp>N225</stp>
        <stp>始値</stp>
        <tr r="K2" s="1"/>
      </tp>
    </main>
    <main first="rtdsrv.dff54f4b11dd4e0d9cb19000fb943d8c">
      <tp t="s">
        <v/>
        <stp/>
        <stp>Market</stp>
        <stp>INDEX</stp>
        <stp>PALLADIUM.FUT01.OS</stp>
        <stp>指標名称</stp>
        <tr r="B135" s="1"/>
      </tp>
      <tp t="s">
        <v/>
        <stp/>
        <stp>Market</stp>
        <stp>INDEX</stp>
        <stp>PALLADIUM.FUT03.OS</stp>
        <stp>指標名称</stp>
        <tr r="B137" s="1"/>
      </tp>
      <tp t="s">
        <v/>
        <stp/>
        <stp>Market</stp>
        <stp>INDEX</stp>
        <stp>PALLADIUM.FUT02.OS</stp>
        <stp>指標名称</stp>
        <tr r="B136" s="1"/>
      </tp>
      <tp t="s">
        <v/>
        <stp/>
        <stp>Market</stp>
        <stp>INDEX</stp>
        <stp>PALLADIUM.FUT05.OS</stp>
        <stp>指標名称</stp>
        <tr r="B139" s="1"/>
      </tp>
      <tp t="s">
        <v/>
        <stp/>
        <stp>Market</stp>
        <stp>INDEX</stp>
        <stp>PALLADIUM.FUT04.OS</stp>
        <stp>指標名称</stp>
        <tr r="B138" s="1"/>
      </tp>
      <tp t="s">
        <v/>
        <stp/>
        <stp>Market</stp>
        <stp>INDEX</stp>
        <stp>PALLADIUM.FUT06.OS</stp>
        <stp>指標名称</stp>
        <tr r="B140" s="1"/>
      </tp>
    </main>
    <main first="rtdsrv.dff54f4b11dd4e0d9cb19000fb943d8c">
      <tp>
        <v>3456.7</v>
        <stp/>
        <stp>Market</stp>
        <stp>INDEX</stp>
        <stp>NQUSMT</stp>
        <stp>前年終値</stp>
        <tr r="U57" s="1"/>
      </tp>
      <tp t="s">
        <v/>
        <stp/>
        <stp>Market</stp>
        <stp>INDEX</stp>
        <stp>PALLADIUM.FUT01.OS</stp>
        <stp>現在日付</stp>
        <tr r="C135" s="1"/>
      </tp>
      <tp t="s">
        <v/>
        <stp/>
        <stp>Market</stp>
        <stp>INDEX</stp>
        <stp>PALLADIUM.FUT03.OS</stp>
        <stp>現在日付</stp>
        <tr r="C137" s="1"/>
      </tp>
      <tp t="s">
        <v/>
        <stp/>
        <stp>Market</stp>
        <stp>INDEX</stp>
        <stp>PALLADIUM.FUT02.OS</stp>
        <stp>現在日付</stp>
        <tr r="C136" s="1"/>
      </tp>
      <tp t="s">
        <v/>
        <stp/>
        <stp>Market</stp>
        <stp>INDEX</stp>
        <stp>PALLADIUM.FUT05.OS</stp>
        <stp>現在日付</stp>
        <tr r="C139" s="1"/>
      </tp>
      <tp t="s">
        <v/>
        <stp/>
        <stp>Market</stp>
        <stp>INDEX</stp>
        <stp>PALLADIUM.FUT04.OS</stp>
        <stp>現在日付</stp>
        <tr r="C138" s="1"/>
      </tp>
      <tp t="s">
        <v/>
        <stp/>
        <stp>Market</stp>
        <stp>INDEX</stp>
        <stp>PALLADIUM.FUT06.OS</stp>
        <stp>現在日付</stp>
        <tr r="C140" s="1"/>
      </tp>
      <tp t="s">
        <v/>
        <stp/>
        <stp>Market</stp>
        <stp>INDEX</stp>
        <stp>PALLADIUM.FUT04.OS</stp>
        <stp>年初来安値</stp>
        <tr r="W138" s="1"/>
      </tp>
      <tp t="s">
        <v/>
        <stp/>
        <stp>Market</stp>
        <stp>INDEX</stp>
        <stp>PALLADIUM.FUT05.OS</stp>
        <stp>年初来安値</stp>
        <tr r="W139" s="1"/>
      </tp>
      <tp t="s">
        <v/>
        <stp/>
        <stp>Market</stp>
        <stp>INDEX</stp>
        <stp>SGD/JPY</stp>
        <stp>上場来高値日付</stp>
        <tr r="Z196" s="1"/>
      </tp>
      <tp t="s">
        <v/>
        <stp/>
        <stp>Market</stp>
        <stp>INDEX</stp>
        <stp>SGD/JPY</stp>
        <stp>上場来安値日付</stp>
        <tr r="AA196" s="1"/>
      </tp>
      <tp t="s">
        <v/>
        <stp/>
        <stp>Market</stp>
        <stp>INDEX</stp>
        <stp>PALLADIUM.FUT06.OS</stp>
        <stp>年初来安値</stp>
        <tr r="W140" s="1"/>
      </tp>
    </main>
    <main first="rtdsrv.dff54f4b11dd4e0d9cb19000fb943d8c">
      <tp t="s">
        <v/>
        <stp/>
        <stp>Market</stp>
        <stp>INDEX</stp>
        <stp>PALLADIUM.FUT01.OS</stp>
        <stp>年初来安値</stp>
        <tr r="W135" s="1"/>
      </tp>
      <tp t="s">
        <v/>
        <stp/>
        <stp>Market</stp>
        <stp>INDEX</stp>
        <stp>PALLADIUM.FUT02.OS</stp>
        <stp>年初来安値</stp>
        <tr r="W136" s="1"/>
      </tp>
      <tp t="s">
        <v/>
        <stp/>
        <stp>Market</stp>
        <stp>INDEX</stp>
        <stp>PALLADIUM.FUT03.OS</stp>
        <stp>年初来安値</stp>
        <tr r="W137" s="1"/>
      </tp>
      <tp t="s">
        <v/>
        <stp/>
        <stp>Market</stp>
        <stp>INDEX</stp>
        <stp>PALLADIUM.FUT04.OS</stp>
        <stp>上場来安値</stp>
        <tr r="Y138" s="1"/>
      </tp>
    </main>
    <main first="rtdsrv.dff54f4b11dd4e0d9cb19000fb943d8c">
      <tp t="s">
        <v/>
        <stp/>
        <stp>Market</stp>
        <stp>INDEX</stp>
        <stp>PALLADIUM.FUT05.OS</stp>
        <stp>上場来安値</stp>
        <tr r="Y139" s="1"/>
      </tp>
      <tp t="s">
        <v/>
        <stp/>
        <stp>Market</stp>
        <stp>INDEX</stp>
        <stp>PALLADIUM.FUT06.OS</stp>
        <stp>上場来安値</stp>
        <tr r="Y140" s="1"/>
      </tp>
      <tp t="s">
        <v/>
        <stp/>
        <stp>Market</stp>
        <stp>INDEX</stp>
        <stp>PALLADIUM.FUT01.OS</stp>
        <stp>上場来安値</stp>
        <tr r="Y135" s="1"/>
      </tp>
    </main>
    <main first="rtdsrv.dff54f4b11dd4e0d9cb19000fb943d8c">
      <tp t="s">
        <v/>
        <stp/>
        <stp>Market</stp>
        <stp>INDEX</stp>
        <stp>PALLADIUM.FUT02.OS</stp>
        <stp>上場来安値</stp>
        <tr r="Y136" s="1"/>
      </tp>
    </main>
    <main first="rtdsrv.dff54f4b11dd4e0d9cb19000fb943d8c">
      <tp t="s">
        <v/>
        <stp/>
        <stp>Market</stp>
        <stp>INDEX</stp>
        <stp>PALLADIUM.FUT03.OS</stp>
        <stp>上場来安値</stp>
        <tr r="Y137" s="1"/>
      </tp>
    </main>
    <main first="rtdsrv.dff54f4b11dd4e0d9cb19000fb943d8c">
      <tp>
        <v>0</v>
        <stp/>
        <stp>Market</stp>
        <stp>INDEX</stp>
        <stp>RSS3.FUT08.OS</stp>
        <stp>始値</stp>
        <tr r="K148" s="1"/>
      </tp>
    </main>
    <main first="rtdsrv.dff54f4b11dd4e0d9cb19000fb943d8c">
      <tp t="s">
        <v/>
        <stp/>
        <stp>Market</stp>
        <stp>INDEX</stp>
        <stp>REDBEAN.FUT01.OS</stp>
        <stp>上場来安値</stp>
        <tr r="Y165" s="1"/>
      </tp>
      <tp t="s">
        <v/>
        <stp/>
        <stp>Market</stp>
        <stp>INDEX</stp>
        <stp>SOYBEAN.FUT01.OS</stp>
        <stp>上場来安値</stp>
        <tr r="Y171" s="1"/>
      </tp>
      <tp>
        <v>-4.88</v>
        <stp/>
        <stp>Market</stp>
        <stp>INDEX</stp>
        <stp>SPESG</stp>
        <stp>前日比</stp>
        <tr r="G38" s="1"/>
      </tp>
      <tp t="s">
        <v/>
        <stp/>
        <stp>Market</stp>
        <stp>INDEX</stp>
        <stp>SOYBEAN.FUT02.OS</stp>
        <stp>上場来安値</stp>
        <tr r="Y172" s="1"/>
      </tp>
      <tp t="s">
        <v/>
        <stp/>
        <stp>Market</stp>
        <stp>INDEX</stp>
        <stp>REDBEAN.FUT03.OS</stp>
        <stp>上場来安値</stp>
        <tr r="Y167" s="1"/>
      </tp>
      <tp t="s">
        <v/>
        <stp/>
        <stp>Market</stp>
        <stp>INDEX</stp>
        <stp>SOYBEAN.FUT03.OS</stp>
        <stp>上場来安値</stp>
        <tr r="Y173" s="1"/>
      </tp>
      <tp t="s">
        <v/>
        <stp/>
        <stp>Market</stp>
        <stp>INDEX</stp>
        <stp>REDBEAN.FUT02.OS</stp>
        <stp>上場来安値</stp>
        <tr r="Y166" s="1"/>
      </tp>
      <tp>
        <v>4328.8689000000004</v>
        <stp/>
        <stp>Market</stp>
        <stp>INDEX</stp>
        <stp>SSEA</stp>
        <stp>安値</stp>
        <tr r="M69" s="1"/>
      </tp>
      <tp>
        <v>4128.3599999999997</v>
        <stp/>
        <stp>Market</stp>
        <stp>INDEX</stp>
        <stp>SSEC</stp>
        <stp>安値</stp>
        <tr r="M68" s="1"/>
      </tp>
      <tp t="s">
        <v/>
        <stp/>
        <stp>Market</stp>
        <stp>INDEX</stp>
        <stp>SOYBEAN.FUT04.OS</stp>
        <stp>上場来安値</stp>
        <tr r="Y174" s="1"/>
      </tp>
      <tp t="s">
        <v/>
        <stp/>
        <stp>Market</stp>
        <stp>INDEX</stp>
        <stp>REDBEAN.FUT05.OS</stp>
        <stp>上場来安値</stp>
        <tr r="Y169" s="1"/>
      </tp>
      <tp t="s">
        <v/>
        <stp/>
        <stp>Market</stp>
        <stp>INDEX</stp>
        <stp>TCWSI</stp>
        <stp>現在値ティック</stp>
        <tr r="F101" s="1"/>
      </tp>
      <tp t="s">
        <v/>
        <stp/>
        <stp>Market</stp>
        <stp>INDEX</stp>
        <stp>SOYBEAN.FUT05.OS</stp>
        <stp>上場来安値</stp>
        <tr r="Y175" s="1"/>
      </tp>
      <tp t="s">
        <v/>
        <stp/>
        <stp>Market</stp>
        <stp>INDEX</stp>
        <stp>REDBEAN.FUT04.OS</stp>
        <stp>上場来安値</stp>
        <tr r="Y168" s="1"/>
      </tp>
      <tp t="s">
        <v/>
        <stp/>
        <stp>Market</stp>
        <stp>INDEX</stp>
        <stp>SOYBEAN.FUT06.OS</stp>
        <stp>上場来安値</stp>
        <tr r="Y176" s="1"/>
      </tp>
      <tp t="s">
        <v/>
        <stp/>
        <stp>Market</stp>
        <stp>INDEX</stp>
        <stp>REDBEAN.FUT06.OS</stp>
        <stp>上場来安値</stp>
        <tr r="Y170" s="1"/>
      </tp>
      <tp>
        <v>-30.11</v>
        <stp/>
        <stp>Market</stp>
        <stp>INDEX</stp>
        <stp>TREIT</stp>
        <stp>前日比</stp>
        <tr r="G15" s="1"/>
      </tp>
      <tp>
        <v>950.29</v>
        <stp/>
        <stp>Market</stp>
        <stp>INDEX</stp>
        <stp>SIXU</stp>
        <stp>安値</stp>
        <tr r="M31" s="1"/>
      </tp>
      <tp>
        <v>2777.62</v>
        <stp/>
        <stp>Market</stp>
        <stp>INDEX</stp>
        <stp>SIXT</stp>
        <stp>安値</stp>
        <tr r="M36" s="1"/>
      </tp>
      <tp>
        <v>1583.89</v>
        <stp/>
        <stp>Market</stp>
        <stp>INDEX</stp>
        <stp>SIXV</stp>
        <stp>安値</stp>
        <tr r="M37" s="1"/>
      </tp>
      <tp>
        <v>897.56</v>
        <stp/>
        <stp>Market</stp>
        <stp>INDEX</stp>
        <stp>SIXR</stp>
        <stp>安値</stp>
        <tr r="M35" s="1"/>
      </tp>
      <tp>
        <v>2336.9499999999998</v>
        <stp/>
        <stp>Market</stp>
        <stp>INDEX</stp>
        <stp>SIXY</stp>
        <stp>安値</stp>
        <tr r="M32" s="1"/>
      </tp>
      <tp>
        <v>1150.1199999999999</v>
        <stp/>
        <stp>Market</stp>
        <stp>INDEX</stp>
        <stp>SIXE</stp>
        <stp>安値</stp>
        <tr r="M28" s="1"/>
      </tp>
      <tp>
        <v>606.54</v>
        <stp/>
        <stp>Market</stp>
        <stp>INDEX</stp>
        <stp>SIXC</stp>
        <stp>安値</stp>
        <tr r="M33" s="1"/>
      </tp>
      <tp>
        <v>1117.8900000000001</v>
        <stp/>
        <stp>Market</stp>
        <stp>INDEX</stp>
        <stp>SIXB</stp>
        <stp>安値</stp>
        <tr r="M27" s="1"/>
      </tp>
      <tp>
        <v>627.49</v>
        <stp/>
        <stp>Market</stp>
        <stp>INDEX</stp>
        <stp>SIXM</stp>
        <stp>安値</stp>
        <tr r="M29" s="1"/>
      </tp>
      <tp>
        <v>1763.56</v>
        <stp/>
        <stp>Market</stp>
        <stp>INDEX</stp>
        <stp>SIXI</stp>
        <stp>安値</stp>
        <tr r="M34" s="1"/>
      </tp>
      <tp t="s">
        <v/>
        <stp/>
        <stp>Market</stp>
        <stp>INDEX</stp>
        <stp>REDBEAN.FUT01.OS</stp>
        <stp>年初来安値</stp>
        <tr r="W165" s="1"/>
      </tp>
      <tp t="s">
        <v/>
        <stp/>
        <stp>Market</stp>
        <stp>INDEX</stp>
        <stp>SOYBEAN.FUT01.OS</stp>
        <stp>年初来安値</stp>
        <tr r="W171" s="1"/>
      </tp>
      <tp t="s">
        <v/>
        <stp/>
        <stp>Market</stp>
        <stp>INDEX</stp>
        <stp>SOYBEAN.FUT02.OS</stp>
        <stp>年初来安値</stp>
        <tr r="W172" s="1"/>
      </tp>
      <tp t="s">
        <v/>
        <stp/>
        <stp>Market</stp>
        <stp>INDEX</stp>
        <stp>REDBEAN.FUT03.OS</stp>
        <stp>年初来安値</stp>
        <tr r="W167" s="1"/>
      </tp>
      <tp t="s">
        <v/>
        <stp/>
        <stp>Market</stp>
        <stp>INDEX</stp>
        <stp>SOYBEAN.FUT03.OS</stp>
        <stp>年初来安値</stp>
        <tr r="W173" s="1"/>
      </tp>
      <tp t="s">
        <v/>
        <stp/>
        <stp>Market</stp>
        <stp>INDEX</stp>
        <stp>REDBEAN.FUT02.OS</stp>
        <stp>年初来安値</stp>
        <tr r="W166" s="1"/>
      </tp>
      <tp t="s">
        <v/>
        <stp/>
        <stp>Market</stp>
        <stp>INDEX</stp>
        <stp>SOYBEAN.FUT04.OS</stp>
        <stp>年初来安値</stp>
        <tr r="W174" s="1"/>
      </tp>
      <tp t="s">
        <v/>
        <stp/>
        <stp>Market</stp>
        <stp>INDEX</stp>
        <stp>REDBEAN.FUT05.OS</stp>
        <stp>年初来安値</stp>
        <tr r="W169" s="1"/>
      </tp>
      <tp t="s">
        <v/>
        <stp/>
        <stp>Market</stp>
        <stp>INDEX</stp>
        <stp>SOYBEAN.FUT05.OS</stp>
        <stp>年初来安値</stp>
        <tr r="W175" s="1"/>
      </tp>
      <tp t="s">
        <v/>
        <stp/>
        <stp>Market</stp>
        <stp>INDEX</stp>
        <stp>REDBEAN.FUT04.OS</stp>
        <stp>年初来安値</stp>
        <tr r="W168" s="1"/>
      </tp>
      <tp t="s">
        <v/>
        <stp/>
        <stp>Market</stp>
        <stp>INDEX</stp>
        <stp>SOYBEAN.FUT06.OS</stp>
        <stp>年初来安値</stp>
        <tr r="W176" s="1"/>
      </tp>
      <tp t="s">
        <v/>
        <stp/>
        <stp>Market</stp>
        <stp>INDEX</stp>
        <stp>REDBEAN.FUT06.OS</stp>
        <stp>年初来安値</stp>
        <tr r="W170" s="1"/>
      </tp>
    </main>
    <main first="rtdsrv.dff54f4b11dd4e0d9cb19000fb943d8c">
      <tp>
        <v>5261.78</v>
        <stp/>
        <stp>Market</stp>
        <stp>INDEX</stp>
        <stp>NQUSLT</stp>
        <stp>前年終値</stp>
        <tr r="U56" s="1"/>
      </tp>
    </main>
    <main first="rtdsrv.dff54f4b11dd4e0d9cb19000fb943d8c">
      <tp>
        <v>59100</v>
        <stp/>
        <stp>Market</stp>
        <stp>INDEX</stp>
        <stp>N225.FUT01.S</stp>
        <stp>始値</stp>
        <tr r="K185" s="1"/>
      </tp>
      <tp>
        <v>58635</v>
        <stp/>
        <stp>Market</stp>
        <stp>INDEX</stp>
        <stp>N225.FUT01.C</stp>
        <stp>始値</stp>
        <tr r="K183" s="1"/>
      </tp>
      <tp>
        <v>59180</v>
        <stp/>
        <stp>Market</stp>
        <stp>INDEX</stp>
        <stp>N225.FUT02.S</stp>
        <stp>始値</stp>
        <tr r="K186" s="1"/>
      </tp>
      <tp>
        <v>58265</v>
        <stp/>
        <stp>Market</stp>
        <stp>INDEX</stp>
        <stp>N225.FUT02.C</stp>
        <stp>始値</stp>
        <tr r="K184" s="1"/>
      </tp>
    </main>
    <main first="rtdsrv.dff54f4b11dd4e0d9cb19000fb943d8c">
      <tp>
        <v>0</v>
        <stp/>
        <stp>Market</stp>
        <stp>INDEX</stp>
        <stp>RSS3.FUT09.OS</stp>
        <stp>始値</stp>
        <tr r="K149" s="1"/>
      </tp>
    </main>
    <main first="rtdsrv.dff54f4b11dd4e0d9cb19000fb943d8c">
      <tp t="s">
        <v/>
        <stp/>
        <stp>Market</stp>
        <stp>INDEX</stp>
        <stp>FTSECA50</stp>
        <stp>前年終値</stp>
        <tr r="U102" s="1"/>
      </tp>
    </main>
    <main first="rtdsrv.dff54f4b11dd4e0d9cb19000fb943d8c">
      <tp>
        <v>0</v>
        <stp/>
        <stp>Market</stp>
        <stp>INDEX</stp>
        <stp>RSS3.FUT08.OS</stp>
        <stp>安値</stp>
        <tr r="M148" s="1"/>
      </tp>
    </main>
    <main first="rtdsrv.dff54f4b11dd4e0d9cb19000fb943d8c">
      <tp t="s">
        <v/>
        <stp/>
        <stp>Market</stp>
        <stp>INDEX</stp>
        <stp>NZD/USD</stp>
        <stp>上場来高値日付</stp>
        <tr r="Z200" s="1"/>
      </tp>
      <tp t="s">
        <v/>
        <stp/>
        <stp>Market</stp>
        <stp>INDEX</stp>
        <stp>NZD/USD</stp>
        <stp>上場来安値日付</stp>
        <tr r="AA200" s="1"/>
      </tp>
    </main>
    <main first="rtdsrv.dff54f4b11dd4e0d9cb19000fb943d8c">
      <tp>
        <v>165.26</v>
        <stp/>
        <stp>Market</stp>
        <stp>INDEX</stp>
        <stp>CPQ</stp>
        <stp>上場来安値</stp>
        <tr r="Y60" s="1"/>
      </tp>
    </main>
    <main first="rtdsrv.dff54f4b11dd4e0d9cb19000fb943d8c">
      <tp t="s">
        <v>↑</v>
        <stp/>
        <stp>Market</stp>
        <stp>INDEX</stp>
        <stp>INSR</stp>
        <stp>現在値ティック</stp>
        <tr r="F41" s="1"/>
      </tp>
      <tp>
        <v>4329.4197999999997</v>
        <stp/>
        <stp>Market</stp>
        <stp>INDEX</stp>
        <stp>SSEA</stp>
        <stp>始値</stp>
        <tr r="K69" s="1"/>
      </tp>
      <tp>
        <v>4128.8973999999998</v>
        <stp/>
        <stp>Market</stp>
        <stp>INDEX</stp>
        <stp>SSEC</stp>
        <stp>始値</stp>
        <tr r="K68" s="1"/>
      </tp>
      <tp>
        <v>1170.6243999999999</v>
        <stp/>
        <stp>Market</stp>
        <stp>INDEX</stp>
        <stp>CPQ</stp>
        <stp>年初来安値</stp>
        <tr r="W60" s="1"/>
      </tp>
      <tp t="s">
        <v>↑</v>
        <stp/>
        <stp>Market</stp>
        <stp>INDEX</stp>
        <stp>INDS</stp>
        <stp>現在値ティック</stp>
        <tr r="F39" s="1"/>
      </tp>
    </main>
    <main first="rtdsrv.dff54f4b11dd4e0d9cb19000fb943d8c">
      <tp>
        <v>950.98</v>
        <stp/>
        <stp>Market</stp>
        <stp>INDEX</stp>
        <stp>SIXU</stp>
        <stp>始値</stp>
        <tr r="K31" s="1"/>
      </tp>
      <tp>
        <v>2794.51</v>
        <stp/>
        <stp>Market</stp>
        <stp>INDEX</stp>
        <stp>SIXT</stp>
        <stp>始値</stp>
        <tr r="K36" s="1"/>
      </tp>
      <tp>
        <v>1584.76</v>
        <stp/>
        <stp>Market</stp>
        <stp>INDEX</stp>
        <stp>SIXV</stp>
        <stp>始値</stp>
        <tr r="K37" s="1"/>
      </tp>
      <tp>
        <v>897.56</v>
        <stp/>
        <stp>Market</stp>
        <stp>INDEX</stp>
        <stp>SIXR</stp>
        <stp>始値</stp>
        <tr r="K35" s="1"/>
      </tp>
      <tp>
        <v>2348.61</v>
        <stp/>
        <stp>Market</stp>
        <stp>INDEX</stp>
        <stp>SIXY</stp>
        <stp>始値</stp>
        <tr r="K32" s="1"/>
      </tp>
      <tp>
        <v>1159.78</v>
        <stp/>
        <stp>Market</stp>
        <stp>INDEX</stp>
        <stp>SIXE</stp>
        <stp>始値</stp>
        <tr r="K28" s="1"/>
      </tp>
      <tp>
        <v>609.55999999999995</v>
        <stp/>
        <stp>Market</stp>
        <stp>INDEX</stp>
        <stp>SIXC</stp>
        <stp>始値</stp>
        <tr r="K33" s="1"/>
      </tp>
      <tp>
        <v>1123.5999999999999</v>
        <stp/>
        <stp>Market</stp>
        <stp>INDEX</stp>
        <stp>SIXB</stp>
        <stp>始値</stp>
        <tr r="K27" s="1"/>
      </tp>
      <tp>
        <v>641.99</v>
        <stp/>
        <stp>Market</stp>
        <stp>INDEX</stp>
        <stp>SIXM</stp>
        <stp>始値</stp>
        <tr r="K29" s="1"/>
      </tp>
      <tp>
        <v>1774.18</v>
        <stp/>
        <stp>Market</stp>
        <stp>INDEX</stp>
        <stp>SIXI</stp>
        <stp>始値</stp>
        <tr r="K34" s="1"/>
      </tp>
    </main>
    <main first="rtdsrv.dff54f4b11dd4e0d9cb19000fb943d8c">
      <tp>
        <v>29.43</v>
        <stp/>
        <stp>Market</stp>
        <stp>INDEX</stp>
        <stp>TSGMC</stp>
        <stp>前日比</stp>
        <tr r="G12" s="1"/>
      </tp>
      <tp t="s">
        <v/>
        <stp/>
        <stp>Market</stp>
        <stp>INDEX</stp>
        <stp>N225U.FUT03.OS</stp>
        <stp>前年終値</stp>
        <tr r="U84" s="1"/>
      </tp>
      <tp t="s">
        <v/>
        <stp/>
        <stp>Market</stp>
        <stp>INDEX</stp>
        <stp>N225U.FUT02.OS</stp>
        <stp>前年終値</stp>
        <tr r="U83" s="1"/>
      </tp>
      <tp t="s">
        <v/>
        <stp/>
        <stp>Market</stp>
        <stp>INDEX</stp>
        <stp>N225U.FUT01.OS</stp>
        <stp>前年終値</stp>
        <tr r="U82" s="1"/>
      </tp>
      <tp t="s">
        <v/>
        <stp/>
        <stp>Market</stp>
        <stp>INDEX</stp>
        <stp>N225U.FUT04.OS</stp>
        <stp>前年終値</stp>
        <tr r="U85" s="1"/>
      </tp>
    </main>
    <main first="rtdsrv.dff54f4b11dd4e0d9cb19000fb943d8c">
      <tp>
        <v>0</v>
        <stp/>
        <stp>Market</stp>
        <stp>INDEX</stp>
        <stp>RSS3.FUT09.OS</stp>
        <stp>安値</stp>
        <tr r="M149" s="1"/>
      </tp>
    </main>
    <main first="rtdsrv.dff54f4b11dd4e0d9cb19000fb943d8c">
      <tp t="s">
        <v>↑</v>
        <stp/>
        <stp>Market</stp>
        <stp>INDEX</stp>
        <stp>TOPX</stp>
        <stp>現在値ティック</stp>
        <tr r="F4" s="1"/>
      </tp>
      <tp t="s">
        <v/>
        <stp/>
        <stp>Market</stp>
        <stp>INDEX</stp>
        <stp>VOLQ</stp>
        <stp>現在値ティック</stp>
        <tr r="F64" s="1"/>
      </tp>
    </main>
    <main first="rtdsrv.dff54f4b11dd4e0d9cb19000fb943d8c">
      <tp>
        <v>58405</v>
        <stp/>
        <stp>Market</stp>
        <stp>INDEX</stp>
        <stp>N225.FUT02.S</stp>
        <stp>安値</stp>
        <tr r="M186" s="1"/>
      </tp>
      <tp>
        <v>58080</v>
        <stp/>
        <stp>Market</stp>
        <stp>INDEX</stp>
        <stp>N225.FUT02.C</stp>
        <stp>安値</stp>
        <tr r="M184" s="1"/>
      </tp>
      <tp>
        <v>58385</v>
        <stp/>
        <stp>Market</stp>
        <stp>INDEX</stp>
        <stp>N225.FUT01.S</stp>
        <stp>安値</stp>
        <tr r="M185" s="1"/>
      </tp>
      <tp>
        <v>58175</v>
        <stp/>
        <stp>Market</stp>
        <stp>INDEX</stp>
        <stp>N225.FUT01.C</stp>
        <stp>安値</stp>
        <tr r="M183" s="1"/>
      </tp>
    </main>
    <main first="rtdsrv.dff54f4b11dd4e0d9cb19000fb943d8c">
      <tp t="s">
        <v/>
        <stp/>
        <stp>Market</stp>
        <stp>INDEX</stp>
        <stp>PLATINUM.FUT04.OS</stp>
        <stp>前年最安値</stp>
        <tr r="T119" s="1"/>
      </tp>
    </main>
    <main first="rtdsrv.dff54f4b11dd4e0d9cb19000fb943d8c">
      <tp t="s">
        <v/>
        <stp/>
        <stp>Market</stp>
        <stp>INDEX</stp>
        <stp>PLATINUM.FUT05.OS</stp>
        <stp>前年最安値</stp>
        <tr r="T120" s="1"/>
      </tp>
      <tp t="s">
        <v/>
        <stp/>
        <stp>Market</stp>
        <stp>INDEX</stp>
        <stp>PLATINUM.FUT06.OS</stp>
        <stp>前年最安値</stp>
        <tr r="T121" s="1"/>
      </tp>
      <tp t="s">
        <v/>
        <stp/>
        <stp>Market</stp>
        <stp>INDEX</stp>
        <stp>PLATINUM.FUT01.OS</stp>
        <stp>前年最安値</stp>
        <tr r="T116" s="1"/>
      </tp>
    </main>
    <main first="rtdsrv.dff54f4b11dd4e0d9cb19000fb943d8c">
      <tp t="s">
        <v/>
        <stp/>
        <stp>Market</stp>
        <stp>INDEX</stp>
        <stp>PLATINUM.FUT02.OS</stp>
        <stp>前年最安値</stp>
        <tr r="T117" s="1"/>
      </tp>
    </main>
    <main first="rtdsrv.dff54f4b11dd4e0d9cb19000fb943d8c">
      <tp t="s">
        <v/>
        <stp/>
        <stp>Market</stp>
        <stp>INDEX</stp>
        <stp>PLATINUM.FUT03.OS</stp>
        <stp>前年最安値</stp>
        <tr r="T118" s="1"/>
      </tp>
    </main>
    <main first="rtdsrv.dff54f4b11dd4e0d9cb19000fb943d8c">
      <tp>
        <v>1998.26</v>
        <stp/>
        <stp>Market</stp>
        <stp>INDEX</stp>
        <stp>TSPM</stp>
        <stp>始値</stp>
        <tr r="K6" s="1"/>
      </tp>
      <tp>
        <v>1742.43</v>
        <stp/>
        <stp>Market</stp>
        <stp>INDEX</stp>
        <stp>TSSM</stp>
        <stp>始値</stp>
        <tr r="K7" s="1"/>
      </tp>
      <tp>
        <v>982.68</v>
        <stp/>
        <stp>Market</stp>
        <stp>INDEX</stp>
        <stp>TSGM</stp>
        <stp>始値</stp>
        <tr r="K8" s="1"/>
      </tp>
      <tp t="s">
        <v>↓</v>
        <stp/>
        <stp>Market</stp>
        <stp>INDEX</stp>
        <stp>SIXM</stp>
        <stp>現在値ティック</stp>
        <tr r="F29" s="1"/>
      </tp>
      <tp t="s">
        <v>↑</v>
        <stp/>
        <stp>Market</stp>
        <stp>INDEX</stp>
        <stp>SIXI</stp>
        <stp>現在値ティック</stp>
        <tr r="F34" s="1"/>
      </tp>
      <tp t="s">
        <v>↑</v>
        <stp/>
        <stp>Market</stp>
        <stp>INDEX</stp>
        <stp>SIXE</stp>
        <stp>現在値ティック</stp>
        <tr r="F28" s="1"/>
      </tp>
      <tp t="s">
        <v>↑</v>
        <stp/>
        <stp>Market</stp>
        <stp>INDEX</stp>
        <stp>SIXB</stp>
        <stp>現在値ティック</stp>
        <tr r="F27" s="1"/>
      </tp>
      <tp t="s">
        <v>↓</v>
        <stp/>
        <stp>Market</stp>
        <stp>INDEX</stp>
        <stp>SIXC</stp>
        <stp>現在値ティック</stp>
        <tr r="F33" s="1"/>
      </tp>
      <tp t="s">
        <v>↑</v>
        <stp/>
        <stp>Market</stp>
        <stp>INDEX</stp>
        <stp>SIXY</stp>
        <stp>現在値ティック</stp>
        <tr r="F32" s="1"/>
      </tp>
      <tp t="s">
        <v>↑</v>
        <stp/>
        <stp>Market</stp>
        <stp>INDEX</stp>
        <stp>SIXV</stp>
        <stp>現在値ティック</stp>
        <tr r="F37" s="1"/>
      </tp>
      <tp t="s">
        <v>↑</v>
        <stp/>
        <stp>Market</stp>
        <stp>INDEX</stp>
        <stp>SIXT</stp>
        <stp>現在値ティック</stp>
        <tr r="F36" s="1"/>
      </tp>
      <tp t="s">
        <v>↑</v>
        <stp/>
        <stp>Market</stp>
        <stp>INDEX</stp>
        <stp>SIXU</stp>
        <stp>現在値ティック</stp>
        <tr r="F31" s="1"/>
      </tp>
      <tp t="s">
        <v>↑</v>
        <stp/>
        <stp>Market</stp>
        <stp>INDEX</stp>
        <stp>SIXR</stp>
        <stp>現在値ティック</stp>
        <tr r="F35" s="1"/>
      </tp>
      <tp>
        <v>8607.24</v>
        <stp/>
        <stp>Market</stp>
        <stp>INDEX</stp>
        <stp>TRAN</stp>
        <stp>始値</stp>
        <tr r="K43" s="1"/>
      </tp>
      <tp>
        <v>3878.86</v>
        <stp/>
        <stp>Market</stp>
        <stp>INDEX</stp>
        <stp>TOPX</stp>
        <stp>始値</stp>
        <tr r="K4" s="1"/>
      </tp>
    </main>
    <main first="rtdsrv.dff54f4b11dd4e0d9cb19000fb943d8c">
      <tp>
        <v>107.43</v>
        <stp/>
        <stp>Market</stp>
        <stp>INDEX</stp>
        <stp>VVIX</stp>
        <stp>安値</stp>
        <tr r="M26" s="1"/>
      </tp>
    </main>
    <main first="rtdsrv.dff54f4b11dd4e0d9cb19000fb943d8c">
      <tp>
        <v>0</v>
        <stp/>
        <stp>Market</stp>
        <stp>INDEX</stp>
        <stp>VOLQ</stp>
        <stp>安値</stp>
        <tr r="M64" s="1"/>
      </tp>
    </main>
    <main first="rtdsrv.dff54f4b11dd4e0d9cb19000fb943d8c">
      <tp t="s">
        <v>-</v>
        <stp/>
        <stp>Market</stp>
        <stp>INDEX</stp>
        <stp>NQ</stp>
        <stp>安値時刻</stp>
        <tr r="P21" s="1"/>
      </tp>
      <tp t="s">
        <v>-</v>
        <stp/>
        <stp>Market</stp>
        <stp>INDEX</stp>
        <stp>NQ</stp>
        <stp>始値時刻</stp>
        <tr r="N21" s="1"/>
      </tp>
      <tp t="s">
        <v>-</v>
        <stp/>
        <stp>Market</stp>
        <stp>INDEX</stp>
        <stp>NQ</stp>
        <stp>高値時刻</stp>
        <tr r="O21" s="1"/>
      </tp>
    </main>
    <main first="rtdsrv.dff54f4b11dd4e0d9cb19000fb943d8c">
      <tp t="s">
        <v/>
        <stp/>
        <stp>Market</stp>
        <stp>INDEX</stp>
        <stp>USD/JPY</stp>
        <stp>上場来高値日付</stp>
        <tr r="Z187" s="1"/>
      </tp>
      <tp t="s">
        <v/>
        <stp/>
        <stp>Market</stp>
        <stp>INDEX</stp>
        <stp>USD/JPY</stp>
        <stp>上場来安値日付</stp>
        <tr r="AA187" s="1"/>
      </tp>
    </main>
    <main first="rtdsrv.dff54f4b11dd4e0d9cb19000fb943d8c">
      <tp>
        <v>38.36</v>
        <stp/>
        <stp>Market</stp>
        <stp>INDEX</stp>
        <stp>XAU</stp>
        <stp>上場来安値</stp>
        <tr r="Y50" s="1"/>
      </tp>
      <tp>
        <v>9.68</v>
        <stp/>
        <stp>Market</stp>
        <stp>INDEX</stp>
        <stp>IXTC</stp>
        <stp>前日比</stp>
        <tr r="G44" s="1"/>
      </tp>
      <tp>
        <v>332.93</v>
        <stp/>
        <stp>Market</stp>
        <stp>INDEX</stp>
        <stp>XAU</stp>
        <stp>年初来安値</stp>
        <tr r="W50" s="1"/>
      </tp>
      <tp>
        <v>-406.96</v>
        <stp/>
        <stp>Market</stp>
        <stp>INDEX</stp>
        <stp>IXCO</stp>
        <stp>前日比</stp>
        <tr r="G45" s="1"/>
      </tp>
      <tp>
        <v>5.15</v>
        <stp/>
        <stp>Market</stp>
        <stp>INDEX</stp>
        <stp>IXHC</stp>
        <stp>前日比</stp>
        <tr r="G48" s="1"/>
      </tp>
    </main>
    <main first="rtdsrv.dff54f4b11dd4e0d9cb19000fb943d8c">
      <tp t="s">
        <v>↑</v>
        <stp/>
        <stp>Market</stp>
        <stp>INDEX</stp>
        <stp>DJIA</stp>
        <stp>現在値ティック</stp>
        <tr r="F20" s="1"/>
      </tp>
    </main>
    <main first="rtdsrv.dff54f4b11dd4e0d9cb19000fb943d8c">
      <tp>
        <v>27.8</v>
        <stp/>
        <stp>Market</stp>
        <stp>INDEX</stp>
        <stp>HSCCI</stp>
        <stp>前日比</stp>
        <tr r="G67" s="1"/>
      </tp>
      <tp>
        <v>45.2</v>
        <stp/>
        <stp>Market</stp>
        <stp>INDEX</stp>
        <stp>HSCEI</stp>
        <stp>前日比</stp>
        <tr r="G66" s="1"/>
      </tp>
    </main>
    <main first="rtdsrv.dff54f4b11dd4e0d9cb19000fb943d8c">
      <tp>
        <v>22.83</v>
        <stp/>
        <stp>Market</stp>
        <stp>INDEX</stp>
        <stp>JGB:F</stp>
        <stp>前日比</stp>
        <tr r="G16" s="1"/>
      </tp>
      <tp t="s">
        <v>2021/02/18</v>
        <stp/>
        <stp>Market</stp>
        <stp>INDEX</stp>
        <stp>CSI300</stp>
        <stp>上場来高値日付</stp>
        <tr r="Z71" s="1"/>
      </tp>
      <tp t="s">
        <v/>
        <stp/>
        <stp>Market</stp>
        <stp>INDEX</stp>
        <stp>FTSECA50</stp>
        <stp>前年最安値</stp>
        <tr r="T102" s="1"/>
      </tp>
      <tp t="s">
        <v>2005/06/06</v>
        <stp/>
        <stp>Market</stp>
        <stp>INDEX</stp>
        <stp>CSI300</stp>
        <stp>上場来安値日付</stp>
        <tr r="AA71" s="1"/>
      </tp>
    </main>
    <main first="rtdsrv.dff54f4b11dd4e0d9cb19000fb943d8c">
      <tp t="s">
        <v/>
        <stp/>
        <stp>Market</stp>
        <stp>INDEX</stp>
        <stp>TRY/JPY</stp>
        <stp>上場来高値日付</stp>
        <tr r="Z209" s="1"/>
      </tp>
      <tp t="s">
        <v/>
        <stp/>
        <stp>Market</stp>
        <stp>INDEX</stp>
        <stp>TRY/JPY</stp>
        <stp>上場来安値日付</stp>
        <tr r="AA209" s="1"/>
      </tp>
    </main>
    <main first="rtdsrv.dff54f4b11dd4e0d9cb19000fb943d8c">
      <tp>
        <v>110.96</v>
        <stp/>
        <stp>Market</stp>
        <stp>INDEX</stp>
        <stp>VVIX</stp>
        <stp>始値</stp>
        <tr r="K26" s="1"/>
      </tp>
      <tp>
        <v>0</v>
        <stp/>
        <stp>Market</stp>
        <stp>INDEX</stp>
        <stp>VOLQ</stp>
        <stp>始値</stp>
        <tr r="K64" s="1"/>
      </tp>
    </main>
    <main first="rtdsrv.dff54f4b11dd4e0d9cb19000fb943d8c">
      <tp t="s">
        <v/>
        <stp/>
        <stp>Market</stp>
        <stp>INDEX</stp>
        <stp>GOLDMINI.FUT06.OS</stp>
        <stp>上場来高値日付</stp>
        <tr r="Z114" s="1"/>
      </tp>
      <tp t="s">
        <v/>
        <stp/>
        <stp>Market</stp>
        <stp>INDEX</stp>
        <stp>GOLDMINI.FUT05.OS</stp>
        <stp>上場来高値日付</stp>
        <tr r="Z113" s="1"/>
      </tp>
      <tp t="s">
        <v/>
        <stp/>
        <stp>Market</stp>
        <stp>INDEX</stp>
        <stp>GOLDMINI.FUT04.OS</stp>
        <stp>上場来高値日付</stp>
        <tr r="Z112" s="1"/>
      </tp>
      <tp t="s">
        <v/>
        <stp/>
        <stp>Market</stp>
        <stp>INDEX</stp>
        <stp>GOLDMINI.FUT03.OS</stp>
        <stp>上場来高値日付</stp>
        <tr r="Z111" s="1"/>
      </tp>
      <tp t="s">
        <v/>
        <stp/>
        <stp>Market</stp>
        <stp>INDEX</stp>
        <stp>GOLDMINI.FUT02.OS</stp>
        <stp>上場来高値日付</stp>
        <tr r="Z110" s="1"/>
      </tp>
      <tp t="s">
        <v/>
        <stp/>
        <stp>Market</stp>
        <stp>INDEX</stp>
        <stp>GOLDMINI.FUT01.OS</stp>
        <stp>上場来高値日付</stp>
        <tr r="Z109" s="1"/>
      </tp>
    </main>
    <main first="rtdsrv.dff54f4b11dd4e0d9cb19000fb943d8c">
      <tp t="s">
        <v/>
        <stp/>
        <stp>Market</stp>
        <stp>INDEX</stp>
        <stp>GOLDMINI.FUT06.OS</stp>
        <stp>上場来安値日付</stp>
        <tr r="AA114" s="1"/>
      </tp>
      <tp t="s">
        <v/>
        <stp/>
        <stp>Market</stp>
        <stp>INDEX</stp>
        <stp>GOLDMINI.FUT04.OS</stp>
        <stp>上場来安値日付</stp>
        <tr r="AA112" s="1"/>
      </tp>
      <tp t="s">
        <v/>
        <stp/>
        <stp>Market</stp>
        <stp>INDEX</stp>
        <stp>GOLDMINI.FUT05.OS</stp>
        <stp>上場来安値日付</stp>
        <tr r="AA113" s="1"/>
      </tp>
      <tp t="s">
        <v/>
        <stp/>
        <stp>Market</stp>
        <stp>INDEX</stp>
        <stp>GOLDMINI.FUT02.OS</stp>
        <stp>上場来安値日付</stp>
        <tr r="AA110" s="1"/>
      </tp>
      <tp t="s">
        <v/>
        <stp/>
        <stp>Market</stp>
        <stp>INDEX</stp>
        <stp>GOLDMINI.FUT03.OS</stp>
        <stp>上場来安値日付</stp>
        <tr r="AA111" s="1"/>
      </tp>
      <tp t="s">
        <v/>
        <stp/>
        <stp>Market</stp>
        <stp>INDEX</stp>
        <stp>GOLDMINI.FUT01.OS</stp>
        <stp>上場来安値日付</stp>
        <tr r="AA109" s="1"/>
      </tp>
    </main>
    <main first="rtdsrv.dff54f4b11dd4e0d9cb19000fb943d8c">
      <tp>
        <v>1998.26</v>
        <stp/>
        <stp>Market</stp>
        <stp>INDEX</stp>
        <stp>TSPM</stp>
        <stp>安値</stp>
        <tr r="M6" s="1"/>
      </tp>
      <tp>
        <v>1740.3</v>
        <stp/>
        <stp>Market</stp>
        <stp>INDEX</stp>
        <stp>TSSM</stp>
        <stp>安値</stp>
        <tr r="M7" s="1"/>
      </tp>
      <tp>
        <v>982.68</v>
        <stp/>
        <stp>Market</stp>
        <stp>INDEX</stp>
        <stp>TSGM</stp>
        <stp>安値</stp>
        <tr r="M8" s="1"/>
      </tp>
      <tp>
        <v>8586.01</v>
        <stp/>
        <stp>Market</stp>
        <stp>INDEX</stp>
        <stp>TRAN</stp>
        <stp>安値</stp>
        <tr r="M43" s="1"/>
      </tp>
      <tp>
        <v>3876.87</v>
        <stp/>
        <stp>Market</stp>
        <stp>INDEX</stp>
        <stp>TOPX</stp>
        <stp>安値</stp>
        <tr r="M4" s="1"/>
      </tp>
    </main>
    <main first="rtdsrv.dff54f4b11dd4e0d9cb19000fb943d8c">
      <tp>
        <v>14.32</v>
        <stp/>
        <stp>Market</stp>
        <stp>INDEX</stp>
        <stp>TSM20</stp>
        <stp>前日比</stp>
        <tr r="G11" s="1"/>
      </tp>
    </main>
    <main first="rtdsrv.dff54f4b11dd4e0d9cb19000fb943d8c">
      <tp>
        <v>0</v>
        <stp/>
        <stp>Market</stp>
        <stp>INDEX</stp>
        <stp>RSS3.FUT12.OS</stp>
        <stp>安値</stp>
        <tr r="M152" s="1"/>
      </tp>
      <tp>
        <v>0</v>
        <stp/>
        <stp>Market</stp>
        <stp>INDEX</stp>
        <stp>RSS3.FUT02.OS</stp>
        <stp>安値</stp>
        <tr r="M142" s="1"/>
      </tp>
    </main>
    <main first="rtdsrv.dff54f4b11dd4e0d9cb19000fb943d8c">
      <tp t="s">
        <v>↓</v>
        <stp/>
        <stp>Market</stp>
        <stp>INDEX</stp>
        <stp>NDXT</stp>
        <stp>現在値ティック</stp>
        <tr r="F49" s="1"/>
      </tp>
    </main>
    <main first="rtdsrv.dff54f4b11dd4e0d9cb19000fb943d8c">
      <tp>
        <v>6.74</v>
        <stp/>
        <stp>Market</stp>
        <stp>INDEX</stp>
        <stp>VVIX</stp>
        <stp>前日比</stp>
        <tr r="G26" s="1"/>
      </tp>
    </main>
    <main first="rtdsrv.dff54f4b11dd4e0d9cb19000fb943d8c">
      <tp>
        <v>0</v>
        <stp/>
        <stp>Market</stp>
        <stp>INDEX</stp>
        <stp>RSS3.FUT10.OS</stp>
        <stp>始値</stp>
        <tr r="K150" s="1"/>
      </tp>
    </main>
    <main first="rtdsrv.dff54f4b11dd4e0d9cb19000fb943d8c">
      <tp t="s">
        <v>NASDAQ総合指数</v>
        <stp/>
        <stp>Market</stp>
        <stp>INDEX</stp>
        <stp>NQ</stp>
        <stp>指標名称</stp>
        <tr r="B21" s="1"/>
      </tp>
    </main>
    <main first="rtdsrv.dff54f4b11dd4e0d9cb19000fb943d8c">
      <tp>
        <v>0</v>
        <stp/>
        <stp>Market</stp>
        <stp>INDEX</stp>
        <stp>RSS3.FUT03.OS</stp>
        <stp>安値</stp>
        <tr r="M143" s="1"/>
      </tp>
    </main>
    <main first="rtdsrv.dff54f4b11dd4e0d9cb19000fb943d8c">
      <tp t="s">
        <v/>
        <stp/>
        <stp>Market</stp>
        <stp>INDEX</stp>
        <stp>ZAR/JPY</stp>
        <stp>上場来高値日付</stp>
        <tr r="Z192" s="1"/>
      </tp>
    </main>
    <main first="rtdsrv.dff54f4b11dd4e0d9cb19000fb943d8c">
      <tp t="s">
        <v/>
        <stp/>
        <stp>Market</stp>
        <stp>INDEX</stp>
        <stp>ZAR/JPY</stp>
        <stp>上場来安値日付</stp>
        <tr r="AA192" s="1"/>
      </tp>
    </main>
    <main first="rtdsrv.dff54f4b11dd4e0d9cb19000fb943d8c">
      <tp t="s">
        <v/>
        <stp/>
        <stp>Market</stp>
        <stp>INDEX</stp>
        <stp>EUR/USD</stp>
        <stp>上場来高値日付</stp>
        <tr r="Z197" s="1"/>
      </tp>
      <tp t="s">
        <v/>
        <stp/>
        <stp>Market</stp>
        <stp>INDEX</stp>
        <stp>EUR/USD</stp>
        <stp>上場来安値日付</stp>
        <tr r="AA197" s="1"/>
      </tp>
      <tp t="s">
        <v>2026/02/28</v>
        <stp/>
        <stp>Market</stp>
        <stp>INDEX</stp>
        <stp>NQ</stp>
        <stp>現在日付</stp>
        <tr r="C21" s="1"/>
      </tp>
    </main>
    <main first="rtdsrv.dff54f4b11dd4e0d9cb19000fb943d8c">
      <tp t="s">
        <v>↓</v>
        <stp/>
        <stp>Market</stp>
        <stp>INDEX</stp>
        <stp>N225.FUT01.C</stp>
        <stp>現在値ティック</stp>
        <tr r="F183" s="1"/>
      </tp>
      <tp t="s">
        <v>↑</v>
        <stp/>
        <stp>Market</stp>
        <stp>INDEX</stp>
        <stp>N225.FUT01.S</stp>
        <stp>現在値ティック</stp>
        <tr r="F185" s="1"/>
      </tp>
    </main>
    <main first="rtdsrv.dff54f4b11dd4e0d9cb19000fb943d8c">
      <tp>
        <v>0</v>
        <stp/>
        <stp>Market</stp>
        <stp>INDEX</stp>
        <stp>RSS3.FUT11.OS</stp>
        <stp>始値</stp>
        <tr r="K151" s="1"/>
      </tp>
      <tp>
        <v>0</v>
        <stp/>
        <stp>Market</stp>
        <stp>INDEX</stp>
        <stp>RSS3.FUT01.OS</stp>
        <stp>始値</stp>
        <tr r="K141" s="1"/>
      </tp>
    </main>
    <main first="rtdsrv.dff54f4b11dd4e0d9cb19000fb943d8c">
      <tp>
        <v>0</v>
        <stp/>
        <stp>Market</stp>
        <stp>INDEX</stp>
        <stp>RSS3.FUT10.OS</stp>
        <stp>安値</stp>
        <tr r="M150" s="1"/>
      </tp>
    </main>
    <main first="rtdsrv.dff54f4b11dd4e0d9cb19000fb943d8c">
      <tp>
        <v>305.36</v>
        <stp/>
        <stp>Market</stp>
        <stp>INDEX</stp>
        <stp>UTY</stp>
        <stp>上場来安値</stp>
        <tr r="Y54" s="1"/>
      </tp>
      <tp>
        <v>1046.21</v>
        <stp/>
        <stp>Market</stp>
        <stp>INDEX</stp>
        <stp>UTY</stp>
        <stp>年初来安値</stp>
        <tr r="W54" s="1"/>
      </tp>
    </main>
    <main first="rtdsrv.dff54f4b11dd4e0d9cb19000fb943d8c">
      <tp>
        <v>28.67</v>
        <stp/>
        <stp>Market</stp>
        <stp>INDEX</stp>
        <stp>MTHR</stp>
        <stp>前日比</stp>
        <tr r="G13" s="1"/>
      </tp>
      <tp t="s">
        <v>↑</v>
        <stp/>
        <stp>Market</stp>
        <stp>INDEX</stp>
        <stp>N225.FUT02.C</stp>
        <stp>現在値ティック</stp>
        <tr r="F184" s="1"/>
      </tp>
      <tp t="s">
        <v>↓</v>
        <stp/>
        <stp>Market</stp>
        <stp>INDEX</stp>
        <stp>N225.FUT02.S</stp>
        <stp>現在値ティック</stp>
        <tr r="F186" s="1"/>
      </tp>
      <tp t="s">
        <v>↓</v>
        <stp/>
        <stp>Market</stp>
        <stp>INDEX</stp>
        <stp>OFIN</stp>
        <stp>現在値ティック</stp>
        <tr r="F42" s="1"/>
      </tp>
    </main>
    <main first="rtdsrv.dff54f4b11dd4e0d9cb19000fb943d8c">
      <tp>
        <v>0</v>
        <stp/>
        <stp>Market</stp>
        <stp>INDEX</stp>
        <stp>RSS3.FUT12.OS</stp>
        <stp>始値</stp>
        <tr r="K152" s="1"/>
      </tp>
      <tp>
        <v>0</v>
        <stp/>
        <stp>Market</stp>
        <stp>INDEX</stp>
        <stp>RSS3.FUT02.OS</stp>
        <stp>始値</stp>
        <tr r="K142" s="1"/>
      </tp>
    </main>
    <main first="rtdsrv.dff54f4b11dd4e0d9cb19000fb943d8c">
      <tp t="s">
        <v/>
        <stp/>
        <stp>Market</stp>
        <stp>INDEX</stp>
        <stp>PLATINUM.SPOT.OS</stp>
        <stp>上場来安値</stp>
        <tr r="Y128" s="1"/>
      </tp>
    </main>
    <main first="rtdsrv.dff54f4b11dd4e0d9cb19000fb943d8c">
      <tp t="s">
        <v/>
        <stp/>
        <stp>Market</stp>
        <stp>INDEX</stp>
        <stp>PLATINUM.SPOT.OS</stp>
        <stp>年初来安値</stp>
        <tr r="W128" s="1"/>
      </tp>
      <tp t="s">
        <v/>
        <stp/>
        <stp>Market</stp>
        <stp>INDEX</stp>
        <stp>N225.FUT01.OS</stp>
        <stp>前年終値</stp>
        <tr r="U72" s="1"/>
      </tp>
      <tp t="s">
        <v/>
        <stp/>
        <stp>Market</stp>
        <stp>INDEX</stp>
        <stp>N225.FUT02.OS</stp>
        <stp>前年終値</stp>
        <tr r="U73" s="1"/>
      </tp>
      <tp t="s">
        <v/>
        <stp/>
        <stp>Market</stp>
        <stp>INDEX</stp>
        <stp>N225.FUT03.OS</stp>
        <stp>前年終値</stp>
        <tr r="U74" s="1"/>
      </tp>
      <tp t="s">
        <v/>
        <stp/>
        <stp>Market</stp>
        <stp>INDEX</stp>
        <stp>N225.FUT04.OS</stp>
        <stp>前年終値</stp>
        <tr r="U75" s="1"/>
      </tp>
      <tp t="s">
        <v/>
        <stp/>
        <stp>Market</stp>
        <stp>INDEX</stp>
        <stp>N225.FUT05.OS</stp>
        <stp>前年終値</stp>
        <tr r="U76" s="1"/>
      </tp>
    </main>
    <main first="rtdsrv.dff54f4b11dd4e0d9cb19000fb943d8c">
      <tp>
        <v>0</v>
        <stp/>
        <stp>Market</stp>
        <stp>INDEX</stp>
        <stp>RSS3.FUT11.OS</stp>
        <stp>安値</stp>
        <tr r="M151" s="1"/>
      </tp>
      <tp>
        <v>0</v>
        <stp/>
        <stp>Market</stp>
        <stp>INDEX</stp>
        <stp>RSS3.FUT01.OS</stp>
        <stp>安値</stp>
        <tr r="M141" s="1"/>
      </tp>
    </main>
    <main first="rtdsrv.dff54f4b11dd4e0d9cb19000fb943d8c">
      <tp t="s">
        <v/>
        <stp/>
        <stp>Market</stp>
        <stp>INDEX</stp>
        <stp>GBP/USD</stp>
        <stp>上場来高値日付</stp>
        <tr r="Z198" s="1"/>
      </tp>
    </main>
    <main first="rtdsrv.dff54f4b11dd4e0d9cb19000fb943d8c">
      <tp t="s">
        <v/>
        <stp/>
        <stp>Market</stp>
        <stp>INDEX</stp>
        <stp>GBP/USD</stp>
        <stp>上場来安値日付</stp>
        <tr r="AA198" s="1"/>
      </tp>
    </main>
    <main first="rtdsrv.dff54f4b11dd4e0d9cb19000fb943d8c">
      <tp>
        <v>851.13</v>
        <stp/>
        <stp>Market</stp>
        <stp>INDEX</stp>
        <stp>NGX</stp>
        <stp>上場来安値</stp>
        <tr r="Y63" s="1"/>
      </tp>
      <tp>
        <v>20.78</v>
        <stp/>
        <stp>Market</stp>
        <stp>INDEX</stp>
        <stp>OSX</stp>
        <stp>上場来安値</stp>
        <tr r="Y53" s="1"/>
      </tp>
      <tp>
        <v>54.31</v>
        <stp/>
        <stp>Market</stp>
        <stp>INDEX</stp>
        <stp>HGX</stp>
        <stp>上場来安値</stp>
        <tr r="Y52" s="1"/>
      </tp>
      <tp>
        <v>8.56</v>
        <stp/>
        <stp>Market</stp>
        <stp>INDEX</stp>
        <stp>VIX</stp>
        <stp>上場来安値</stp>
        <tr r="Y25" s="1"/>
      </tp>
      <tp>
        <v>106.92</v>
        <stp/>
        <stp>Market</stp>
        <stp>INDEX</stp>
        <stp>SOX</stp>
        <stp>上場来安値</stp>
        <tr r="Y51" s="1"/>
      </tp>
    </main>
    <main first="rtdsrv.dff54f4b11dd4e0d9cb19000fb943d8c">
      <tp>
        <v>7286.3360000000002</v>
        <stp/>
        <stp>Market</stp>
        <stp>INDEX</stp>
        <stp>SOX</stp>
        <stp>年初来安値</stp>
        <tr r="W51" s="1"/>
      </tp>
      <tp>
        <v>14.43</v>
        <stp/>
        <stp>Market</stp>
        <stp>INDEX</stp>
        <stp>VIX</stp>
        <stp>年初来安値</stp>
        <tr r="W25" s="1"/>
      </tp>
      <tp>
        <v>660.24</v>
        <stp/>
        <stp>Market</stp>
        <stp>INDEX</stp>
        <stp>HGX</stp>
        <stp>年初来安値</stp>
        <tr r="W52" s="1"/>
      </tp>
      <tp>
        <v>1497.77</v>
        <stp/>
        <stp>Market</stp>
        <stp>INDEX</stp>
        <stp>NGX</stp>
        <stp>年初来安値</stp>
        <tr r="W63" s="1"/>
      </tp>
      <tp>
        <v>73.14</v>
        <stp/>
        <stp>Market</stp>
        <stp>INDEX</stp>
        <stp>OSX</stp>
        <stp>年初来安値</stp>
        <tr r="W53" s="1"/>
      </tp>
    </main>
    <main first="rtdsrv.dff54f4b11dd4e0d9cb19000fb943d8c">
      <tp>
        <v>0</v>
        <stp/>
        <stp>Market</stp>
        <stp>INDEX</stp>
        <stp>RSS3.FUT03.OS</stp>
        <stp>始値</stp>
        <tr r="K143" s="1"/>
      </tp>
    </main>
    <main first="rtdsrv.dff54f4b11dd4e0d9cb19000fb943d8c">
      <tp>
        <v>-210.17099999999999</v>
        <stp/>
        <stp>Market</stp>
        <stp>INDEX</stp>
        <stp>NQ</stp>
        <stp>前日比</stp>
        <tr r="G21" s="1"/>
      </tp>
    </main>
    <main first="rtdsrv.dff54f4b11dd4e0d9cb19000fb943d8c">
      <tp>
        <v>375.7</v>
        <stp/>
        <stp>Market</stp>
        <stp>INDEX</stp>
        <stp>RSS3.FUT06.OS</stp>
        <stp>安値</stp>
        <tr r="M146" s="1"/>
      </tp>
    </main>
    <main first="rtdsrv.dff54f4b11dd4e0d9cb19000fb943d8c">
      <tp>
        <v>-560</v>
        <stp/>
        <stp>Market</stp>
        <stp>INDEX</stp>
        <stp>N225.FUT03.OS</stp>
        <stp>前日比</stp>
        <tr r="G74" s="1"/>
      </tp>
      <tp>
        <v>-460</v>
        <stp/>
        <stp>Market</stp>
        <stp>INDEX</stp>
        <stp>N225.FUT02.OS</stp>
        <stp>前日比</stp>
        <tr r="G73" s="1"/>
      </tp>
      <tp>
        <v>-460</v>
        <stp/>
        <stp>Market</stp>
        <stp>INDEX</stp>
        <stp>N225.FUT01.OS</stp>
        <stp>前日比</stp>
        <tr r="G72" s="1"/>
      </tp>
      <tp>
        <v>240</v>
        <stp/>
        <stp>Market</stp>
        <stp>INDEX</stp>
        <stp>N225.FUT05.OS</stp>
        <stp>前日比</stp>
        <tr r="G76" s="1"/>
      </tp>
      <tp>
        <v>-320</v>
        <stp/>
        <stp>Market</stp>
        <stp>INDEX</stp>
        <stp>N225.FUT04.OS</stp>
        <stp>前日比</stp>
        <tr r="G75" s="1"/>
      </tp>
      <tp>
        <v>-53.99</v>
        <stp/>
        <stp>Market</stp>
        <stp>INDEX</stp>
        <stp>TRAN</stp>
        <stp>前日比</stp>
        <tr r="G43" s="1"/>
      </tp>
    </main>
    <main first="rtdsrv.dff54f4b11dd4e0d9cb19000fb943d8c">
      <tp>
        <v>367.5</v>
        <stp/>
        <stp>Market</stp>
        <stp>INDEX</stp>
        <stp>RSS3.FUT04.OS</stp>
        <stp>始値</stp>
        <tr r="K144" s="1"/>
      </tp>
    </main>
    <main first="rtdsrv.dff54f4b11dd4e0d9cb19000fb943d8c">
      <tp t="s">
        <v/>
        <stp/>
        <stp>Market</stp>
        <stp>INDEX</stp>
        <stp>RSS3.FUT11.OS</stp>
        <stp>前年終値</stp>
        <tr r="U151" s="1"/>
      </tp>
      <tp t="s">
        <v/>
        <stp/>
        <stp>Market</stp>
        <stp>INDEX</stp>
        <stp>RSS3.FUT10.OS</stp>
        <stp>前年終値</stp>
        <tr r="U150" s="1"/>
      </tp>
      <tp t="s">
        <v/>
        <stp/>
        <stp>Market</stp>
        <stp>INDEX</stp>
        <stp>RSS3.FUT12.OS</stp>
        <stp>前年終値</stp>
        <tr r="U152" s="1"/>
      </tp>
      <tp t="s">
        <v/>
        <stp/>
        <stp>Market</stp>
        <stp>INDEX</stp>
        <stp>RSS3.FUT01.OS</stp>
        <stp>前年終値</stp>
        <tr r="U141" s="1"/>
      </tp>
      <tp t="s">
        <v/>
        <stp/>
        <stp>Market</stp>
        <stp>INDEX</stp>
        <stp>RSS3.FUT03.OS</stp>
        <stp>前年終値</stp>
        <tr r="U143" s="1"/>
      </tp>
      <tp t="s">
        <v/>
        <stp/>
        <stp>Market</stp>
        <stp>INDEX</stp>
        <stp>RSS3.FUT02.OS</stp>
        <stp>前年終値</stp>
        <tr r="U142" s="1"/>
      </tp>
      <tp t="s">
        <v/>
        <stp/>
        <stp>Market</stp>
        <stp>INDEX</stp>
        <stp>RSS3.FUT05.OS</stp>
        <stp>前年終値</stp>
        <tr r="U145" s="1"/>
      </tp>
      <tp t="s">
        <v/>
        <stp/>
        <stp>Market</stp>
        <stp>INDEX</stp>
        <stp>RSS3.FUT04.OS</stp>
        <stp>前年終値</stp>
        <tr r="U144" s="1"/>
      </tp>
      <tp t="s">
        <v/>
        <stp/>
        <stp>Market</stp>
        <stp>INDEX</stp>
        <stp>RSS3.FUT07.OS</stp>
        <stp>前年終値</stp>
        <tr r="U147" s="1"/>
      </tp>
      <tp t="s">
        <v/>
        <stp/>
        <stp>Market</stp>
        <stp>INDEX</stp>
        <stp>RSS3.FUT06.OS</stp>
        <stp>前年終値</stp>
        <tr r="U146" s="1"/>
      </tp>
      <tp t="s">
        <v/>
        <stp/>
        <stp>Market</stp>
        <stp>INDEX</stp>
        <stp>RSS3.FUT09.OS</stp>
        <stp>前年終値</stp>
        <tr r="U149" s="1"/>
      </tp>
      <tp t="s">
        <v/>
        <stp/>
        <stp>Market</stp>
        <stp>INDEX</stp>
        <stp>RSS3.FUT08.OS</stp>
        <stp>前年終値</stp>
        <tr r="U148" s="1"/>
      </tp>
    </main>
    <main first="rtdsrv.dff54f4b11dd4e0d9cb19000fb943d8c">
      <tp>
        <v>0</v>
        <stp/>
        <stp>Market</stp>
        <stp>INDEX</stp>
        <stp>RSS3.FUT07.OS</stp>
        <stp>安値</stp>
        <tr r="M147" s="1"/>
      </tp>
    </main>
    <main first="rtdsrv.dff54f4b11dd4e0d9cb19000fb943d8c">
      <tp t="s">
        <v/>
        <stp/>
        <stp>Market</stp>
        <stp>INDEX</stp>
        <stp>AUD/USD</stp>
        <stp>上場来高値日付</stp>
        <tr r="Z199" s="1"/>
      </tp>
      <tp t="s">
        <v/>
        <stp/>
        <stp>Market</stp>
        <stp>INDEX</stp>
        <stp>AUD/USD</stp>
        <stp>上場来安値日付</stp>
        <tr r="AA199" s="1"/>
      </tp>
      <tp>
        <v>23.38</v>
        <stp/>
        <stp>Market</stp>
        <stp>INDEX</stp>
        <stp>TSSM</stp>
        <stp>前日比</stp>
        <tr r="G7" s="1"/>
      </tp>
      <tp>
        <v>30.19</v>
        <stp/>
        <stp>Market</stp>
        <stp>INDEX</stp>
        <stp>TSPM</stp>
        <stp>前日比</stp>
        <tr r="G6" s="1"/>
      </tp>
      <tp>
        <v>34.03</v>
        <stp/>
        <stp>Market</stp>
        <stp>INDEX</stp>
        <stp>TSGM</stp>
        <stp>前日比</stp>
        <tr r="G8" s="1"/>
      </tp>
    </main>
    <main first="rtdsrv.dff54f4b11dd4e0d9cb19000fb943d8c">
      <tp>
        <v>17.0608</v>
        <stp/>
        <stp>Market</stp>
        <stp>INDEX</stp>
        <stp>SSEA</stp>
        <stp>前日比</stp>
        <tr r="G69" s="1"/>
      </tp>
      <tp>
        <v>16.250399999999999</v>
        <stp/>
        <stp>Market</stp>
        <stp>INDEX</stp>
        <stp>SSEC</stp>
        <stp>前日比</stp>
        <tr r="G68" s="1"/>
      </tp>
      <tp t="s">
        <v>↓</v>
        <stp/>
        <stp>Market</stp>
        <stp>INDEX</stp>
        <stp>BANK</stp>
        <stp>現在値ティック</stp>
        <tr r="F40" s="1"/>
      </tp>
    </main>
    <main first="rtdsrv.dff54f4b11dd4e0d9cb19000fb943d8c">
      <tp>
        <v>371.5</v>
        <stp/>
        <stp>Market</stp>
        <stp>INDEX</stp>
        <stp>RSS3.FUT05.OS</stp>
        <stp>始値</stp>
        <tr r="K145" s="1"/>
      </tp>
    </main>
    <main first="rtdsrv.dff54f4b11dd4e0d9cb19000fb943d8c">
      <tp>
        <v>367.5</v>
        <stp/>
        <stp>Market</stp>
        <stp>INDEX</stp>
        <stp>RSS3.FUT04.OS</stp>
        <stp>安値</stp>
        <tr r="M144" s="1"/>
      </tp>
    </main>
    <main first="rtdsrv.dff54f4b11dd4e0d9cb19000fb943d8c">
      <tp>
        <v>375.8</v>
        <stp/>
        <stp>Market</stp>
        <stp>INDEX</stp>
        <stp>RSS3.FUT06.OS</stp>
        <stp>始値</stp>
        <tr r="K146" s="1"/>
      </tp>
    </main>
    <main first="rtdsrv.dff54f4b11dd4e0d9cb19000fb943d8c">
      <tp>
        <v>19.7727</v>
        <stp/>
        <stp>Market</stp>
        <stp>INDEX</stp>
        <stp>SHKSC</stp>
        <stp>前日比</stp>
        <tr r="G70" s="1"/>
      </tp>
    </main>
    <main first="rtdsrv.dff54f4b11dd4e0d9cb19000fb943d8c">
      <tp t="s">
        <v/>
        <stp/>
        <stp>Market</stp>
        <stp>INDEX</stp>
        <stp>JGB:FL</stp>
        <stp>上場来高値日付</stp>
        <tr r="Z17" s="1"/>
      </tp>
      <tp t="s">
        <v/>
        <stp/>
        <stp>Market</stp>
        <stp>INDEX</stp>
        <stp>JGB:FI</stp>
        <stp>上場来高値日付</stp>
        <tr r="Z18" s="1"/>
      </tp>
      <tp t="s">
        <v/>
        <stp/>
        <stp>Market</stp>
        <stp>INDEX</stp>
        <stp>JGB:FL</stp>
        <stp>上場来安値日付</stp>
        <tr r="AA17" s="1"/>
      </tp>
      <tp t="s">
        <v/>
        <stp/>
        <stp>Market</stp>
        <stp>INDEX</stp>
        <stp>JGB:FI</stp>
        <stp>上場来安値日付</stp>
        <tr r="AA18" s="1"/>
      </tp>
    </main>
    <main first="rtdsrv.dff54f4b11dd4e0d9cb19000fb943d8c">
      <tp t="s">
        <v xml:space="preserve">  :  </v>
        <stp/>
        <stp>Market</stp>
        <stp>INDEX</stp>
        <stp>PALLADIUM.FUT02.OS</stp>
        <stp>安値時刻</stp>
        <tr r="P136" s="1"/>
      </tp>
      <tp t="s">
        <v xml:space="preserve">  :  </v>
        <stp/>
        <stp>Market</stp>
        <stp>INDEX</stp>
        <stp>PALLADIUM.FUT03.OS</stp>
        <stp>安値時刻</stp>
        <tr r="P137" s="1"/>
      </tp>
      <tp t="s">
        <v xml:space="preserve">  :  </v>
        <stp/>
        <stp>Market</stp>
        <stp>INDEX</stp>
        <stp>PALLADIUM.FUT01.OS</stp>
        <stp>始値時刻</stp>
        <tr r="N135" s="1"/>
      </tp>
      <tp t="s">
        <v xml:space="preserve">  :  </v>
        <stp/>
        <stp>Market</stp>
        <stp>INDEX</stp>
        <stp>PALLADIUM.FUT02.OS</stp>
        <stp>始値時刻</stp>
        <tr r="N136" s="1"/>
      </tp>
      <tp t="s">
        <v xml:space="preserve">  :  </v>
        <stp/>
        <stp>Market</stp>
        <stp>INDEX</stp>
        <stp>PALLADIUM.FUT01.OS</stp>
        <stp>安値時刻</stp>
        <tr r="P135" s="1"/>
      </tp>
      <tp t="s">
        <v xml:space="preserve">  :  </v>
        <stp/>
        <stp>Market</stp>
        <stp>INDEX</stp>
        <stp>PALLADIUM.FUT03.OS</stp>
        <stp>始値時刻</stp>
        <tr r="N137" s="1"/>
      </tp>
      <tp t="s">
        <v xml:space="preserve">  :  </v>
        <stp/>
        <stp>Market</stp>
        <stp>INDEX</stp>
        <stp>PALLADIUM.FUT06.OS</stp>
        <stp>安値時刻</stp>
        <tr r="P140" s="1"/>
      </tp>
      <tp t="s">
        <v xml:space="preserve">  :  </v>
        <stp/>
        <stp>Market</stp>
        <stp>INDEX</stp>
        <stp>PALLADIUM.FUT04.OS</stp>
        <stp>始値時刻</stp>
        <tr r="N138" s="1"/>
      </tp>
      <tp t="s">
        <v xml:space="preserve">  :  </v>
        <stp/>
        <stp>Market</stp>
        <stp>INDEX</stp>
        <stp>PALLADIUM.FUT05.OS</stp>
        <stp>始値時刻</stp>
        <tr r="N139" s="1"/>
      </tp>
      <tp t="s">
        <v xml:space="preserve">  :  </v>
        <stp/>
        <stp>Market</stp>
        <stp>INDEX</stp>
        <stp>PALLADIUM.FUT04.OS</stp>
        <stp>安値時刻</stp>
        <tr r="P138" s="1"/>
      </tp>
      <tp t="s">
        <v xml:space="preserve">  :  </v>
        <stp/>
        <stp>Market</stp>
        <stp>INDEX</stp>
        <stp>PALLADIUM.FUT06.OS</stp>
        <stp>始値時刻</stp>
        <tr r="N140" s="1"/>
      </tp>
      <tp t="s">
        <v xml:space="preserve">  :  </v>
        <stp/>
        <stp>Market</stp>
        <stp>INDEX</stp>
        <stp>PALLADIUM.FUT05.OS</stp>
        <stp>安値時刻</stp>
        <tr r="P139" s="1"/>
      </tp>
      <tp t="s">
        <v xml:space="preserve">  :  </v>
        <stp/>
        <stp>Market</stp>
        <stp>INDEX</stp>
        <stp>PALLADIUM.FUT03.OS</stp>
        <stp>高値時刻</stp>
        <tr r="O137" s="1"/>
      </tp>
      <tp t="s">
        <v xml:space="preserve">  :  </v>
        <stp/>
        <stp>Market</stp>
        <stp>INDEX</stp>
        <stp>PALLADIUM.FUT02.OS</stp>
        <stp>高値時刻</stp>
        <tr r="O136" s="1"/>
      </tp>
      <tp t="s">
        <v xml:space="preserve">  :  </v>
        <stp/>
        <stp>Market</stp>
        <stp>INDEX</stp>
        <stp>PALLADIUM.FUT01.OS</stp>
        <stp>高値時刻</stp>
        <tr r="O135" s="1"/>
      </tp>
      <tp t="s">
        <v xml:space="preserve">  :  </v>
        <stp/>
        <stp>Market</stp>
        <stp>INDEX</stp>
        <stp>PALLADIUM.FUT06.OS</stp>
        <stp>高値時刻</stp>
        <tr r="O140" s="1"/>
      </tp>
      <tp t="s">
        <v xml:space="preserve">  :  </v>
        <stp/>
        <stp>Market</stp>
        <stp>INDEX</stp>
        <stp>PALLADIUM.FUT05.OS</stp>
        <stp>高値時刻</stp>
        <tr r="O139" s="1"/>
      </tp>
      <tp t="s">
        <v xml:space="preserve">  :  </v>
        <stp/>
        <stp>Market</stp>
        <stp>INDEX</stp>
        <stp>PALLADIUM.FUT04.OS</stp>
        <stp>高値時刻</stp>
        <tr r="O138" s="1"/>
      </tp>
      <tp>
        <v>1821.56</v>
        <stp/>
        <stp>Market</stp>
        <stp>INDEX</stp>
        <stp>NQROBO</stp>
        <stp>前年終値</stp>
        <tr r="U61" s="1"/>
      </tp>
      <tp>
        <v>3428.52</v>
        <stp/>
        <stp>Market</stp>
        <stp>INDEX</stp>
        <stp>NQCYBR</stp>
        <stp>前年終値</stp>
        <tr r="U59" s="1"/>
      </tp>
      <tp>
        <v>0</v>
        <stp/>
        <stp>Market</stp>
        <stp>INDEX</stp>
        <stp>JGB:FI</stp>
        <stp>前年終値</stp>
        <tr r="U18" s="1"/>
      </tp>
      <tp>
        <v>0</v>
        <stp/>
        <stp>Market</stp>
        <stp>INDEX</stp>
        <stp>JGB:FL</stp>
        <stp>前年終値</stp>
        <tr r="U17" s="1"/>
      </tp>
      <tp t="s">
        <v/>
        <stp/>
        <stp>Market</stp>
        <stp>INDEX</stp>
        <stp>USD/CHF</stp>
        <stp>上場来高値日付</stp>
        <tr r="Z201" s="1"/>
      </tp>
      <tp t="s">
        <v/>
        <stp/>
        <stp>Market</stp>
        <stp>INDEX</stp>
        <stp>USD/CHF</stp>
        <stp>上場来安値日付</stp>
        <tr r="AA201" s="1"/>
      </tp>
    </main>
    <main first="rtdsrv.dff54f4b11dd4e0d9cb19000fb943d8c">
      <tp>
        <v>371.5</v>
        <stp/>
        <stp>Market</stp>
        <stp>INDEX</stp>
        <stp>RSS3.FUT05.OS</stp>
        <stp>安値</stp>
        <tr r="M145" s="1"/>
      </tp>
      <tp t="s">
        <v/>
        <stp/>
        <stp>Market</stp>
        <stp>INDEX</stp>
        <stp>USD/CAD</stp>
        <stp>上場来高値日付</stp>
        <tr r="Z212" s="1"/>
      </tp>
    </main>
    <main first="rtdsrv.dff54f4b11dd4e0d9cb19000fb943d8c">
      <tp t="s">
        <v/>
        <stp/>
        <stp>Market</stp>
        <stp>INDEX</stp>
        <stp>USD/CAD</stp>
        <stp>上場来安値日付</stp>
        <tr r="AA212" s="1"/>
      </tp>
    </main>
    <main first="rtdsrv.dff54f4b11dd4e0d9cb19000fb943d8c">
      <tp>
        <v>0</v>
        <stp/>
        <stp>Market</stp>
        <stp>INDEX</stp>
        <stp>RSS3.FUT07.OS</stp>
        <stp>始値</stp>
        <tr r="K147" s="1"/>
      </tp>
    </main>
    <main first="rtdsrv.dff54f4b11dd4e0d9cb19000fb943d8c">
      <tp t="s">
        <v>↓</v>
        <stp/>
        <stp>Market</stp>
        <stp>INDEX</stp>
        <stp>SIXRE</stp>
        <stp>現在値ティック</stp>
        <tr r="F30" s="1"/>
      </tp>
    </main>
    <main first="rtdsrv.dff54f4b11dd4e0d9cb19000fb943d8c">
      <tp>
        <v>7083.1310000000003</v>
        <stp/>
        <stp>Market</stp>
        <stp>INDEX</stp>
        <stp>SOX</stp>
        <stp>前年終値</stp>
        <tr r="U51" s="1"/>
      </tp>
    </main>
    <main first="rtdsrv.dff54f4b11dd4e0d9cb19000fb943d8c">
      <tp>
        <v>509.21</v>
        <stp/>
        <stp>Market</stp>
        <stp>INDEX</stp>
        <stp>IXTC</stp>
        <stp>前年終値</stp>
        <tr r="U44" s="1"/>
      </tp>
    </main>
    <main first="rtdsrv.dff54f4b11dd4e0d9cb19000fb943d8c">
      <tp>
        <v>0</v>
        <stp/>
        <stp>Market</stp>
        <stp>INDEX</stp>
        <stp>SOYBEAN.FUT01.OS</stp>
        <stp>始値</stp>
        <tr r="K171" s="1"/>
      </tp>
    </main>
    <main first="rtdsrv.dff54f4b11dd4e0d9cb19000fb943d8c">
      <tp t="s">
        <v>2025/10/29</v>
        <stp/>
        <stp>Market</stp>
        <stp>INDEX</stp>
        <stp>NQ</stp>
        <stp>上場来高値日付</stp>
        <tr r="Z21" s="1"/>
      </tp>
      <tp t="s">
        <v>1985/10/01</v>
        <stp/>
        <stp>Market</stp>
        <stp>INDEX</stp>
        <stp>NQ</stp>
        <stp>上場来安値日付</stp>
        <tr r="AA21" s="1"/>
      </tp>
    </main>
    <main first="rtdsrv.dff54f4b11dd4e0d9cb19000fb943d8c">
      <tp>
        <v>5262.87</v>
        <stp/>
        <stp>Market</stp>
        <stp>INDEX</stp>
        <stp>TRAN</stp>
        <stp>前年最安値</stp>
        <tr r="T43" s="1"/>
      </tp>
    </main>
    <main first="rtdsrv.dff54f4b11dd4e0d9cb19000fb943d8c">
      <tp>
        <v>0</v>
        <stp/>
        <stp>Market</stp>
        <stp>INDEX</stp>
        <stp>REDBEAN.FUT02.OS</stp>
        <stp>安値</stp>
        <tr r="M166" s="1"/>
      </tp>
    </main>
    <main first="rtdsrv.dff54f4b11dd4e0d9cb19000fb943d8c">
      <tp>
        <v>11695</v>
        <stp/>
        <stp>Market</stp>
        <stp>INDEX</stp>
        <stp>PLATINUM.SPOT.OS</stp>
        <stp>安値</stp>
        <tr r="M128" s="1"/>
      </tp>
    </main>
    <main first="rtdsrv.dff54f4b11dd4e0d9cb19000fb943d8c">
      <tp>
        <v>0</v>
        <stp/>
        <stp>Market</stp>
        <stp>INDEX</stp>
        <stp>SOYBEAN.FUT03.OS</stp>
        <stp>安値</stp>
        <tr r="M173" s="1"/>
      </tp>
    </main>
    <main first="rtdsrv.dff54f4b11dd4e0d9cb19000fb943d8c">
      <tp>
        <v>10514.42</v>
        <stp/>
        <stp>Market</stp>
        <stp>INDEX</stp>
        <stp>OFIN</stp>
        <stp>前年最安値</stp>
        <tr r="T42" s="1"/>
      </tp>
      <tp t="s">
        <v/>
        <stp/>
        <stp>Market</stp>
        <stp>INDEX</stp>
        <stp>GBP/USD</stp>
        <stp>前日比</stp>
        <tr r="G198" s="1"/>
      </tp>
    </main>
    <main first="rtdsrv.dff54f4b11dd4e0d9cb19000fb943d8c">
      <tp t="s">
        <v>21:00</v>
        <stp/>
        <stp>Market</stp>
        <stp>INDEX</stp>
        <stp>GOLD.FUT03.OS</stp>
        <stp>安値時刻</stp>
        <tr r="P105" s="1"/>
      </tp>
      <tp t="s">
        <v>22:01</v>
        <stp/>
        <stp>Market</stp>
        <stp>INDEX</stp>
        <stp>GOLD.FUT01.OS</stp>
        <stp>始値時刻</stp>
        <tr r="N103" s="1"/>
      </tp>
      <tp t="s">
        <v>17:00</v>
        <stp/>
        <stp>Market</stp>
        <stp>INDEX</stp>
        <stp>GOLD.FUT02.OS</stp>
        <stp>安値時刻</stp>
        <tr r="P104" s="1"/>
      </tp>
      <tp t="s">
        <v>22:01</v>
        <stp/>
        <stp>Market</stp>
        <stp>INDEX</stp>
        <stp>GOLD.FUT01.OS</stp>
        <stp>安値時刻</stp>
        <tr r="P103" s="1"/>
      </tp>
      <tp t="s">
        <v>18:00</v>
        <stp/>
        <stp>Market</stp>
        <stp>INDEX</stp>
        <stp>GOLD.FUT03.OS</stp>
        <stp>始値時刻</stp>
        <tr r="N105" s="1"/>
      </tp>
      <tp t="s">
        <v>17:00</v>
        <stp/>
        <stp>Market</stp>
        <stp>INDEX</stp>
        <stp>GOLD.FUT02.OS</stp>
        <stp>始値時刻</stp>
        <tr r="N104" s="1"/>
      </tp>
      <tp t="s">
        <v>17:00</v>
        <stp/>
        <stp>Market</stp>
        <stp>INDEX</stp>
        <stp>GOLD.FUT05.OS</stp>
        <stp>始値時刻</stp>
        <tr r="N107" s="1"/>
      </tp>
      <tp t="s">
        <v>19:36</v>
        <stp/>
        <stp>Market</stp>
        <stp>INDEX</stp>
        <stp>GOLD.FUT06.OS</stp>
        <stp>安値時刻</stp>
        <tr r="P108" s="1"/>
      </tp>
      <tp t="s">
        <v>17:48</v>
        <stp/>
        <stp>Market</stp>
        <stp>INDEX</stp>
        <stp>GOLD.FUT04.OS</stp>
        <stp>始値時刻</stp>
        <tr r="N106" s="1"/>
      </tp>
      <tp t="s">
        <v>19:13</v>
        <stp/>
        <stp>Market</stp>
        <stp>INDEX</stp>
        <stp>GOLD.FUT05.OS</stp>
        <stp>安値時刻</stp>
        <tr r="P107" s="1"/>
      </tp>
      <tp t="s">
        <v>17:48</v>
        <stp/>
        <stp>Market</stp>
        <stp>INDEX</stp>
        <stp>GOLD.FUT04.OS</stp>
        <stp>安値時刻</stp>
        <tr r="P106" s="1"/>
      </tp>
      <tp t="s">
        <v>17:00</v>
        <stp/>
        <stp>Market</stp>
        <stp>INDEX</stp>
        <stp>GOLD.FUT06.OS</stp>
        <stp>始値時刻</stp>
        <tr r="N108" s="1"/>
      </tp>
      <tp t="s">
        <v>05:24</v>
        <stp/>
        <stp>Market</stp>
        <stp>INDEX</stp>
        <stp>GOLD.FUT02.OS</stp>
        <stp>高値時刻</stp>
        <tr r="O104" s="1"/>
      </tp>
      <tp t="s">
        <v>05:21</v>
        <stp/>
        <stp>Market</stp>
        <stp>INDEX</stp>
        <stp>GOLD.FUT03.OS</stp>
        <stp>高値時刻</stp>
        <tr r="O105" s="1"/>
      </tp>
      <tp t="s">
        <v>05:53</v>
        <stp/>
        <stp>Market</stp>
        <stp>INDEX</stp>
        <stp>GOLD.FUT01.OS</stp>
        <stp>高値時刻</stp>
        <tr r="O103" s="1"/>
      </tp>
      <tp t="s">
        <v>05:52</v>
        <stp/>
        <stp>Market</stp>
        <stp>INDEX</stp>
        <stp>GOLD.FUT06.OS</stp>
        <stp>高値時刻</stp>
        <tr r="O108" s="1"/>
      </tp>
      <tp t="s">
        <v>05:24</v>
        <stp/>
        <stp>Market</stp>
        <stp>INDEX</stp>
        <stp>GOLD.FUT04.OS</stp>
        <stp>高値時刻</stp>
        <tr r="O106" s="1"/>
      </tp>
      <tp t="s">
        <v>05:25</v>
        <stp/>
        <stp>Market</stp>
        <stp>INDEX</stp>
        <stp>GOLD.FUT05.OS</stp>
        <stp>高値時刻</stp>
        <tr r="O107" s="1"/>
      </tp>
      <tp t="s">
        <v/>
        <stp/>
        <stp>Market</stp>
        <stp>INDEX</stp>
        <stp>NZD/JPY</stp>
        <stp>指標名称</stp>
        <tr r="B191" s="1"/>
      </tp>
      <tp t="s">
        <v/>
        <stp/>
        <stp>Market</stp>
        <stp>INDEX</stp>
        <stp>GBP/CHF</stp>
        <stp>指標名称</stp>
        <tr r="B202" s="1"/>
      </tp>
    </main>
    <main first="rtdsrv.dff54f4b11dd4e0d9cb19000fb943d8c">
      <tp t="s">
        <v/>
        <stp/>
        <stp>Market</stp>
        <stp>INDEX</stp>
        <stp>REDBEAN.FUT04.OS</stp>
        <stp>指標名称</stp>
        <tr r="B168" s="1"/>
      </tp>
      <tp t="s">
        <v/>
        <stp/>
        <stp>Market</stp>
        <stp>INDEX</stp>
        <stp>REDBEAN.FUT05.OS</stp>
        <stp>指標名称</stp>
        <tr r="B169" s="1"/>
      </tp>
      <tp t="s">
        <v/>
        <stp/>
        <stp>Market</stp>
        <stp>INDEX</stp>
        <stp>REDBEAN.FUT06.OS</stp>
        <stp>指標名称</stp>
        <tr r="B170" s="1"/>
      </tp>
      <tp t="s">
        <v/>
        <stp/>
        <stp>Market</stp>
        <stp>INDEX</stp>
        <stp>REDBEAN.FUT01.OS</stp>
        <stp>指標名称</stp>
        <tr r="B165" s="1"/>
      </tp>
      <tp t="s">
        <v/>
        <stp/>
        <stp>Market</stp>
        <stp>INDEX</stp>
        <stp>REDBEAN.FUT02.OS</stp>
        <stp>指標名称</stp>
        <tr r="B166" s="1"/>
      </tp>
      <tp t="s">
        <v/>
        <stp/>
        <stp>Market</stp>
        <stp>INDEX</stp>
        <stp>REDBEAN.FUT03.OS</stp>
        <stp>指標名称</stp>
        <tr r="B167" s="1"/>
      </tp>
      <tp t="s">
        <v/>
        <stp/>
        <stp>Market</stp>
        <stp>INDEX</stp>
        <stp>EUR/JPY</stp>
        <stp>安値時刻</stp>
        <tr r="P188" s="1"/>
      </tp>
      <tp t="s">
        <v/>
        <stp/>
        <stp>Market</stp>
        <stp>INDEX</stp>
        <stp>EUR/JPY</stp>
        <stp>始値時刻</stp>
        <tr r="N188" s="1"/>
      </tp>
      <tp t="s">
        <v/>
        <stp/>
        <stp>Market</stp>
        <stp>INDEX</stp>
        <stp>EUR/JPY</stp>
        <stp>高値時刻</stp>
        <tr r="O188" s="1"/>
      </tp>
      <tp t="s">
        <v/>
        <stp/>
        <stp>Market</stp>
        <stp>INDEX</stp>
        <stp>AUD/JPY</stp>
        <stp>安値時刻</stp>
        <tr r="P190" s="1"/>
      </tp>
      <tp t="s">
        <v/>
        <stp/>
        <stp>Market</stp>
        <stp>INDEX</stp>
        <stp>AUD/JPY</stp>
        <stp>始値時刻</stp>
        <tr r="N190" s="1"/>
      </tp>
      <tp t="s">
        <v/>
        <stp/>
        <stp>Market</stp>
        <stp>INDEX</stp>
        <stp>AUD/JPY</stp>
        <stp>高値時刻</stp>
        <tr r="O190" s="1"/>
      </tp>
      <tp>
        <v>0</v>
        <stp/>
        <stp>Market</stp>
        <stp>INDEX</stp>
        <stp>REDBEAN.FUT01.OS</stp>
        <stp>始値</stp>
        <tr r="K165" s="1"/>
      </tp>
      <tp t="s">
        <v/>
        <stp/>
        <stp>Market</stp>
        <stp>INDEX</stp>
        <stp>REDBEAN.FUT04.OS</stp>
        <stp>現在日付</stp>
        <tr r="C168" s="1"/>
      </tp>
      <tp t="s">
        <v/>
        <stp/>
        <stp>Market</stp>
        <stp>INDEX</stp>
        <stp>REDBEAN.FUT05.OS</stp>
        <stp>現在日付</stp>
        <tr r="C169" s="1"/>
      </tp>
      <tp t="s">
        <v/>
        <stp/>
        <stp>Market</stp>
        <stp>INDEX</stp>
        <stp>REDBEAN.FUT06.OS</stp>
        <stp>現在日付</stp>
        <tr r="C170" s="1"/>
      </tp>
      <tp t="s">
        <v/>
        <stp/>
        <stp>Market</stp>
        <stp>INDEX</stp>
        <stp>REDBEAN.FUT01.OS</stp>
        <stp>現在日付</stp>
        <tr r="C165" s="1"/>
      </tp>
      <tp t="s">
        <v/>
        <stp/>
        <stp>Market</stp>
        <stp>INDEX</stp>
        <stp>REDBEAN.FUT02.OS</stp>
        <stp>現在日付</stp>
        <tr r="C166" s="1"/>
      </tp>
      <tp t="s">
        <v/>
        <stp/>
        <stp>Market</stp>
        <stp>INDEX</stp>
        <stp>REDBEAN.FUT03.OS</stp>
        <stp>現在日付</stp>
        <tr r="C167" s="1"/>
      </tp>
    </main>
    <main first="rtdsrv.dff54f4b11dd4e0d9cb19000fb943d8c">
      <tp>
        <v>1305.5999999999999</v>
        <stp/>
        <stp>Market</stp>
        <stp>INDEX</stp>
        <stp>EMCLOUD</stp>
        <stp>始値</stp>
        <tr r="K62" s="1"/>
      </tp>
    </main>
    <main first="rtdsrv.dff54f4b11dd4e0d9cb19000fb943d8c">
      <tp>
        <v>0</v>
        <stp/>
        <stp>Market</stp>
        <stp>INDEX</stp>
        <stp>REDBEAN.FUT03.OS</stp>
        <stp>安値</stp>
        <tr r="M167" s="1"/>
      </tp>
      <tp t="s">
        <v/>
        <stp/>
        <stp>Market</stp>
        <stp>INDEX</stp>
        <stp>GBP/CHF</stp>
        <stp>現在日付</stp>
        <tr r="C202" s="1"/>
      </tp>
    </main>
    <main first="rtdsrv.dff54f4b11dd4e0d9cb19000fb943d8c">
      <tp t="s">
        <v/>
        <stp/>
        <stp>Market</stp>
        <stp>INDEX</stp>
        <stp>N225.FUT01.C</stp>
        <stp>年初来安値</stp>
        <tr r="W183" s="1"/>
      </tp>
      <tp t="s">
        <v/>
        <stp/>
        <stp>Market</stp>
        <stp>INDEX</stp>
        <stp>N225.FUT02.C</stp>
        <stp>年初来安値</stp>
        <tr r="W184" s="1"/>
      </tp>
      <tp>
        <v>0</v>
        <stp/>
        <stp>Market</stp>
        <stp>INDEX</stp>
        <stp>SOYBEAN.FUT02.OS</stp>
        <stp>安値</stp>
        <tr r="M172" s="1"/>
      </tp>
      <tp t="s">
        <v/>
        <stp/>
        <stp>Market</stp>
        <stp>INDEX</stp>
        <stp>NZD/JPY</stp>
        <stp>現在日付</stp>
        <tr r="C191" s="1"/>
      </tp>
    </main>
    <main first="rtdsrv.dff54f4b11dd4e0d9cb19000fb943d8c">
      <tp t="s">
        <v>2006/01/16</v>
        <stp/>
        <stp>Market</stp>
        <stp>INDEX</stp>
        <stp>MTHR</stp>
        <stp>上場来高値日付</stp>
        <tr r="Z13" s="1"/>
      </tp>
    </main>
    <main first="rtdsrv.dff54f4b11dd4e0d9cb19000fb943d8c">
      <tp t="s">
        <v>2008/10/28</v>
        <stp/>
        <stp>Market</stp>
        <stp>INDEX</stp>
        <stp>MTHR</stp>
        <stp>上場来安値日付</stp>
        <tr r="AA13" s="1"/>
      </tp>
      <tp t="s">
        <v/>
        <stp/>
        <stp>Market</stp>
        <stp>INDEX</stp>
        <stp>N225.FUT01.C</stp>
        <stp>上場来安値</stp>
        <tr r="Y183" s="1"/>
      </tp>
      <tp t="s">
        <v/>
        <stp/>
        <stp>Market</stp>
        <stp>INDEX</stp>
        <stp>N225.FUT02.C</stp>
        <stp>上場来安値</stp>
        <tr r="Y184" s="1"/>
      </tp>
      <tp>
        <v>12990.07</v>
        <stp/>
        <stp>Market</stp>
        <stp>INDEX</stp>
        <stp>IXCO</stp>
        <stp>前年最安値</stp>
        <tr r="T45" s="1"/>
      </tp>
    </main>
    <main first="rtdsrv.dff54f4b11dd4e0d9cb19000fb943d8c">
      <tp>
        <v>1304.72</v>
        <stp/>
        <stp>Market</stp>
        <stp>INDEX</stp>
        <stp>EMCLOUD</stp>
        <stp>前年最安値</stp>
        <tr r="T62" s="1"/>
      </tp>
      <tp t="s">
        <v/>
        <stp/>
        <stp>Market</stp>
        <stp>INDEX</stp>
        <stp>NZD/USD</stp>
        <stp>指標名称</stp>
        <tr r="B200" s="1"/>
      </tp>
    </main>
    <main first="rtdsrv.dff54f4b11dd4e0d9cb19000fb943d8c">
      <tp t="s">
        <v/>
        <stp/>
        <stp>Market</stp>
        <stp>INDEX</stp>
        <stp>AUD/USD</stp>
        <stp>安値時刻</stp>
        <tr r="P199" s="1"/>
      </tp>
      <tp t="s">
        <v/>
        <stp/>
        <stp>Market</stp>
        <stp>INDEX</stp>
        <stp>AUD/USD</stp>
        <stp>始値時刻</stp>
        <tr r="N199" s="1"/>
      </tp>
      <tp t="s">
        <v/>
        <stp/>
        <stp>Market</stp>
        <stp>INDEX</stp>
        <stp>AUD/USD</stp>
        <stp>高値時刻</stp>
        <tr r="O199" s="1"/>
      </tp>
      <tp t="s">
        <v/>
        <stp/>
        <stp>Market</stp>
        <stp>INDEX</stp>
        <stp>PLATINUMMINI.FUT04.OS</stp>
        <stp>指標名称</stp>
        <tr r="B125" s="1"/>
      </tp>
      <tp t="s">
        <v/>
        <stp/>
        <stp>Market</stp>
        <stp>INDEX</stp>
        <stp>PLATINUMMINI.FUT05.OS</stp>
        <stp>指標名称</stp>
        <tr r="B126" s="1"/>
      </tp>
      <tp t="s">
        <v/>
        <stp/>
        <stp>Market</stp>
        <stp>INDEX</stp>
        <stp>PLATINUMMINI.FUT06.OS</stp>
        <stp>指標名称</stp>
        <tr r="B127" s="1"/>
      </tp>
      <tp t="s">
        <v/>
        <stp/>
        <stp>Market</stp>
        <stp>INDEX</stp>
        <stp>PLATINUMMINI.FUT01.OS</stp>
        <stp>指標名称</stp>
        <tr r="B122" s="1"/>
      </tp>
      <tp t="s">
        <v/>
        <stp/>
        <stp>Market</stp>
        <stp>INDEX</stp>
        <stp>PLATINUMMINI.FUT02.OS</stp>
        <stp>指標名称</stp>
        <tr r="B123" s="1"/>
      </tp>
      <tp t="s">
        <v/>
        <stp/>
        <stp>Market</stp>
        <stp>INDEX</stp>
        <stp>PLATINUMMINI.FUT03.OS</stp>
        <stp>指標名称</stp>
        <tr r="B124" s="1"/>
      </tp>
      <tp t="s">
        <v/>
        <stp/>
        <stp>Market</stp>
        <stp>INDEX</stp>
        <stp>EUR/USD</stp>
        <stp>安値時刻</stp>
        <tr r="P197" s="1"/>
      </tp>
      <tp t="s">
        <v/>
        <stp/>
        <stp>Market</stp>
        <stp>INDEX</stp>
        <stp>EUR/USD</stp>
        <stp>始値時刻</stp>
        <tr r="N197" s="1"/>
      </tp>
      <tp t="s">
        <v/>
        <stp/>
        <stp>Market</stp>
        <stp>INDEX</stp>
        <stp>EUR/USD</stp>
        <stp>高値時刻</stp>
        <tr r="O197" s="1"/>
      </tp>
      <tp>
        <v>0</v>
        <stp/>
        <stp>Market</stp>
        <stp>INDEX</stp>
        <stp>REDBEAN.FUT02.OS</stp>
        <stp>始値</stp>
        <tr r="K166" s="1"/>
      </tp>
      <tp>
        <v>11900</v>
        <stp/>
        <stp>Market</stp>
        <stp>INDEX</stp>
        <stp>PLATINUM.SPOT.OS</stp>
        <stp>始値</stp>
        <tr r="K128" s="1"/>
      </tp>
    </main>
    <main first="rtdsrv.dff54f4b11dd4e0d9cb19000fb943d8c">
      <tp>
        <v>0</v>
        <stp/>
        <stp>Market</stp>
        <stp>INDEX</stp>
        <stp>SOYBEAN.FUT03.OS</stp>
        <stp>始値</stp>
        <tr r="K173" s="1"/>
      </tp>
    </main>
    <main first="rtdsrv.dff54f4b11dd4e0d9cb19000fb943d8c">
      <tp t="s">
        <v>2026/02/27</v>
        <stp/>
        <stp>Market</stp>
        <stp>INDEX</stp>
        <stp>PLATINUMMINI.FUT04.OS</stp>
        <stp>現在日付</stp>
        <tr r="C125" s="1"/>
      </tp>
      <tp t="s">
        <v>2026/02/28</v>
        <stp/>
        <stp>Market</stp>
        <stp>INDEX</stp>
        <stp>PLATINUMMINI.FUT05.OS</stp>
        <stp>現在日付</stp>
        <tr r="C126" s="1"/>
      </tp>
      <tp t="s">
        <v>2026/02/28</v>
        <stp/>
        <stp>Market</stp>
        <stp>INDEX</stp>
        <stp>PLATINUMMINI.FUT06.OS</stp>
        <stp>現在日付</stp>
        <tr r="C127" s="1"/>
      </tp>
      <tp t="s">
        <v>2026/02/26</v>
        <stp/>
        <stp>Market</stp>
        <stp>INDEX</stp>
        <stp>PLATINUMMINI.FUT01.OS</stp>
        <stp>現在日付</stp>
        <tr r="C122" s="1"/>
      </tp>
      <tp t="s">
        <v>2026/02/27</v>
        <stp/>
        <stp>Market</stp>
        <stp>INDEX</stp>
        <stp>PLATINUMMINI.FUT02.OS</stp>
        <stp>現在日付</stp>
        <tr r="C123" s="1"/>
      </tp>
      <tp t="s">
        <v>2026/02/27</v>
        <stp/>
        <stp>Market</stp>
        <stp>INDEX</stp>
        <stp>PLATINUMMINI.FUT03.OS</stp>
        <stp>現在日付</stp>
        <tr r="C124" s="1"/>
      </tp>
    </main>
    <main first="rtdsrv.dff54f4b11dd4e0d9cb19000fb943d8c">
      <tp>
        <v>2326.61</v>
        <stp/>
        <stp>Market</stp>
        <stp>INDEX</stp>
        <stp>SP100</stp>
        <stp>前年最安値</stp>
        <tr r="T23" s="1"/>
      </tp>
      <tp>
        <v>4835.04</v>
        <stp/>
        <stp>Market</stp>
        <stp>INDEX</stp>
        <stp>SP500</stp>
        <stp>前年最安値</stp>
        <tr r="T24" s="1"/>
      </tp>
    </main>
    <main first="rtdsrv.dff54f4b11dd4e0d9cb19000fb943d8c">
      <tp>
        <v>0</v>
        <stp/>
        <stp>Market</stp>
        <stp>INDEX</stp>
        <stp>SOYBEAN.FUT01.OS</stp>
        <stp>安値</stp>
        <tr r="M171" s="1"/>
      </tp>
    </main>
    <main first="rtdsrv.dff54f4b11dd4e0d9cb19000fb943d8c">
      <tp t="s">
        <v/>
        <stp/>
        <stp>Market</stp>
        <stp>INDEX</stp>
        <stp>TSR20.FUT12.OS</stp>
        <stp>前年最安値</stp>
        <tr r="T164" s="1"/>
      </tp>
      <tp t="s">
        <v/>
        <stp/>
        <stp>Market</stp>
        <stp>INDEX</stp>
        <stp>TSR20.FUT11.OS</stp>
        <stp>前年最安値</stp>
        <tr r="T163" s="1"/>
      </tp>
      <tp t="s">
        <v/>
        <stp/>
        <stp>Market</stp>
        <stp>INDEX</stp>
        <stp>NZD/USD</stp>
        <stp>現在日付</stp>
        <tr r="C200" s="1"/>
      </tp>
      <tp t="s">
        <v/>
        <stp/>
        <stp>Market</stp>
        <stp>INDEX</stp>
        <stp>TSR20.FUT10.OS</stp>
        <stp>前年最安値</stp>
        <tr r="T162" s="1"/>
      </tp>
    </main>
    <main first="rtdsrv.dff54f4b11dd4e0d9cb19000fb943d8c">
      <tp t="s">
        <v/>
        <stp/>
        <stp>Market</stp>
        <stp>INDEX</stp>
        <stp>EUR/USD</stp>
        <stp>前日比</stp>
        <tr r="G197" s="1"/>
      </tp>
      <tp t="s">
        <v/>
        <stp/>
        <stp>Market</stp>
        <stp>INDEX</stp>
        <stp>AUD/CHF</stp>
        <stp>現在値ティック</stp>
        <tr r="F205" s="1"/>
      </tp>
      <tp t="s">
        <v/>
        <stp/>
        <stp>Market</stp>
        <stp>INDEX</stp>
        <stp>HKD/JPY</stp>
        <stp>現在値ティック</stp>
        <tr r="F195" s="1"/>
      </tp>
      <tp t="s">
        <v/>
        <stp/>
        <stp>Market</stp>
        <stp>INDEX</stp>
        <stp>ZAR/JPY</stp>
        <stp>前日比</stp>
        <tr r="G192" s="1"/>
      </tp>
      <tp t="s">
        <v/>
        <stp/>
        <stp>Market</stp>
        <stp>INDEX</stp>
        <stp>EUR/GBP</stp>
        <stp>現在値ティック</stp>
        <tr r="F203" s="1"/>
      </tp>
    </main>
    <main first="rtdsrv.dff54f4b11dd4e0d9cb19000fb943d8c">
      <tp t="s">
        <v/>
        <stp/>
        <stp>Market</stp>
        <stp>INDEX</stp>
        <stp>MXN/JPY</stp>
        <stp>指標名称</stp>
        <tr r="B211" s="1"/>
      </tp>
    </main>
    <main first="rtdsrv.dff54f4b11dd4e0d9cb19000fb943d8c">
      <tp>
        <v>0</v>
        <stp/>
        <stp>Market</stp>
        <stp>INDEX</stp>
        <stp>REDBEAN.FUT03.OS</stp>
        <stp>始値</stp>
        <tr r="K167" s="1"/>
      </tp>
    </main>
    <main first="rtdsrv.dff54f4b11dd4e0d9cb19000fb943d8c">
      <tp>
        <v>0</v>
        <stp/>
        <stp>Market</stp>
        <stp>INDEX</stp>
        <stp>SOYBEAN.FUT02.OS</stp>
        <stp>始値</stp>
        <tr r="K172" s="1"/>
      </tp>
    </main>
    <main first="rtdsrv.dff54f4b11dd4e0d9cb19000fb943d8c">
      <tp>
        <v>1208.77</v>
        <stp/>
        <stp>Market</stp>
        <stp>INDEX</stp>
        <stp>NQROBO</stp>
        <stp>前年最安値</stp>
        <tr r="T61" s="1"/>
      </tp>
    </main>
    <main first="rtdsrv.dff54f4b11dd4e0d9cb19000fb943d8c">
      <tp>
        <v>683.02</v>
        <stp/>
        <stp>Market</stp>
        <stp>INDEX</stp>
        <stp>TSGM</stp>
        <stp>前年最安値</stp>
        <tr r="T8" s="1"/>
      </tp>
      <tp>
        <v>1101.25</v>
        <stp/>
        <stp>Market</stp>
        <stp>INDEX</stp>
        <stp>TSSM</stp>
        <stp>前年最安値</stp>
        <tr r="T7" s="1"/>
      </tp>
      <tp>
        <v>1154.52</v>
        <stp/>
        <stp>Market</stp>
        <stp>INDEX</stp>
        <stp>TSPM</stp>
        <stp>前年最安値</stp>
        <tr r="T6" s="1"/>
      </tp>
    </main>
    <main first="rtdsrv.dff54f4b11dd4e0d9cb19000fb943d8c">
      <tp>
        <v>0</v>
        <stp/>
        <stp>Market</stp>
        <stp>INDEX</stp>
        <stp>REDBEAN.FUT01.OS</stp>
        <stp>安値</stp>
        <tr r="M165" s="1"/>
      </tp>
    </main>
    <main first="rtdsrv.dff54f4b11dd4e0d9cb19000fb943d8c">
      <tp t="s">
        <v/>
        <stp/>
        <stp>Market</stp>
        <stp>INDEX</stp>
        <stp>MXN/JPY</stp>
        <stp>現在日付</stp>
        <tr r="C211" s="1"/>
      </tp>
    </main>
    <main first="rtdsrv.dff54f4b11dd4e0d9cb19000fb943d8c">
      <tp>
        <v>520.61</v>
        <stp/>
        <stp>Market</stp>
        <stp>INDEX</stp>
        <stp>SIXM</stp>
        <stp>前年最安値</stp>
        <tr r="T29" s="1"/>
      </tp>
    </main>
    <main first="rtdsrv.dff54f4b11dd4e0d9cb19000fb943d8c">
      <tp>
        <v>1283.07</v>
        <stp/>
        <stp>Market</stp>
        <stp>INDEX</stp>
        <stp>EMCLOUD</stp>
        <stp>安値</stp>
        <tr r="M62" s="1"/>
      </tp>
      <tp t="s">
        <v>2013/10/30</v>
        <stp/>
        <stp>Market</stp>
        <stp>INDEX</stp>
        <stp>VVIX</stp>
        <stp>上場来高値日付</stp>
        <tr r="Z26" s="1"/>
      </tp>
    </main>
    <main first="rtdsrv.dff54f4b11dd4e0d9cb19000fb943d8c">
      <tp t="s">
        <v>2013/10/30</v>
        <stp/>
        <stp>Market</stp>
        <stp>INDEX</stp>
        <stp>VVIX</stp>
        <stp>上場来安値日付</stp>
        <tr r="AA26" s="1"/>
      </tp>
    </main>
    <main first="rtdsrv.dff54f4b11dd4e0d9cb19000fb943d8c">
      <tp t="s">
        <v/>
        <stp/>
        <stp>Market</stp>
        <stp>INDEX</stp>
        <stp>TSR20.FUT07.OS</stp>
        <stp>前年最安値</stp>
        <tr r="T159" s="1"/>
      </tp>
      <tp t="s">
        <v/>
        <stp/>
        <stp>Market</stp>
        <stp>INDEX</stp>
        <stp>TSR20.FUT06.OS</stp>
        <stp>前年最安値</stp>
        <tr r="T158" s="1"/>
      </tp>
      <tp t="s">
        <v/>
        <stp/>
        <stp>Market</stp>
        <stp>INDEX</stp>
        <stp>TSR20.FUT05.OS</stp>
        <stp>前年最安値</stp>
        <tr r="T157" s="1"/>
      </tp>
      <tp t="s">
        <v/>
        <stp/>
        <stp>Market</stp>
        <stp>INDEX</stp>
        <stp>TSR20.FUT04.OS</stp>
        <stp>前年最安値</stp>
        <tr r="T156" s="1"/>
      </tp>
      <tp t="s">
        <v/>
        <stp/>
        <stp>Market</stp>
        <stp>INDEX</stp>
        <stp>TSR20.FUT03.OS</stp>
        <stp>前年最安値</stp>
        <tr r="T155" s="1"/>
      </tp>
      <tp t="s">
        <v/>
        <stp/>
        <stp>Market</stp>
        <stp>INDEX</stp>
        <stp>TSR20.FUT02.OS</stp>
        <stp>前年最安値</stp>
        <tr r="T154" s="1"/>
      </tp>
      <tp t="s">
        <v/>
        <stp/>
        <stp>Market</stp>
        <stp>INDEX</stp>
        <stp>TSR20.FUT01.OS</stp>
        <stp>前年最安値</stp>
        <tr r="T153" s="1"/>
      </tp>
      <tp t="s">
        <v/>
        <stp/>
        <stp>Market</stp>
        <stp>INDEX</stp>
        <stp>TSR20.FUT09.OS</stp>
        <stp>前年最安値</stp>
        <tr r="T161" s="1"/>
      </tp>
      <tp t="s">
        <v/>
        <stp/>
        <stp>Market</stp>
        <stp>INDEX</stp>
        <stp>TSR20.FUT08.OS</stp>
        <stp>前年最安値</stp>
        <tr r="T160" s="1"/>
      </tp>
      <tp t="s">
        <v/>
        <stp/>
        <stp>Market</stp>
        <stp>INDEX</stp>
        <stp>REDBEAN.FUT01.OS</stp>
        <stp>現在値ティック</stp>
        <tr r="F165" s="1"/>
      </tp>
      <tp t="s">
        <v/>
        <stp/>
        <stp>Market</stp>
        <stp>INDEX</stp>
        <stp>REDBEAN.FUT03.OS</stp>
        <stp>現在値ティック</stp>
        <tr r="F167" s="1"/>
      </tp>
      <tp t="s">
        <v/>
        <stp/>
        <stp>Market</stp>
        <stp>INDEX</stp>
        <stp>REDBEAN.FUT02.OS</stp>
        <stp>現在値ティック</stp>
        <tr r="F166" s="1"/>
      </tp>
      <tp t="s">
        <v/>
        <stp/>
        <stp>Market</stp>
        <stp>INDEX</stp>
        <stp>REDBEAN.FUT05.OS</stp>
        <stp>現在値ティック</stp>
        <tr r="F169" s="1"/>
      </tp>
      <tp t="s">
        <v/>
        <stp/>
        <stp>Market</stp>
        <stp>INDEX</stp>
        <stp>REDBEAN.FUT04.OS</stp>
        <stp>現在値ティック</stp>
        <tr r="F168" s="1"/>
      </tp>
      <tp t="s">
        <v/>
        <stp/>
        <stp>Market</stp>
        <stp>INDEX</stp>
        <stp>REDBEAN.FUT06.OS</stp>
        <stp>現在値ティック</stp>
        <tr r="F170" s="1"/>
      </tp>
    </main>
    <main first="rtdsrv.dff54f4b11dd4e0d9cb19000fb943d8c">
      <tp t="s">
        <v>↑</v>
        <stp/>
        <stp>Market</stp>
        <stp>INDEX</stp>
        <stp>PLATINUM.SPOT.OS</stp>
        <stp>現在値ティック</stp>
        <tr r="F128" s="1"/>
      </tp>
      <tp t="s">
        <v>2026/02/26</v>
        <stp/>
        <stp>Market</stp>
        <stp>INDEX</stp>
        <stp>TSM20</stp>
        <stp>上場来高値日付</stp>
        <tr r="Z11" s="1"/>
      </tp>
      <tp t="s">
        <v>2022/06/17</v>
        <stp/>
        <stp>Market</stp>
        <stp>INDEX</stp>
        <stp>TSM20</stp>
        <stp>上場来安値日付</stp>
        <tr r="AA11" s="1"/>
      </tp>
      <tp t="s">
        <v/>
        <stp/>
        <stp>Market</stp>
        <stp>INDEX</stp>
        <stp>AUD/NZD</stp>
        <stp>指標名称</stp>
        <tr r="B207" s="1"/>
      </tp>
      <tp t="s">
        <v>-</v>
        <stp/>
        <stp>Market</stp>
        <stp>INDEX</stp>
        <stp>SIXRE</stp>
        <stp>始値時刻</stp>
        <tr r="N30" s="1"/>
      </tp>
      <tp t="s">
        <v>-</v>
        <stp/>
        <stp>Market</stp>
        <stp>INDEX</stp>
        <stp>SIXRE</stp>
        <stp>安値時刻</stp>
        <tr r="P30" s="1"/>
      </tp>
      <tp t="s">
        <v>-</v>
        <stp/>
        <stp>Market</stp>
        <stp>INDEX</stp>
        <stp>SIXRE</stp>
        <stp>高値時刻</stp>
        <tr r="O30" s="1"/>
      </tp>
      <tp t="s">
        <v/>
        <stp/>
        <stp>Market</stp>
        <stp>INDEX</stp>
        <stp>CORN.FUT01.OS</stp>
        <stp>指標名称</stp>
        <tr r="B177" s="1"/>
      </tp>
      <tp t="s">
        <v/>
        <stp/>
        <stp>Market</stp>
        <stp>INDEX</stp>
        <stp>CORN.FUT02.OS</stp>
        <stp>指標名称</stp>
        <tr r="B178" s="1"/>
      </tp>
      <tp t="s">
        <v/>
        <stp/>
        <stp>Market</stp>
        <stp>INDEX</stp>
        <stp>CORN.FUT03.OS</stp>
        <stp>指標名称</stp>
        <tr r="B179" s="1"/>
      </tp>
      <tp t="s">
        <v/>
        <stp/>
        <stp>Market</stp>
        <stp>INDEX</stp>
        <stp>CORN.FUT04.OS</stp>
        <stp>指標名称</stp>
        <tr r="B180" s="1"/>
      </tp>
      <tp t="s">
        <v/>
        <stp/>
        <stp>Market</stp>
        <stp>INDEX</stp>
        <stp>CORN.FUT05.OS</stp>
        <stp>指標名称</stp>
        <tr r="B181" s="1"/>
      </tp>
      <tp t="s">
        <v/>
        <stp/>
        <stp>Market</stp>
        <stp>INDEX</stp>
        <stp>CORN.FUT06.OS</stp>
        <stp>指標名称</stp>
        <tr r="B182" s="1"/>
      </tp>
      <tp>
        <v>1755.99</v>
        <stp/>
        <stp>Market</stp>
        <stp>INDEX</stp>
        <stp>TSPM</stp>
        <stp>前年終値</stp>
        <tr r="U6" s="1"/>
      </tp>
      <tp t="s">
        <v xml:space="preserve">  :  </v>
        <stp/>
        <stp>Market</stp>
        <stp>INDEX</stp>
        <stp>SILVER.FUT02.OS</stp>
        <stp>安値時刻</stp>
        <tr r="P130" s="1"/>
      </tp>
      <tp t="s">
        <v xml:space="preserve">  :  </v>
        <stp/>
        <stp>Market</stp>
        <stp>INDEX</stp>
        <stp>SILVER.FUT03.OS</stp>
        <stp>安値時刻</stp>
        <tr r="P131" s="1"/>
      </tp>
      <tp t="s">
        <v xml:space="preserve">  :  </v>
        <stp/>
        <stp>Market</stp>
        <stp>INDEX</stp>
        <stp>SILVER.FUT01.OS</stp>
        <stp>始値時刻</stp>
        <tr r="N129" s="1"/>
      </tp>
      <tp t="s">
        <v xml:space="preserve">  :  </v>
        <stp/>
        <stp>Market</stp>
        <stp>INDEX</stp>
        <stp>SILVER.FUT02.OS</stp>
        <stp>始値時刻</stp>
        <tr r="N130" s="1"/>
      </tp>
      <tp t="s">
        <v xml:space="preserve">  :  </v>
        <stp/>
        <stp>Market</stp>
        <stp>INDEX</stp>
        <stp>SILVER.FUT01.OS</stp>
        <stp>安値時刻</stp>
        <tr r="P129" s="1"/>
      </tp>
      <tp t="s">
        <v xml:space="preserve">  :  </v>
        <stp/>
        <stp>Market</stp>
        <stp>INDEX</stp>
        <stp>SILVER.FUT03.OS</stp>
        <stp>始値時刻</stp>
        <tr r="N131" s="1"/>
      </tp>
      <tp t="s">
        <v xml:space="preserve">  :  </v>
        <stp/>
        <stp>Market</stp>
        <stp>INDEX</stp>
        <stp>SILVER.FUT06.OS</stp>
        <stp>安値時刻</stp>
        <tr r="P134" s="1"/>
      </tp>
      <tp t="s">
        <v>00:49</v>
        <stp/>
        <stp>Market</stp>
        <stp>INDEX</stp>
        <stp>SILVER.FUT04.OS</stp>
        <stp>始値時刻</stp>
        <tr r="N132" s="1"/>
      </tp>
      <tp t="s">
        <v>00:57</v>
        <stp/>
        <stp>Market</stp>
        <stp>INDEX</stp>
        <stp>SILVER.FUT05.OS</stp>
        <stp>始値時刻</stp>
        <tr r="N133" s="1"/>
      </tp>
      <tp t="s">
        <v>00:49</v>
        <stp/>
        <stp>Market</stp>
        <stp>INDEX</stp>
        <stp>SILVER.FUT04.OS</stp>
        <stp>安値時刻</stp>
        <tr r="P132" s="1"/>
      </tp>
      <tp t="s">
        <v xml:space="preserve">  :  </v>
        <stp/>
        <stp>Market</stp>
        <stp>INDEX</stp>
        <stp>SILVER.FUT06.OS</stp>
        <stp>始値時刻</stp>
        <tr r="N134" s="1"/>
      </tp>
      <tp t="s">
        <v>00:57</v>
        <stp/>
        <stp>Market</stp>
        <stp>INDEX</stp>
        <stp>SILVER.FUT05.OS</stp>
        <stp>安値時刻</stp>
        <tr r="P133" s="1"/>
      </tp>
      <tp t="s">
        <v xml:space="preserve">  :  </v>
        <stp/>
        <stp>Market</stp>
        <stp>INDEX</stp>
        <stp>SILVER.FUT03.OS</stp>
        <stp>高値時刻</stp>
        <tr r="O131" s="1"/>
      </tp>
      <tp t="s">
        <v xml:space="preserve">  :  </v>
        <stp/>
        <stp>Market</stp>
        <stp>INDEX</stp>
        <stp>SILVER.FUT02.OS</stp>
        <stp>高値時刻</stp>
        <tr r="O130" s="1"/>
      </tp>
      <tp t="s">
        <v xml:space="preserve">  :  </v>
        <stp/>
        <stp>Market</stp>
        <stp>INDEX</stp>
        <stp>SILVER.FUT01.OS</stp>
        <stp>高値時刻</stp>
        <tr r="O129" s="1"/>
      </tp>
      <tp t="s">
        <v xml:space="preserve">  :  </v>
        <stp/>
        <stp>Market</stp>
        <stp>INDEX</stp>
        <stp>SILVER.FUT06.OS</stp>
        <stp>高値時刻</stp>
        <tr r="O134" s="1"/>
      </tp>
      <tp t="s">
        <v>00:57</v>
        <stp/>
        <stp>Market</stp>
        <stp>INDEX</stp>
        <stp>SILVER.FUT05.OS</stp>
        <stp>高値時刻</stp>
        <tr r="O133" s="1"/>
      </tp>
      <tp t="s">
        <v>00:49</v>
        <stp/>
        <stp>Market</stp>
        <stp>INDEX</stp>
        <stp>SILVER.FUT04.OS</stp>
        <stp>高値時刻</stp>
        <tr r="O132" s="1"/>
      </tp>
      <tp t="s">
        <v>CSI300</v>
        <stp/>
        <stp>Market</stp>
        <stp>INDEX</stp>
        <stp>CSI300</stp>
        <stp>指標名称</stp>
        <tr r="B71" s="1"/>
      </tp>
      <tp t="s">
        <v/>
        <stp/>
        <stp>Market</stp>
        <stp>INDEX</stp>
        <stp>EUR/AUD</stp>
        <stp>安値時刻</stp>
        <tr r="P213" s="1"/>
      </tp>
      <tp t="s">
        <v/>
        <stp/>
        <stp>Market</stp>
        <stp>INDEX</stp>
        <stp>EUR/AUD</stp>
        <stp>始値時刻</stp>
        <tr r="N213" s="1"/>
      </tp>
      <tp t="s">
        <v/>
        <stp/>
        <stp>Market</stp>
        <stp>INDEX</stp>
        <stp>EUR/AUD</stp>
        <stp>高値時刻</stp>
        <tr r="O213" s="1"/>
      </tp>
      <tp>
        <v>3408.97</v>
        <stp/>
        <stp>Market</stp>
        <stp>INDEX</stp>
        <stp>TOPX</stp>
        <stp>前年終値</stp>
        <tr r="U4" s="1"/>
      </tp>
      <tp>
        <v>0</v>
        <stp/>
        <stp>Market</stp>
        <stp>INDEX</stp>
        <stp>REDBEAN.FUT04.OS</stp>
        <stp>始値</stp>
        <tr r="K168" s="1"/>
      </tp>
    </main>
    <main first="rtdsrv.dff54f4b11dd4e0d9cb19000fb943d8c">
      <tp>
        <v>0</v>
        <stp/>
        <stp>Market</stp>
        <stp>INDEX</stp>
        <stp>SOYBEAN.FUT05.OS</stp>
        <stp>始値</stp>
        <tr r="K175" s="1"/>
      </tp>
      <tp t="s">
        <v/>
        <stp/>
        <stp>Market</stp>
        <stp>INDEX</stp>
        <stp>NZD/CHF</stp>
        <stp>前年最安値</stp>
        <tr r="T206" s="1"/>
      </tp>
      <tp t="s">
        <v/>
        <stp/>
        <stp>Market</stp>
        <stp>INDEX</stp>
        <stp>EUR/GBP</stp>
        <stp>前年最安値</stp>
        <tr r="T203" s="1"/>
      </tp>
      <tp t="s">
        <v/>
        <stp/>
        <stp>Market</stp>
        <stp>INDEX</stp>
        <stp>AUD/CHF</stp>
        <stp>前年最安値</stp>
        <tr r="T205" s="1"/>
      </tp>
      <tp t="s">
        <v/>
        <stp/>
        <stp>Market</stp>
        <stp>INDEX</stp>
        <stp>USD/CHF</stp>
        <stp>前年最安値</stp>
        <tr r="T201" s="1"/>
      </tp>
      <tp>
        <v>683.38</v>
        <stp/>
        <stp>Market</stp>
        <stp>INDEX</stp>
        <stp>TREIT</stp>
        <stp>上場来安値</stp>
        <tr r="Y15" s="1"/>
      </tp>
    </main>
    <main first="rtdsrv.dff54f4b11dd4e0d9cb19000fb943d8c">
      <tp t="s">
        <v>2026/02/27</v>
        <stp/>
        <stp>Market</stp>
        <stp>INDEX</stp>
        <stp>CSI300</stp>
        <stp>現在日付</stp>
        <tr r="C71" s="1"/>
      </tp>
    </main>
    <main first="rtdsrv.dff54f4b11dd4e0d9cb19000fb943d8c">
      <tp>
        <v>1954.28</v>
        <stp/>
        <stp>Market</stp>
        <stp>INDEX</stp>
        <stp>TREIT</stp>
        <stp>年初来安値</stp>
        <tr r="W15" s="1"/>
      </tp>
      <tp t="s">
        <v>2025/05/02</v>
        <stp/>
        <stp>Market</stp>
        <stp>INDEX</stp>
        <stp>CORN.FUT01.OS</stp>
        <stp>現在日付</stp>
        <tr r="C177" s="1"/>
      </tp>
      <tp t="s">
        <v/>
        <stp/>
        <stp>Market</stp>
        <stp>INDEX</stp>
        <stp>CORN.FUT02.OS</stp>
        <stp>現在日付</stp>
        <tr r="C178" s="1"/>
      </tp>
      <tp t="s">
        <v/>
        <stp/>
        <stp>Market</stp>
        <stp>INDEX</stp>
        <stp>CORN.FUT03.OS</stp>
        <stp>現在日付</stp>
        <tr r="C179" s="1"/>
      </tp>
      <tp t="s">
        <v/>
        <stp/>
        <stp>Market</stp>
        <stp>INDEX</stp>
        <stp>CORN.FUT04.OS</stp>
        <stp>現在日付</stp>
        <tr r="C180" s="1"/>
      </tp>
      <tp t="s">
        <v/>
        <stp/>
        <stp>Market</stp>
        <stp>INDEX</stp>
        <stp>CORN.FUT05.OS</stp>
        <stp>現在日付</stp>
        <tr r="C181" s="1"/>
      </tp>
      <tp t="s">
        <v/>
        <stp/>
        <stp>Market</stp>
        <stp>INDEX</stp>
        <stp>CORN.FUT06.OS</stp>
        <stp>現在日付</stp>
        <tr r="C182" s="1"/>
      </tp>
    </main>
    <main first="rtdsrv.dff54f4b11dd4e0d9cb19000fb943d8c">
      <tp>
        <v>0</v>
        <stp/>
        <stp>Market</stp>
        <stp>INDEX</stp>
        <stp>REDBEAN.FUT06.OS</stp>
        <stp>安値</stp>
        <tr r="M170" s="1"/>
      </tp>
    </main>
    <main first="rtdsrv.dff54f4b11dd4e0d9cb19000fb943d8c">
      <tp t="s">
        <v/>
        <stp/>
        <stp>Market</stp>
        <stp>INDEX</stp>
        <stp>AUD/NZD</stp>
        <stp>現在日付</stp>
        <tr r="C207" s="1"/>
      </tp>
      <tp t="s">
        <v/>
        <stp/>
        <stp>Market</stp>
        <stp>INDEX</stp>
        <stp>GBP/CHF</stp>
        <stp>現在値ティック</stp>
        <tr r="F202" s="1"/>
      </tp>
      <tp t="s">
        <v/>
        <stp/>
        <stp>Market</stp>
        <stp>INDEX</stp>
        <stp>NZD/JPY</stp>
        <stp>現在値ティック</stp>
        <tr r="F191" s="1"/>
      </tp>
      <tp>
        <v>22538.3</v>
        <stp/>
        <stp>Market</stp>
        <stp>INDEX</stp>
        <stp>NQ</stp>
        <stp>安値</stp>
        <tr r="M21" s="1"/>
      </tp>
      <tp t="s">
        <v/>
        <stp/>
        <stp>Market</stp>
        <stp>INDEX</stp>
        <stp>EUR/AUD</stp>
        <stp>現在値ティック</stp>
        <tr r="F213" s="1"/>
      </tp>
      <tp t="s">
        <v/>
        <stp/>
        <stp>Market</stp>
        <stp>INDEX</stp>
        <stp>NOK/JPY</stp>
        <stp>現在値ティック</stp>
        <tr r="F208" s="1"/>
      </tp>
      <tp t="s">
        <v/>
        <stp/>
        <stp>Market</stp>
        <stp>INDEX</stp>
        <stp>USD/CHF</stp>
        <stp>前日比</stp>
        <tr r="G201" s="1"/>
      </tp>
      <tp t="s">
        <v/>
        <stp/>
        <stp>Market</stp>
        <stp>INDEX</stp>
        <stp>USD/CAD</stp>
        <stp>前日比</stp>
        <tr r="G212" s="1"/>
      </tp>
      <tp t="s">
        <v xml:space="preserve">  :  </v>
        <stp/>
        <stp>Market</stp>
        <stp>INDEX</stp>
        <stp>TCWSI</stp>
        <stp>安値時刻</stp>
        <tr r="P101" s="1"/>
      </tp>
      <tp t="s">
        <v xml:space="preserve">  :  </v>
        <stp/>
        <stp>Market</stp>
        <stp>INDEX</stp>
        <stp>TCWSI</stp>
        <stp>始値時刻</stp>
        <tr r="N101" s="1"/>
      </tp>
      <tp t="s">
        <v xml:space="preserve">  :  </v>
        <stp/>
        <stp>Market</stp>
        <stp>INDEX</stp>
        <stp>TCWSI</stp>
        <stp>高値時刻</stp>
        <tr r="O101" s="1"/>
      </tp>
      <tp t="s">
        <v>-</v>
        <stp/>
        <stp>Market</stp>
        <stp>INDEX</stp>
        <stp>SHKSC</stp>
        <stp>始値時刻</stp>
        <tr r="N70" s="1"/>
      </tp>
      <tp t="s">
        <v>-</v>
        <stp/>
        <stp>Market</stp>
        <stp>INDEX</stp>
        <stp>SHKSC</stp>
        <stp>安値時刻</stp>
        <tr r="P70" s="1"/>
      </tp>
      <tp t="s">
        <v>-</v>
        <stp/>
        <stp>Market</stp>
        <stp>INDEX</stp>
        <stp>SHKSC</stp>
        <stp>高値時刻</stp>
        <tr r="O70" s="1"/>
      </tp>
      <tp t="s">
        <v>-</v>
        <stp/>
        <stp>Market</stp>
        <stp>INDEX</stp>
        <stp>SPESG</stp>
        <stp>始値時刻</stp>
        <tr r="N38" s="1"/>
      </tp>
      <tp t="s">
        <v>-</v>
        <stp/>
        <stp>Market</stp>
        <stp>INDEX</stp>
        <stp>SPESG</stp>
        <stp>安値時刻</stp>
        <tr r="P38" s="1"/>
      </tp>
      <tp t="s">
        <v>-</v>
        <stp/>
        <stp>Market</stp>
        <stp>INDEX</stp>
        <stp>SPESG</stp>
        <stp>高値時刻</stp>
        <tr r="O38" s="1"/>
      </tp>
    </main>
    <main first="rtdsrv.dff54f4b11dd4e0d9cb19000fb943d8c">
      <tp>
        <v>0</v>
        <stp/>
        <stp>Market</stp>
        <stp>INDEX</stp>
        <stp>REDBEAN.FUT05.OS</stp>
        <stp>始値</stp>
        <tr r="K169" s="1"/>
      </tp>
    </main>
    <main first="rtdsrv.dff54f4b11dd4e0d9cb19000fb943d8c">
      <tp>
        <v>0</v>
        <stp/>
        <stp>Market</stp>
        <stp>INDEX</stp>
        <stp>SOYBEAN.FUT04.OS</stp>
        <stp>始値</stp>
        <tr r="K174" s="1"/>
      </tp>
    </main>
    <main first="rtdsrv.dff54f4b11dd4e0d9cb19000fb943d8c">
      <tp>
        <v>50.64</v>
        <stp/>
        <stp>Market</stp>
        <stp>INDEX</stp>
        <stp>JGB:FL</stp>
        <stp>前日比</stp>
        <tr r="G17" s="1"/>
      </tp>
      <tp>
        <v>-17.989999999999998</v>
        <stp/>
        <stp>Market</stp>
        <stp>INDEX</stp>
        <stp>JGB:FI</stp>
        <stp>前日比</stp>
        <tr r="G18" s="1"/>
      </tp>
      <tp t="s">
        <v>2015/06/15</v>
        <stp/>
        <stp>Market</stp>
        <stp>INDEX</stp>
        <stp>SHKSC</stp>
        <stp>上場来高値日付</stp>
        <tr r="Z70" s="1"/>
      </tp>
      <tp t="s">
        <v>2014/11/20</v>
        <stp/>
        <stp>Market</stp>
        <stp>INDEX</stp>
        <stp>SHKSC</stp>
        <stp>上場来安値日付</stp>
        <tr r="AA70" s="1"/>
      </tp>
    </main>
    <main first="rtdsrv.dff54f4b11dd4e0d9cb19000fb943d8c">
      <tp>
        <v>1677.41</v>
        <stp/>
        <stp>Market</stp>
        <stp>INDEX</stp>
        <stp>HSCEI</stp>
        <stp>上場来安値</stp>
        <tr r="Y66" s="1"/>
      </tp>
      <tp>
        <v>836.74</v>
        <stp/>
        <stp>Market</stp>
        <stp>INDEX</stp>
        <stp>HSCCI</stp>
        <stp>上場来安値</stp>
        <tr r="Y67" s="1"/>
      </tp>
    </main>
    <main first="rtdsrv.dff54f4b11dd4e0d9cb19000fb943d8c">
      <tp>
        <v>8814.2900000000009</v>
        <stp/>
        <stp>Market</stp>
        <stp>INDEX</stp>
        <stp>HSCEI</stp>
        <stp>年初来安値</stp>
        <tr r="W66" s="1"/>
      </tp>
      <tp>
        <v>4019.01</v>
        <stp/>
        <stp>Market</stp>
        <stp>INDEX</stp>
        <stp>HSCCI</stp>
        <stp>年初来安値</stp>
        <tr r="W67" s="1"/>
      </tp>
      <tp>
        <v>1053.04</v>
        <stp/>
        <stp>Market</stp>
        <stp>INDEX</stp>
        <stp>TSM20</stp>
        <stp>前年最安値</stp>
        <tr r="T11" s="1"/>
      </tp>
    </main>
    <main first="rtdsrv.dff54f4b11dd4e0d9cb19000fb943d8c">
      <tp>
        <v>0</v>
        <stp/>
        <stp>Market</stp>
        <stp>INDEX</stp>
        <stp>SOYBEAN.FUT06.OS</stp>
        <stp>安値</stp>
        <tr r="M176" s="1"/>
      </tp>
    </main>
    <main first="rtdsrv.dff54f4b11dd4e0d9cb19000fb943d8c">
      <tp>
        <v>3497.18</v>
        <stp/>
        <stp>Market</stp>
        <stp>INDEX</stp>
        <stp>BANK</stp>
        <stp>前年最安値</stp>
        <tr r="T40" s="1"/>
      </tp>
    </main>
    <main first="rtdsrv.dff54f4b11dd4e0d9cb19000fb943d8c">
      <tp>
        <v>14.95</v>
        <stp/>
        <stp>Market</stp>
        <stp>INDEX</stp>
        <stp>VIX</stp>
        <stp>前年終値</stp>
        <tr r="U25" s="1"/>
      </tp>
    </main>
    <main first="rtdsrv.dff54f4b11dd4e0d9cb19000fb943d8c">
      <tp t="s">
        <v/>
        <stp/>
        <stp>Market</stp>
        <stp>INDEX</stp>
        <stp>TRY/JPY</stp>
        <stp>安値時刻</stp>
        <tr r="P209" s="1"/>
      </tp>
      <tp t="s">
        <v/>
        <stp/>
        <stp>Market</stp>
        <stp>INDEX</stp>
        <stp>TRY/JPY</stp>
        <stp>始値時刻</stp>
        <tr r="N209" s="1"/>
      </tp>
      <tp t="s">
        <v/>
        <stp/>
        <stp>Market</stp>
        <stp>INDEX</stp>
        <stp>TRY/JPY</stp>
        <stp>高値時刻</stp>
        <tr r="O209" s="1"/>
      </tp>
      <tp>
        <v>0</v>
        <stp/>
        <stp>Market</stp>
        <stp>INDEX</stp>
        <stp>REDBEAN.FUT06.OS</stp>
        <stp>始値</stp>
        <tr r="K170" s="1"/>
      </tp>
    </main>
    <main first="rtdsrv.dff54f4b11dd4e0d9cb19000fb943d8c">
      <tp t="s">
        <v/>
        <stp/>
        <stp>Market</stp>
        <stp>INDEX</stp>
        <stp>AUD/NZD</stp>
        <stp>前年最安値</stp>
        <tr r="T207" s="1"/>
      </tp>
      <tp t="s">
        <v/>
        <stp/>
        <stp>Market</stp>
        <stp>INDEX</stp>
        <stp>TRY/JPY</stp>
        <stp>前年最安値</stp>
        <tr r="T209" s="1"/>
      </tp>
      <tp t="s">
        <v/>
        <stp/>
        <stp>Market</stp>
        <stp>INDEX</stp>
        <stp>NZD/USD</stp>
        <stp>前年最安値</stp>
        <tr r="T200" s="1"/>
      </tp>
      <tp t="s">
        <v/>
        <stp/>
        <stp>Market</stp>
        <stp>INDEX</stp>
        <stp>AUD/USD</stp>
        <stp>前年最安値</stp>
        <tr r="T199" s="1"/>
      </tp>
      <tp t="s">
        <v/>
        <stp/>
        <stp>Market</stp>
        <stp>INDEX</stp>
        <stp>USD/CAD</stp>
        <stp>前年最安値</stp>
        <tr r="T212" s="1"/>
      </tp>
    </main>
    <main first="rtdsrv.dff54f4b11dd4e0d9cb19000fb943d8c">
      <tp>
        <v>22615.429</v>
        <stp/>
        <stp>Market</stp>
        <stp>INDEX</stp>
        <stp>NQ</stp>
        <stp>始値</stp>
        <tr r="K21" s="1"/>
      </tp>
    </main>
    <main first="rtdsrv.dff54f4b11dd4e0d9cb19000fb943d8c">
      <tp>
        <v>0</v>
        <stp/>
        <stp>Market</stp>
        <stp>INDEX</stp>
        <stp>REDBEAN.FUT04.OS</stp>
        <stp>安値</stp>
        <tr r="M168" s="1"/>
      </tp>
      <tp t="s">
        <v>2007/10/16</v>
        <stp/>
        <stp>Market</stp>
        <stp>INDEX</stp>
        <stp>SSEC</stp>
        <stp>上場来高値日付</stp>
        <tr r="Z68" s="1"/>
      </tp>
      <tp t="s">
        <v>2015/06/12</v>
        <stp/>
        <stp>Market</stp>
        <stp>INDEX</stp>
        <stp>SSEA</stp>
        <stp>上場来高値日付</stp>
        <tr r="Z69" s="1"/>
      </tp>
      <tp t="s">
        <v>1994/07/29</v>
        <stp/>
        <stp>Market</stp>
        <stp>INDEX</stp>
        <stp>SSEC</stp>
        <stp>上場来安値日付</stp>
        <tr r="AA68" s="1"/>
      </tp>
      <tp t="s">
        <v>2013/06/25</v>
        <stp/>
        <stp>Market</stp>
        <stp>INDEX</stp>
        <stp>SSEA</stp>
        <stp>上場来安値日付</stp>
        <tr r="AA69" s="1"/>
      </tp>
    </main>
    <main first="rtdsrv.dff54f4b11dd4e0d9cb19000fb943d8c">
      <tp t="s">
        <v>2023/06/21</v>
        <stp/>
        <stp>Market</stp>
        <stp>INDEX</stp>
        <stp>TSGM</stp>
        <stp>上場来高値日付</stp>
        <tr r="Z8" s="1"/>
      </tp>
      <tp t="s">
        <v>2024/08/05</v>
        <stp/>
        <stp>Market</stp>
        <stp>INDEX</stp>
        <stp>TSGM</stp>
        <stp>上場来安値日付</stp>
        <tr r="AA8" s="1"/>
      </tp>
    </main>
    <main first="rtdsrv.dff54f4b11dd4e0d9cb19000fb943d8c">
      <tp>
        <v>0</v>
        <stp/>
        <stp>Market</stp>
        <stp>INDEX</stp>
        <stp>SOYBEAN.FUT05.OS</stp>
        <stp>安値</stp>
        <tr r="M175" s="1"/>
      </tp>
    </main>
    <main first="rtdsrv.dff54f4b11dd4e0d9cb19000fb943d8c">
      <tp t="s">
        <v>2026/02/26</v>
        <stp/>
        <stp>Market</stp>
        <stp>INDEX</stp>
        <stp>TSPM</stp>
        <stp>上場来高値日付</stp>
        <tr r="Z6" s="1"/>
      </tp>
      <tp t="s">
        <v>2022/10/03</v>
        <stp/>
        <stp>Market</stp>
        <stp>INDEX</stp>
        <stp>TSPM</stp>
        <stp>上場来安値日付</stp>
        <tr r="AA6" s="1"/>
      </tp>
      <tp t="s">
        <v>2026/02/26</v>
        <stp/>
        <stp>Market</stp>
        <stp>INDEX</stp>
        <stp>TSSM</stp>
        <stp>上場来高値日付</stp>
        <tr r="Z7" s="1"/>
      </tp>
      <tp t="s">
        <v>2022/07/01</v>
        <stp/>
        <stp>Market</stp>
        <stp>INDEX</stp>
        <stp>TSSM</stp>
        <stp>上場来安値日付</stp>
        <tr r="AA7" s="1"/>
      </tp>
      <tp t="s">
        <v/>
        <stp/>
        <stp>Market</stp>
        <stp>INDEX</stp>
        <stp>AUD/USD</stp>
        <stp>前日比</stp>
        <tr r="G199" s="1"/>
      </tp>
      <tp t="s">
        <v/>
        <stp/>
        <stp>Market</stp>
        <stp>INDEX</stp>
        <stp>EUR/CHF</stp>
        <stp>現在値ティック</stp>
        <tr r="F204" s="1"/>
      </tp>
      <tp t="s">
        <v/>
        <stp/>
        <stp>Market</stp>
        <stp>INDEX</stp>
        <stp>GBP/AUD</stp>
        <stp>現在値ティック</stp>
        <tr r="F214" s="1"/>
      </tp>
    </main>
    <main first="rtdsrv.dff54f4b11dd4e0d9cb19000fb943d8c">
      <tp t="s">
        <v xml:space="preserve">  :  </v>
        <stp/>
        <stp>Market</stp>
        <stp>INDEX</stp>
        <stp>JGB:FDI</stp>
        <stp>安値時刻</stp>
        <tr r="P19" s="1"/>
      </tp>
      <tp t="s">
        <v xml:space="preserve">  :  </v>
        <stp/>
        <stp>Market</stp>
        <stp>INDEX</stp>
        <stp>JGB:FDI</stp>
        <stp>始値時刻</stp>
        <tr r="N19" s="1"/>
      </tp>
      <tp t="s">
        <v xml:space="preserve">  :  </v>
        <stp/>
        <stp>Market</stp>
        <stp>INDEX</stp>
        <stp>JGB:FDI</stp>
        <stp>高値時刻</stp>
        <tr r="O19" s="1"/>
      </tp>
      <tp t="s">
        <v xml:space="preserve">  :  </v>
        <stp/>
        <stp>Market</stp>
        <stp>INDEX</stp>
        <stp>TSR20.FUT09.OS</stp>
        <stp>安値時刻</stp>
        <tr r="P161" s="1"/>
      </tp>
      <tp t="s">
        <v xml:space="preserve">  :  </v>
        <stp/>
        <stp>Market</stp>
        <stp>INDEX</stp>
        <stp>TSR20.FUT08.OS</stp>
        <stp>安値時刻</stp>
        <tr r="P160" s="1"/>
      </tp>
      <tp t="s">
        <v xml:space="preserve">  :  </v>
        <stp/>
        <stp>Market</stp>
        <stp>INDEX</stp>
        <stp>TSR20.FUT09.OS</stp>
        <stp>始値時刻</stp>
        <tr r="N161" s="1"/>
      </tp>
      <tp t="s">
        <v xml:space="preserve">  :  </v>
        <stp/>
        <stp>Market</stp>
        <stp>INDEX</stp>
        <stp>TSR20.FUT08.OS</stp>
        <stp>始値時刻</stp>
        <tr r="N160" s="1"/>
      </tp>
      <tp t="s">
        <v xml:space="preserve">  :  </v>
        <stp/>
        <stp>Market</stp>
        <stp>INDEX</stp>
        <stp>TSR20.FUT05.OS</stp>
        <stp>安値時刻</stp>
        <tr r="P157" s="1"/>
      </tp>
      <tp t="s">
        <v xml:space="preserve">  :  </v>
        <stp/>
        <stp>Market</stp>
        <stp>INDEX</stp>
        <stp>TSR20.FUT07.OS</stp>
        <stp>始値時刻</stp>
        <tr r="N159" s="1"/>
      </tp>
      <tp t="s">
        <v xml:space="preserve">  :  </v>
        <stp/>
        <stp>Market</stp>
        <stp>INDEX</stp>
        <stp>TSR20.FUT04.OS</stp>
        <stp>安値時刻</stp>
        <tr r="P156" s="1"/>
      </tp>
      <tp t="s">
        <v xml:space="preserve">  :  </v>
        <stp/>
        <stp>Market</stp>
        <stp>INDEX</stp>
        <stp>TSR20.FUT06.OS</stp>
        <stp>始値時刻</stp>
        <tr r="N158" s="1"/>
      </tp>
      <tp t="s">
        <v xml:space="preserve">  :  </v>
        <stp/>
        <stp>Market</stp>
        <stp>INDEX</stp>
        <stp>TSR20.FUT07.OS</stp>
        <stp>安値時刻</stp>
        <tr r="P159" s="1"/>
      </tp>
      <tp t="s">
        <v xml:space="preserve">  :  </v>
        <stp/>
        <stp>Market</stp>
        <stp>INDEX</stp>
        <stp>TSR20.FUT05.OS</stp>
        <stp>始値時刻</stp>
        <tr r="N157" s="1"/>
      </tp>
      <tp t="s">
        <v xml:space="preserve">  :  </v>
        <stp/>
        <stp>Market</stp>
        <stp>INDEX</stp>
        <stp>TSR20.FUT06.OS</stp>
        <stp>安値時刻</stp>
        <tr r="P158" s="1"/>
      </tp>
      <tp t="s">
        <v xml:space="preserve">  :  </v>
        <stp/>
        <stp>Market</stp>
        <stp>INDEX</stp>
        <stp>TSR20.FUT04.OS</stp>
        <stp>始値時刻</stp>
        <tr r="N156" s="1"/>
      </tp>
      <tp t="s">
        <v xml:space="preserve">  :  </v>
        <stp/>
        <stp>Market</stp>
        <stp>INDEX</stp>
        <stp>TSR20.FUT01.OS</stp>
        <stp>安値時刻</stp>
        <tr r="P153" s="1"/>
      </tp>
      <tp t="s">
        <v xml:space="preserve">  :  </v>
        <stp/>
        <stp>Market</stp>
        <stp>INDEX</stp>
        <stp>TSR20.FUT03.OS</stp>
        <stp>始値時刻</stp>
        <tr r="N155" s="1"/>
      </tp>
      <tp t="s">
        <v xml:space="preserve">  :  </v>
        <stp/>
        <stp>Market</stp>
        <stp>INDEX</stp>
        <stp>TSR20.FUT02.OS</stp>
        <stp>始値時刻</stp>
        <tr r="N154" s="1"/>
      </tp>
      <tp t="s">
        <v xml:space="preserve">  :  </v>
        <stp/>
        <stp>Market</stp>
        <stp>INDEX</stp>
        <stp>TSR20.FUT03.OS</stp>
        <stp>安値時刻</stp>
        <tr r="P155" s="1"/>
      </tp>
      <tp t="s">
        <v xml:space="preserve">  :  </v>
        <stp/>
        <stp>Market</stp>
        <stp>INDEX</stp>
        <stp>TSR20.FUT01.OS</stp>
        <stp>始値時刻</stp>
        <tr r="N153" s="1"/>
      </tp>
      <tp t="s">
        <v xml:space="preserve">  :  </v>
        <stp/>
        <stp>Market</stp>
        <stp>INDEX</stp>
        <stp>TSR20.FUT02.OS</stp>
        <stp>安値時刻</stp>
        <tr r="P154" s="1"/>
      </tp>
      <tp t="s">
        <v xml:space="preserve">  :  </v>
        <stp/>
        <stp>Market</stp>
        <stp>INDEX</stp>
        <stp>TSR20.FUT08.OS</stp>
        <stp>高値時刻</stp>
        <tr r="O160" s="1"/>
      </tp>
      <tp t="s">
        <v xml:space="preserve">  :  </v>
        <stp/>
        <stp>Market</stp>
        <stp>INDEX</stp>
        <stp>TSR20.FUT09.OS</stp>
        <stp>高値時刻</stp>
        <tr r="O161" s="1"/>
      </tp>
      <tp t="s">
        <v xml:space="preserve">  :  </v>
        <stp/>
        <stp>Market</stp>
        <stp>INDEX</stp>
        <stp>TSR20.FUT04.OS</stp>
        <stp>高値時刻</stp>
        <tr r="O156" s="1"/>
      </tp>
      <tp t="s">
        <v xml:space="preserve">  :  </v>
        <stp/>
        <stp>Market</stp>
        <stp>INDEX</stp>
        <stp>TSR20.FUT05.OS</stp>
        <stp>高値時刻</stp>
        <tr r="O157" s="1"/>
      </tp>
      <tp t="s">
        <v xml:space="preserve">  :  </v>
        <stp/>
        <stp>Market</stp>
        <stp>INDEX</stp>
        <stp>TSR20.FUT06.OS</stp>
        <stp>高値時刻</stp>
        <tr r="O158" s="1"/>
      </tp>
      <tp t="s">
        <v xml:space="preserve">  :  </v>
        <stp/>
        <stp>Market</stp>
        <stp>INDEX</stp>
        <stp>TSR20.FUT07.OS</stp>
        <stp>高値時刻</stp>
        <tr r="O159" s="1"/>
      </tp>
      <tp t="s">
        <v xml:space="preserve">  :  </v>
        <stp/>
        <stp>Market</stp>
        <stp>INDEX</stp>
        <stp>TSR20.FUT01.OS</stp>
        <stp>高値時刻</stp>
        <tr r="O153" s="1"/>
      </tp>
      <tp t="s">
        <v xml:space="preserve">  :  </v>
        <stp/>
        <stp>Market</stp>
        <stp>INDEX</stp>
        <stp>TSR20.FUT02.OS</stp>
        <stp>高値時刻</stp>
        <tr r="O154" s="1"/>
      </tp>
      <tp t="s">
        <v xml:space="preserve">  :  </v>
        <stp/>
        <stp>Market</stp>
        <stp>INDEX</stp>
        <stp>TSR20.FUT03.OS</stp>
        <stp>高値時刻</stp>
        <tr r="O155" s="1"/>
      </tp>
      <tp t="s">
        <v xml:space="preserve">  :  </v>
        <stp/>
        <stp>Market</stp>
        <stp>INDEX</stp>
        <stp>TSR20.FUT11.OS</stp>
        <stp>安値時刻</stp>
        <tr r="P163" s="1"/>
      </tp>
      <tp t="s">
        <v xml:space="preserve">  :  </v>
        <stp/>
        <stp>Market</stp>
        <stp>INDEX</stp>
        <stp>TSR20.FUT10.OS</stp>
        <stp>安値時刻</stp>
        <tr r="P162" s="1"/>
      </tp>
      <tp t="s">
        <v xml:space="preserve">  :  </v>
        <stp/>
        <stp>Market</stp>
        <stp>INDEX</stp>
        <stp>TSR20.FUT12.OS</stp>
        <stp>始値時刻</stp>
        <tr r="N164" s="1"/>
      </tp>
      <tp t="s">
        <v xml:space="preserve">  :  </v>
        <stp/>
        <stp>Market</stp>
        <stp>INDEX</stp>
        <stp>TSR20.FUT11.OS</stp>
        <stp>始値時刻</stp>
        <tr r="N163" s="1"/>
      </tp>
      <tp t="s">
        <v xml:space="preserve">  :  </v>
        <stp/>
        <stp>Market</stp>
        <stp>INDEX</stp>
        <stp>TSR20.FUT12.OS</stp>
        <stp>安値時刻</stp>
        <tr r="P164" s="1"/>
      </tp>
      <tp t="s">
        <v xml:space="preserve">  :  </v>
        <stp/>
        <stp>Market</stp>
        <stp>INDEX</stp>
        <stp>TSR20.FUT10.OS</stp>
        <stp>始値時刻</stp>
        <tr r="N162" s="1"/>
      </tp>
      <tp t="s">
        <v xml:space="preserve">  :  </v>
        <stp/>
        <stp>Market</stp>
        <stp>INDEX</stp>
        <stp>TSR20.FUT10.OS</stp>
        <stp>高値時刻</stp>
        <tr r="O162" s="1"/>
      </tp>
      <tp t="s">
        <v xml:space="preserve">  :  </v>
        <stp/>
        <stp>Market</stp>
        <stp>INDEX</stp>
        <stp>TSR20.FUT11.OS</stp>
        <stp>高値時刻</stp>
        <tr r="O163" s="1"/>
      </tp>
      <tp t="s">
        <v xml:space="preserve">  :  </v>
        <stp/>
        <stp>Market</stp>
        <stp>INDEX</stp>
        <stp>TSR20.FUT12.OS</stp>
        <stp>高値時刻</stp>
        <tr r="O164" s="1"/>
      </tp>
      <tp>
        <v>1538.4</v>
        <stp/>
        <stp>Market</stp>
        <stp>INDEX</stp>
        <stp>TSSM</stp>
        <stp>前年終値</stp>
        <tr r="U7" s="1"/>
      </tp>
      <tp t="s">
        <v/>
        <stp/>
        <stp>Market</stp>
        <stp>INDEX</stp>
        <stp>USD/JPY</stp>
        <stp>安値時刻</stp>
        <tr r="P187" s="1"/>
      </tp>
      <tp t="s">
        <v/>
        <stp/>
        <stp>Market</stp>
        <stp>INDEX</stp>
        <stp>USD/JPY</stp>
        <stp>始値時刻</stp>
        <tr r="N187" s="1"/>
      </tp>
      <tp t="s">
        <v/>
        <stp/>
        <stp>Market</stp>
        <stp>INDEX</stp>
        <stp>USD/JPY</stp>
        <stp>高値時刻</stp>
        <tr r="O187" s="1"/>
      </tp>
      <tp>
        <v>15556.18</v>
        <stp/>
        <stp>Market</stp>
        <stp>INDEX</stp>
        <stp>INSR</stp>
        <stp>前年終値</stp>
        <tr r="U41" s="1"/>
      </tp>
      <tp t="s">
        <v/>
        <stp/>
        <stp>Market</stp>
        <stp>INDEX</stp>
        <stp>GOLD.SPOT.OS</stp>
        <stp>前年終値</stp>
        <tr r="U115" s="1"/>
      </tp>
    </main>
    <main first="rtdsrv.dff54f4b11dd4e0d9cb19000fb943d8c">
      <tp>
        <v>0</v>
        <stp/>
        <stp>Market</stp>
        <stp>INDEX</stp>
        <stp>SOYBEAN.FUT06.OS</stp>
        <stp>始値</stp>
        <tr r="K176" s="1"/>
      </tp>
    </main>
    <main first="rtdsrv.dff54f4b11dd4e0d9cb19000fb943d8c">
      <tp t="s">
        <v/>
        <stp/>
        <stp>Market</stp>
        <stp>INDEX</stp>
        <stp>SILVER.FUT01.OS</stp>
        <stp>前年最安値</stp>
        <tr r="T129" s="1"/>
      </tp>
      <tp t="s">
        <v/>
        <stp/>
        <stp>Market</stp>
        <stp>INDEX</stp>
        <stp>SILVER.FUT02.OS</stp>
        <stp>前年最安値</stp>
        <tr r="T130" s="1"/>
      </tp>
      <tp t="s">
        <v/>
        <stp/>
        <stp>Market</stp>
        <stp>INDEX</stp>
        <stp>SILVER.FUT03.OS</stp>
        <stp>前年最安値</stp>
        <tr r="T131" s="1"/>
      </tp>
      <tp t="s">
        <v/>
        <stp/>
        <stp>Market</stp>
        <stp>INDEX</stp>
        <stp>SILVER.FUT04.OS</stp>
        <stp>前年最安値</stp>
        <tr r="T132" s="1"/>
      </tp>
      <tp t="s">
        <v/>
        <stp/>
        <stp>Market</stp>
        <stp>INDEX</stp>
        <stp>SILVER.FUT05.OS</stp>
        <stp>前年最安値</stp>
        <tr r="T133" s="1"/>
      </tp>
      <tp t="s">
        <v/>
        <stp/>
        <stp>Market</stp>
        <stp>INDEX</stp>
        <stp>SILVER.FUT06.OS</stp>
        <stp>前年最安値</stp>
        <tr r="T134" s="1"/>
      </tp>
      <tp t="s">
        <v/>
        <stp/>
        <stp>Market</stp>
        <stp>INDEX</stp>
        <stp>N225.FUT01.OS</stp>
        <stp>年初来安値</stp>
        <tr r="W72" s="1"/>
      </tp>
      <tp t="s">
        <v/>
        <stp/>
        <stp>Market</stp>
        <stp>INDEX</stp>
        <stp>N225.FUT02.OS</stp>
        <stp>年初来安値</stp>
        <tr r="W73" s="1"/>
      </tp>
      <tp t="s">
        <v/>
        <stp/>
        <stp>Market</stp>
        <stp>INDEX</stp>
        <stp>N225.FUT03.OS</stp>
        <stp>年初来安値</stp>
        <tr r="W74" s="1"/>
      </tp>
      <tp t="s">
        <v/>
        <stp/>
        <stp>Market</stp>
        <stp>INDEX</stp>
        <stp>N225.FUT04.OS</stp>
        <stp>年初来安値</stp>
        <tr r="W75" s="1"/>
      </tp>
      <tp t="s">
        <v/>
        <stp/>
        <stp>Market</stp>
        <stp>INDEX</stp>
        <stp>N225.FUT05.OS</stp>
        <stp>年初来安値</stp>
        <tr r="W76" s="1"/>
      </tp>
      <tp t="s">
        <v/>
        <stp/>
        <stp>Market</stp>
        <stp>INDEX</stp>
        <stp>N225U.FUT03.OS</stp>
        <stp>上場来安値</stp>
        <tr r="Y84" s="1"/>
      </tp>
      <tp t="s">
        <v/>
        <stp/>
        <stp>Market</stp>
        <stp>INDEX</stp>
        <stp>N225M.FUT03.OS</stp>
        <stp>上場来安値</stp>
        <tr r="Y79" s="1"/>
      </tp>
      <tp t="s">
        <v/>
        <stp/>
        <stp>Market</stp>
        <stp>INDEX</stp>
        <stp>N225U.FUT02.OS</stp>
        <stp>上場来安値</stp>
        <tr r="Y83" s="1"/>
      </tp>
      <tp t="s">
        <v/>
        <stp/>
        <stp>Market</stp>
        <stp>INDEX</stp>
        <stp>N225M.FUT02.OS</stp>
        <stp>上場来安値</stp>
        <tr r="Y78" s="1"/>
      </tp>
      <tp t="s">
        <v/>
        <stp/>
        <stp>Market</stp>
        <stp>INDEX</stp>
        <stp>N225U.FUT01.OS</stp>
        <stp>上場来安値</stp>
        <tr r="Y82" s="1"/>
      </tp>
      <tp t="s">
        <v/>
        <stp/>
        <stp>Market</stp>
        <stp>INDEX</stp>
        <stp>N225M.FUT01.OS</stp>
        <stp>上場来安値</stp>
        <tr r="Y77" s="1"/>
      </tp>
    </main>
    <main first="rtdsrv.dff54f4b11dd4e0d9cb19000fb943d8c">
      <tp t="s">
        <v/>
        <stp/>
        <stp>Market</stp>
        <stp>INDEX</stp>
        <stp>N225M.FUT05.OS</stp>
        <stp>上場来安値</stp>
        <tr r="Y81" s="1"/>
      </tp>
      <tp t="s">
        <v/>
        <stp/>
        <stp>Market</stp>
        <stp>INDEX</stp>
        <stp>N225U.FUT04.OS</stp>
        <stp>上場来安値</stp>
        <tr r="Y85" s="1"/>
      </tp>
      <tp t="s">
        <v/>
        <stp/>
        <stp>Market</stp>
        <stp>INDEX</stp>
        <stp>N225M.FUT04.OS</stp>
        <stp>上場来安値</stp>
        <tr r="Y80" s="1"/>
      </tp>
      <tp t="s">
        <v/>
        <stp/>
        <stp>Market</stp>
        <stp>INDEX</stp>
        <stp>N225.FUT01.OS</stp>
        <stp>上場来安値</stp>
        <tr r="Y72" s="1"/>
      </tp>
      <tp t="s">
        <v/>
        <stp/>
        <stp>Market</stp>
        <stp>INDEX</stp>
        <stp>N225.FUT02.OS</stp>
        <stp>上場来安値</stp>
        <tr r="Y73" s="1"/>
      </tp>
      <tp t="s">
        <v/>
        <stp/>
        <stp>Market</stp>
        <stp>INDEX</stp>
        <stp>N225.FUT03.OS</stp>
        <stp>上場来安値</stp>
        <tr r="Y74" s="1"/>
      </tp>
      <tp t="s">
        <v/>
        <stp/>
        <stp>Market</stp>
        <stp>INDEX</stp>
        <stp>N225.FUT04.OS</stp>
        <stp>上場来安値</stp>
        <tr r="Y75" s="1"/>
      </tp>
      <tp t="s">
        <v/>
        <stp/>
        <stp>Market</stp>
        <stp>INDEX</stp>
        <stp>N225.FUT05.OS</stp>
        <stp>上場来安値</stp>
        <tr r="Y76" s="1"/>
      </tp>
      <tp t="s">
        <v/>
        <stp/>
        <stp>Market</stp>
        <stp>INDEX</stp>
        <stp>N225U.FUT03.OS</stp>
        <stp>年初来安値</stp>
        <tr r="W84" s="1"/>
      </tp>
      <tp t="s">
        <v/>
        <stp/>
        <stp>Market</stp>
        <stp>INDEX</stp>
        <stp>N225M.FUT03.OS</stp>
        <stp>年初来安値</stp>
        <tr r="W79" s="1"/>
      </tp>
      <tp t="s">
        <v/>
        <stp/>
        <stp>Market</stp>
        <stp>INDEX</stp>
        <stp>N225U.FUT02.OS</stp>
        <stp>年初来安値</stp>
        <tr r="W83" s="1"/>
      </tp>
      <tp t="s">
        <v/>
        <stp/>
        <stp>Market</stp>
        <stp>INDEX</stp>
        <stp>N225M.FUT02.OS</stp>
        <stp>年初来安値</stp>
        <tr r="W78" s="1"/>
      </tp>
      <tp t="s">
        <v/>
        <stp/>
        <stp>Market</stp>
        <stp>INDEX</stp>
        <stp>N225U.FUT01.OS</stp>
        <stp>年初来安値</stp>
        <tr r="W82" s="1"/>
      </tp>
      <tp t="s">
        <v/>
        <stp/>
        <stp>Market</stp>
        <stp>INDEX</stp>
        <stp>N225M.FUT01.OS</stp>
        <stp>年初来安値</stp>
        <tr r="W77" s="1"/>
      </tp>
      <tp t="s">
        <v/>
        <stp/>
        <stp>Market</stp>
        <stp>INDEX</stp>
        <stp>N225M.FUT05.OS</stp>
        <stp>年初来安値</stp>
        <tr r="W81" s="1"/>
      </tp>
      <tp t="s">
        <v/>
        <stp/>
        <stp>Market</stp>
        <stp>INDEX</stp>
        <stp>N225U.FUT04.OS</stp>
        <stp>年初来安値</stp>
        <tr r="W85" s="1"/>
      </tp>
      <tp t="s">
        <v/>
        <stp/>
        <stp>Market</stp>
        <stp>INDEX</stp>
        <stp>N225M.FUT04.OS</stp>
        <stp>年初来安値</stp>
        <tr r="W80" s="1"/>
      </tp>
    </main>
    <main first="rtdsrv.dff54f4b11dd4e0d9cb19000fb943d8c">
      <tp>
        <v>0</v>
        <stp/>
        <stp>Market</stp>
        <stp>INDEX</stp>
        <stp>REDBEAN.FUT05.OS</stp>
        <stp>安値</stp>
        <tr r="M169" s="1"/>
      </tp>
    </main>
    <main first="rtdsrv.dff54f4b11dd4e0d9cb19000fb943d8c">
      <tp t="s">
        <v>2026/02/26</v>
        <stp/>
        <stp>Market</stp>
        <stp>INDEX</stp>
        <stp>TRAN</stp>
        <stp>上場来高値日付</stp>
        <tr r="Z43" s="1"/>
      </tp>
    </main>
    <main first="rtdsrv.dff54f4b11dd4e0d9cb19000fb943d8c">
      <tp t="s">
        <v>1985/10/01</v>
        <stp/>
        <stp>Market</stp>
        <stp>INDEX</stp>
        <stp>TRAN</stp>
        <stp>上場来安値日付</stp>
        <tr r="AA43" s="1"/>
      </tp>
    </main>
    <main first="rtdsrv.dff54f4b11dd4e0d9cb19000fb943d8c">
      <tp>
        <v>1137.08</v>
        <stp/>
        <stp>Market</stp>
        <stp>INDEX</stp>
        <stp>SIXI</stp>
        <stp>前年最安値</stp>
        <tr r="T34" s="1"/>
      </tp>
    </main>
    <main first="rtdsrv.dff54f4b11dd4e0d9cb19000fb943d8c">
      <tp>
        <v>0</v>
        <stp/>
        <stp>Market</stp>
        <stp>INDEX</stp>
        <stp>SOYBEAN.FUT04.OS</stp>
        <stp>安値</stp>
        <tr r="M174" s="1"/>
      </tp>
    </main>
    <main first="rtdsrv.dff54f4b11dd4e0d9cb19000fb943d8c">
      <tp t="s">
        <v/>
        <stp/>
        <stp>Market</stp>
        <stp>INDEX</stp>
        <stp>MXN/JPY</stp>
        <stp>現在値ティック</stp>
        <tr r="F211" s="1"/>
      </tp>
    </main>
    <main first="rtdsrv.dff54f4b11dd4e0d9cb19000fb943d8c">
      <tp t="s">
        <v/>
        <stp/>
        <stp>Market</stp>
        <stp>INDEX</stp>
        <stp>N225.FUT03.OS</stp>
        <stp>上場来高値日付</stp>
        <tr r="Z74" s="1"/>
      </tp>
      <tp t="s">
        <v/>
        <stp/>
        <stp>Market</stp>
        <stp>INDEX</stp>
        <stp>N225.FUT02.OS</stp>
        <stp>上場来高値日付</stp>
        <tr r="Z73" s="1"/>
      </tp>
      <tp t="s">
        <v/>
        <stp/>
        <stp>Market</stp>
        <stp>INDEX</stp>
        <stp>N225.FUT01.OS</stp>
        <stp>上場来高値日付</stp>
        <tr r="Z72" s="1"/>
      </tp>
      <tp t="s">
        <v/>
        <stp/>
        <stp>Market</stp>
        <stp>INDEX</stp>
        <stp>N225.FUT05.OS</stp>
        <stp>上場来高値日付</stp>
        <tr r="Z76" s="1"/>
      </tp>
      <tp t="s">
        <v/>
        <stp/>
        <stp>Market</stp>
        <stp>INDEX</stp>
        <stp>N225.FUT04.OS</stp>
        <stp>上場来高値日付</stp>
        <tr r="Z75" s="1"/>
      </tp>
      <tp t="s">
        <v/>
        <stp/>
        <stp>Market</stp>
        <stp>INDEX</stp>
        <stp>N225.FUT02.OS</stp>
        <stp>上場来安値日付</stp>
        <tr r="AA73" s="1"/>
      </tp>
      <tp t="s">
        <v/>
        <stp/>
        <stp>Market</stp>
        <stp>INDEX</stp>
        <stp>N225.FUT03.OS</stp>
        <stp>上場来安値日付</stp>
        <tr r="AA74" s="1"/>
      </tp>
      <tp t="s">
        <v/>
        <stp/>
        <stp>Market</stp>
        <stp>INDEX</stp>
        <stp>N225.FUT01.OS</stp>
        <stp>上場来安値日付</stp>
        <tr r="AA72" s="1"/>
      </tp>
      <tp t="s">
        <v/>
        <stp/>
        <stp>Market</stp>
        <stp>INDEX</stp>
        <stp>N225.FUT04.OS</stp>
        <stp>上場来安値日付</stp>
        <tr r="AA75" s="1"/>
      </tp>
      <tp t="s">
        <v/>
        <stp/>
        <stp>Market</stp>
        <stp>INDEX</stp>
        <stp>N225.FUT05.OS</stp>
        <stp>上場来安値日付</stp>
        <tr r="AA76" s="1"/>
      </tp>
      <tp t="s">
        <v>JPX国債先物ダブルインバース</v>
        <stp/>
        <stp>Market</stp>
        <stp>INDEX</stp>
        <stp>JGB:FDI</stp>
        <stp>指標名称</stp>
        <tr r="B19" s="1"/>
      </tp>
      <tp t="s">
        <v/>
        <stp/>
        <stp>Market</stp>
        <stp>INDEX</stp>
        <stp>TSR20.FUT08.OS</stp>
        <stp>指標名称</stp>
        <tr r="B160" s="1"/>
      </tp>
      <tp t="s">
        <v/>
        <stp/>
        <stp>Market</stp>
        <stp>INDEX</stp>
        <stp>TSR20.FUT09.OS</stp>
        <stp>指標名称</stp>
        <tr r="B161" s="1"/>
      </tp>
      <tp t="s">
        <v/>
        <stp/>
        <stp>Market</stp>
        <stp>INDEX</stp>
        <stp>TSR20.FUT06.OS</stp>
        <stp>指標名称</stp>
        <tr r="B158" s="1"/>
      </tp>
      <tp t="s">
        <v/>
        <stp/>
        <stp>Market</stp>
        <stp>INDEX</stp>
        <stp>TSR20.FUT07.OS</stp>
        <stp>指標名称</stp>
        <tr r="B159" s="1"/>
      </tp>
      <tp t="s">
        <v/>
        <stp/>
        <stp>Market</stp>
        <stp>INDEX</stp>
        <stp>TSR20.FUT04.OS</stp>
        <stp>指標名称</stp>
        <tr r="B156" s="1"/>
      </tp>
      <tp t="s">
        <v/>
        <stp/>
        <stp>Market</stp>
        <stp>INDEX</stp>
        <stp>TSR20.FUT05.OS</stp>
        <stp>指標名称</stp>
        <tr r="B157" s="1"/>
      </tp>
      <tp t="s">
        <v/>
        <stp/>
        <stp>Market</stp>
        <stp>INDEX</stp>
        <stp>TSR20.FUT02.OS</stp>
        <stp>指標名称</stp>
        <tr r="B154" s="1"/>
      </tp>
      <tp t="s">
        <v/>
        <stp/>
        <stp>Market</stp>
        <stp>INDEX</stp>
        <stp>TSR20.FUT03.OS</stp>
        <stp>指標名称</stp>
        <tr r="B155" s="1"/>
      </tp>
      <tp t="s">
        <v/>
        <stp/>
        <stp>Market</stp>
        <stp>INDEX</stp>
        <stp>TSR20.FUT01.OS</stp>
        <stp>指標名称</stp>
        <tr r="B153" s="1"/>
      </tp>
      <tp t="s">
        <v/>
        <stp/>
        <stp>Market</stp>
        <stp>INDEX</stp>
        <stp>TSR20.FUT12.OS</stp>
        <stp>指標名称</stp>
        <tr r="B164" s="1"/>
      </tp>
      <tp t="s">
        <v/>
        <stp/>
        <stp>Market</stp>
        <stp>INDEX</stp>
        <stp>TSR20.FUT10.OS</stp>
        <stp>指標名称</stp>
        <tr r="B162" s="1"/>
      </tp>
      <tp t="s">
        <v/>
        <stp/>
        <stp>Market</stp>
        <stp>INDEX</stp>
        <stp>TSR20.FUT11.OS</stp>
        <stp>指標名称</stp>
        <tr r="B163" s="1"/>
      </tp>
    </main>
    <main first="rtdsrv.dff54f4b11dd4e0d9cb19000fb943d8c">
      <tp t="s">
        <v/>
        <stp/>
        <stp>Market</stp>
        <stp>INDEX</stp>
        <stp>USD/JPY</stp>
        <stp>指標名称</stp>
        <tr r="B187" s="1"/>
      </tp>
    </main>
    <main first="rtdsrv.dff54f4b11dd4e0d9cb19000fb943d8c">
      <tp>
        <v>664.29</v>
        <stp/>
        <stp>Market</stp>
        <stp>INDEX</stp>
        <stp>HGX</stp>
        <stp>前年終値</stp>
        <tr r="U52" s="1"/>
      </tp>
      <tp>
        <v>1492.01</v>
        <stp/>
        <stp>Market</stp>
        <stp>INDEX</stp>
        <stp>NGX</stp>
        <stp>前年終値</stp>
        <tr r="U63" s="1"/>
      </tp>
    </main>
    <main first="rtdsrv.dff54f4b11dd4e0d9cb19000fb943d8c">
      <tp>
        <v>0</v>
        <stp/>
        <stp>Market</stp>
        <stp>INDEX</stp>
        <stp>JGB:F</stp>
        <stp>年初来安値</stp>
        <tr r="W16" s="1"/>
      </tp>
      <tp>
        <v>0</v>
        <stp/>
        <stp>Market</stp>
        <stp>INDEX</stp>
        <stp>TS1EX</stp>
        <stp>上場来安値</stp>
        <tr r="Y10" s="1"/>
      </tp>
      <tp t="s">
        <v/>
        <stp/>
        <stp>Market</stp>
        <stp>INDEX</stp>
        <stp>PLATINUM.FUT01.OS</stp>
        <stp>現在値ティック</stp>
        <tr r="F116" s="1"/>
      </tp>
      <tp t="s">
        <v/>
        <stp/>
        <stp>Market</stp>
        <stp>INDEX</stp>
        <stp>PLATINUM.FUT02.OS</stp>
        <stp>現在値ティック</stp>
        <tr r="F117" s="1"/>
      </tp>
      <tp t="s">
        <v>↑</v>
        <stp/>
        <stp>Market</stp>
        <stp>INDEX</stp>
        <stp>PLATINUM.FUT03.OS</stp>
        <stp>現在値ティック</stp>
        <tr r="F118" s="1"/>
      </tp>
      <tp t="s">
        <v>↓</v>
        <stp/>
        <stp>Market</stp>
        <stp>INDEX</stp>
        <stp>PLATINUM.FUT04.OS</stp>
        <stp>現在値ティック</stp>
        <tr r="F119" s="1"/>
      </tp>
      <tp t="s">
        <v>↓</v>
        <stp/>
        <stp>Market</stp>
        <stp>INDEX</stp>
        <stp>PLATINUM.FUT05.OS</stp>
        <stp>現在値ティック</stp>
        <tr r="F120" s="1"/>
      </tp>
      <tp t="s">
        <v>↑</v>
        <stp/>
        <stp>Market</stp>
        <stp>INDEX</stp>
        <stp>PLATINUM.FUT06.OS</stp>
        <stp>現在値ティック</stp>
        <tr r="F121" s="1"/>
      </tp>
    </main>
    <main first="rtdsrv.dff54f4b11dd4e0d9cb19000fb943d8c">
      <tp>
        <v>0</v>
        <stp/>
        <stp>Market</stp>
        <stp>INDEX</stp>
        <stp>JGB:F</stp>
        <stp>上場来安値</stp>
        <tr r="Y16" s="1"/>
      </tp>
    </main>
    <main first="rtdsrv.dff54f4b11dd4e0d9cb19000fb943d8c">
      <tp>
        <v>0</v>
        <stp/>
        <stp>Market</stp>
        <stp>INDEX</stp>
        <stp>TS1EX</stp>
        <stp>年初来安値</stp>
        <tr r="W10" s="1"/>
      </tp>
      <tp t="s">
        <v/>
        <stp/>
        <stp>Market</stp>
        <stp>INDEX</stp>
        <stp>USD/JPY</stp>
        <stp>現在日付</stp>
        <tr r="C187" s="1"/>
      </tp>
      <tp t="s">
        <v/>
        <stp/>
        <stp>Market</stp>
        <stp>INDEX</stp>
        <stp>TSR20.FUT12.OS</stp>
        <stp>現在日付</stp>
        <tr r="C164" s="1"/>
      </tp>
      <tp t="s">
        <v/>
        <stp/>
        <stp>Market</stp>
        <stp>INDEX</stp>
        <stp>TSR20.FUT10.OS</stp>
        <stp>現在日付</stp>
        <tr r="C162" s="1"/>
      </tp>
      <tp t="s">
        <v/>
        <stp/>
        <stp>Market</stp>
        <stp>INDEX</stp>
        <stp>TSR20.FUT11.OS</stp>
        <stp>現在日付</stp>
        <tr r="C163" s="1"/>
      </tp>
      <tp t="s">
        <v/>
        <stp/>
        <stp>Market</stp>
        <stp>INDEX</stp>
        <stp>TSR20.FUT06.OS</stp>
        <stp>現在日付</stp>
        <tr r="C158" s="1"/>
      </tp>
      <tp t="s">
        <v/>
        <stp/>
        <stp>Market</stp>
        <stp>INDEX</stp>
        <stp>TSR20.FUT07.OS</stp>
        <stp>現在日付</stp>
        <tr r="C159" s="1"/>
      </tp>
      <tp t="s">
        <v/>
        <stp/>
        <stp>Market</stp>
        <stp>INDEX</stp>
        <stp>TSR20.FUT04.OS</stp>
        <stp>現在日付</stp>
        <tr r="C156" s="1"/>
      </tp>
      <tp t="s">
        <v/>
        <stp/>
        <stp>Market</stp>
        <stp>INDEX</stp>
        <stp>TSR20.FUT05.OS</stp>
        <stp>現在日付</stp>
        <tr r="C157" s="1"/>
      </tp>
      <tp t="s">
        <v/>
        <stp/>
        <stp>Market</stp>
        <stp>INDEX</stp>
        <stp>TSR20.FUT02.OS</stp>
        <stp>現在日付</stp>
        <tr r="C154" s="1"/>
      </tp>
      <tp t="s">
        <v/>
        <stp/>
        <stp>Market</stp>
        <stp>INDEX</stp>
        <stp>TSR20.FUT03.OS</stp>
        <stp>現在日付</stp>
        <tr r="C155" s="1"/>
      </tp>
      <tp t="s">
        <v/>
        <stp/>
        <stp>Market</stp>
        <stp>INDEX</stp>
        <stp>TSR20.FUT01.OS</stp>
        <stp>現在日付</stp>
        <tr r="C153" s="1"/>
      </tp>
      <tp t="s">
        <v/>
        <stp/>
        <stp>Market</stp>
        <stp>INDEX</stp>
        <stp>TSR20.FUT08.OS</stp>
        <stp>現在日付</stp>
        <tr r="C160" s="1"/>
      </tp>
      <tp t="s">
        <v/>
        <stp/>
        <stp>Market</stp>
        <stp>INDEX</stp>
        <stp>TSR20.FUT09.OS</stp>
        <stp>現在日付</stp>
        <tr r="C161" s="1"/>
      </tp>
      <tp t="s">
        <v>2026/02/27</v>
        <stp/>
        <stp>Market</stp>
        <stp>INDEX</stp>
        <stp>JGB:FDI</stp>
        <stp>現在日付</stp>
        <tr r="C19" s="1"/>
      </tp>
    </main>
    <main first="rtdsrv.dff54f4b11dd4e0d9cb19000fb943d8c">
      <tp t="s">
        <v/>
        <stp/>
        <stp>Market</stp>
        <stp>INDEX</stp>
        <stp>TRY/JPY</stp>
        <stp>指標名称</stp>
        <tr r="B209" s="1"/>
      </tp>
    </main>
    <main first="rtdsrv.dff54f4b11dd4e0d9cb19000fb943d8c">
      <tp t="s">
        <v>2023/06/21</v>
        <stp/>
        <stp>Market</stp>
        <stp>INDEX</stp>
        <stp>TSGMC</stp>
        <stp>上場来高値日付</stp>
        <tr r="Z12" s="1"/>
      </tp>
      <tp t="s">
        <v>2024/08/05</v>
        <stp/>
        <stp>Market</stp>
        <stp>INDEX</stp>
        <stp>TSGMC</stp>
        <stp>上場来安値日付</stp>
        <tr r="AA12" s="1"/>
      </tp>
    </main>
    <main first="rtdsrv.dff54f4b11dd4e0d9cb19000fb943d8c">
      <tp t="s">
        <v/>
        <stp/>
        <stp>Market</stp>
        <stp>INDEX</stp>
        <stp>TRY/JPY</stp>
        <stp>現在日付</stp>
        <tr r="C209" s="1"/>
      </tp>
      <tp t="s">
        <v/>
        <stp/>
        <stp>Market</stp>
        <stp>INDEX</stp>
        <stp>NZD/USD</stp>
        <stp>前日比</stp>
        <tr r="G200" s="1"/>
      </tp>
    </main>
    <main first="rtdsrv.dff54f4b11dd4e0d9cb19000fb943d8c">
      <tp t="s">
        <v/>
        <stp/>
        <stp>Market</stp>
        <stp>INDEX</stp>
        <stp>CNH/JPY</stp>
        <stp>現在値ティック</stp>
        <tr r="F210" s="1"/>
      </tp>
      <tp t="s">
        <v/>
        <stp/>
        <stp>Market</stp>
        <stp>INDEX</stp>
        <stp>CHF/JPY</stp>
        <stp>現在値ティック</stp>
        <tr r="F194" s="1"/>
      </tp>
    </main>
    <main first="rtdsrv.dff54f4b11dd4e0d9cb19000fb943d8c">
      <tp t="s">
        <v/>
        <stp/>
        <stp>Market</stp>
        <stp>INDEX</stp>
        <stp>SOYBEAN.FUT01.OS</stp>
        <stp>現在値ティック</stp>
        <tr r="F171" s="1"/>
      </tp>
      <tp t="s">
        <v/>
        <stp/>
        <stp>Market</stp>
        <stp>INDEX</stp>
        <stp>SOYBEAN.FUT02.OS</stp>
        <stp>現在値ティック</stp>
        <tr r="F172" s="1"/>
      </tp>
      <tp t="s">
        <v/>
        <stp/>
        <stp>Market</stp>
        <stp>INDEX</stp>
        <stp>SOYBEAN.FUT03.OS</stp>
        <stp>現在値ティック</stp>
        <tr r="F173" s="1"/>
      </tp>
      <tp t="s">
        <v/>
        <stp/>
        <stp>Market</stp>
        <stp>INDEX</stp>
        <stp>SOYBEAN.FUT04.OS</stp>
        <stp>現在値ティック</stp>
        <tr r="F174" s="1"/>
      </tp>
      <tp t="s">
        <v/>
        <stp/>
        <stp>Market</stp>
        <stp>INDEX</stp>
        <stp>SOYBEAN.FUT05.OS</stp>
        <stp>現在値ティック</stp>
        <tr r="F175" s="1"/>
      </tp>
      <tp t="s">
        <v/>
        <stp/>
        <stp>Market</stp>
        <stp>INDEX</stp>
        <stp>SOYBEAN.FUT06.OS</stp>
        <stp>現在値ティック</stp>
        <tr r="F176" s="1"/>
      </tp>
    </main>
    <main first="rtdsrv.dff54f4b11dd4e0d9cb19000fb943d8c">
      <tp t="s">
        <v/>
        <stp/>
        <stp>Market</stp>
        <stp>INDEX</stp>
        <stp>CAD/JPY</stp>
        <stp>現在値ティック</stp>
        <tr r="F193" s="1"/>
      </tp>
    </main>
    <main first="rtdsrv.dff54f4b11dd4e0d9cb19000fb943d8c">
      <tp t="s">
        <v/>
        <stp/>
        <stp>Market</stp>
        <stp>INDEX</stp>
        <stp>TCWSI</stp>
        <stp>指標名称</stp>
        <tr r="B101" s="1"/>
      </tp>
      <tp t="s">
        <v>S&amp;P500ESG指数</v>
        <stp/>
        <stp>Market</stp>
        <stp>INDEX</stp>
        <stp>SPESG</stp>
        <stp>指標名称</stp>
        <tr r="B38" s="1"/>
      </tp>
      <tp t="s">
        <v>上海・香港ストックコネクト</v>
        <stp/>
        <stp>Market</stp>
        <stp>INDEX</stp>
        <stp>SHKSC</stp>
        <stp>指標名称</stp>
        <tr r="B70" s="1"/>
      </tp>
    </main>
    <main first="rtdsrv.dff54f4b11dd4e0d9cb19000fb943d8c">
      <tp t="s">
        <v>2026/02/27</v>
        <stp/>
        <stp>Market</stp>
        <stp>INDEX</stp>
        <stp>SHKSC</stp>
        <stp>現在日付</stp>
        <tr r="C70" s="1"/>
      </tp>
      <tp t="s">
        <v>2026/02/28</v>
        <stp/>
        <stp>Market</stp>
        <stp>INDEX</stp>
        <stp>SPESG</stp>
        <stp>現在日付</stp>
        <tr r="C38" s="1"/>
      </tp>
      <tp t="s">
        <v/>
        <stp/>
        <stp>Market</stp>
        <stp>INDEX</stp>
        <stp>TCWSI</stp>
        <stp>現在日付</stp>
        <tr r="C101" s="1"/>
      </tp>
    </main>
    <main first="rtdsrv.dff54f4b11dd4e0d9cb19000fb943d8c">
      <tp t="s">
        <v/>
        <stp/>
        <stp>Market</stp>
        <stp>INDEX</stp>
        <stp>CORN.FUT05.OS</stp>
        <stp>上場来安値</stp>
        <tr r="Y181" s="1"/>
      </tp>
      <tp t="s">
        <v/>
        <stp/>
        <stp>Market</stp>
        <stp>INDEX</stp>
        <stp>CORN.FUT04.OS</stp>
        <stp>上場来安値</stp>
        <tr r="Y180" s="1"/>
      </tp>
      <tp t="s">
        <v/>
        <stp/>
        <stp>Market</stp>
        <stp>INDEX</stp>
        <stp>CORN.FUT06.OS</stp>
        <stp>上場来安値</stp>
        <tr r="Y182" s="1"/>
      </tp>
      <tp t="s">
        <v/>
        <stp/>
        <stp>Market</stp>
        <stp>INDEX</stp>
        <stp>CORN.FUT01.OS</stp>
        <stp>上場来安値</stp>
        <tr r="Y177" s="1"/>
      </tp>
      <tp t="s">
        <v/>
        <stp/>
        <stp>Market</stp>
        <stp>INDEX</stp>
        <stp>CORN.FUT03.OS</stp>
        <stp>上場来安値</stp>
        <tr r="Y179" s="1"/>
      </tp>
      <tp t="s">
        <v/>
        <stp/>
        <stp>Market</stp>
        <stp>INDEX</stp>
        <stp>CORN.FUT02.OS</stp>
        <stp>上場来安値</stp>
        <tr r="Y178" s="1"/>
      </tp>
      <tp t="s">
        <v/>
        <stp/>
        <stp>Market</stp>
        <stp>INDEX</stp>
        <stp>CORN.FUT05.OS</stp>
        <stp>年初来安値</stp>
        <tr r="W181" s="1"/>
      </tp>
      <tp t="s">
        <v/>
        <stp/>
        <stp>Market</stp>
        <stp>INDEX</stp>
        <stp>CORN.FUT04.OS</stp>
        <stp>年初来安値</stp>
        <tr r="W180" s="1"/>
      </tp>
      <tp t="s">
        <v/>
        <stp/>
        <stp>Market</stp>
        <stp>INDEX</stp>
        <stp>CORN.FUT06.OS</stp>
        <stp>年初来安値</stp>
        <tr r="W182" s="1"/>
      </tp>
      <tp t="s">
        <v/>
        <stp/>
        <stp>Market</stp>
        <stp>INDEX</stp>
        <stp>CORN.FUT01.OS</stp>
        <stp>年初来安値</stp>
        <tr r="W177" s="1"/>
      </tp>
      <tp t="s">
        <v/>
        <stp/>
        <stp>Market</stp>
        <stp>INDEX</stp>
        <stp>CORN.FUT03.OS</stp>
        <stp>年初来安値</stp>
        <tr r="W179" s="1"/>
      </tp>
      <tp t="s">
        <v/>
        <stp/>
        <stp>Market</stp>
        <stp>INDEX</stp>
        <stp>CORN.FUT02.OS</stp>
        <stp>年初来安値</stp>
        <tr r="W178" s="1"/>
      </tp>
    </main>
    <main first="rtdsrv.dff54f4b11dd4e0d9cb19000fb943d8c">
      <tp t="s">
        <v>↓</v>
        <stp/>
        <stp>Market</stp>
        <stp>INDEX</stp>
        <stp>EMCLOUD</stp>
        <stp>現在値ティック</stp>
        <tr r="F62" s="1"/>
      </tp>
    </main>
    <main first="rtdsrv.dff54f4b11dd4e0d9cb19000fb943d8c">
      <tp t="s">
        <v xml:space="preserve">  :  </v>
        <stp/>
        <stp>Market</stp>
        <stp>INDEX</stp>
        <stp>CORN.FUT03.OS</stp>
        <stp>安値時刻</stp>
        <tr r="P179" s="1"/>
      </tp>
      <tp t="s">
        <v xml:space="preserve">  :  </v>
        <stp/>
        <stp>Market</stp>
        <stp>INDEX</stp>
        <stp>CORN.FUT01.OS</stp>
        <stp>始値時刻</stp>
        <tr r="N177" s="1"/>
      </tp>
      <tp t="s">
        <v xml:space="preserve">  :  </v>
        <stp/>
        <stp>Market</stp>
        <stp>INDEX</stp>
        <stp>CORN.FUT02.OS</stp>
        <stp>安値時刻</stp>
        <tr r="P178" s="1"/>
      </tp>
      <tp t="s">
        <v xml:space="preserve">  :  </v>
        <stp/>
        <stp>Market</stp>
        <stp>INDEX</stp>
        <stp>CORN.FUT01.OS</stp>
        <stp>安値時刻</stp>
        <tr r="P177" s="1"/>
      </tp>
      <tp t="s">
        <v xml:space="preserve">  :  </v>
        <stp/>
        <stp>Market</stp>
        <stp>INDEX</stp>
        <stp>CORN.FUT03.OS</stp>
        <stp>始値時刻</stp>
        <tr r="N179" s="1"/>
      </tp>
      <tp t="s">
        <v xml:space="preserve">  :  </v>
        <stp/>
        <stp>Market</stp>
        <stp>INDEX</stp>
        <stp>CORN.FUT02.OS</stp>
        <stp>始値時刻</stp>
        <tr r="N178" s="1"/>
      </tp>
      <tp t="s">
        <v xml:space="preserve">  :  </v>
        <stp/>
        <stp>Market</stp>
        <stp>INDEX</stp>
        <stp>CORN.FUT05.OS</stp>
        <stp>始値時刻</stp>
        <tr r="N181" s="1"/>
      </tp>
      <tp t="s">
        <v xml:space="preserve">  :  </v>
        <stp/>
        <stp>Market</stp>
        <stp>INDEX</stp>
        <stp>CORN.FUT06.OS</stp>
        <stp>安値時刻</stp>
        <tr r="P182" s="1"/>
      </tp>
      <tp t="s">
        <v xml:space="preserve">  :  </v>
        <stp/>
        <stp>Market</stp>
        <stp>INDEX</stp>
        <stp>CORN.FUT04.OS</stp>
        <stp>始値時刻</stp>
        <tr r="N180" s="1"/>
      </tp>
      <tp t="s">
        <v xml:space="preserve">  :  </v>
        <stp/>
        <stp>Market</stp>
        <stp>INDEX</stp>
        <stp>CORN.FUT05.OS</stp>
        <stp>安値時刻</stp>
        <tr r="P181" s="1"/>
      </tp>
      <tp t="s">
        <v xml:space="preserve">  :  </v>
        <stp/>
        <stp>Market</stp>
        <stp>INDEX</stp>
        <stp>CORN.FUT04.OS</stp>
        <stp>安値時刻</stp>
        <tr r="P180" s="1"/>
      </tp>
      <tp t="s">
        <v xml:space="preserve">  :  </v>
        <stp/>
        <stp>Market</stp>
        <stp>INDEX</stp>
        <stp>CORN.FUT06.OS</stp>
        <stp>始値時刻</stp>
        <tr r="N182" s="1"/>
      </tp>
      <tp t="s">
        <v xml:space="preserve">  :  </v>
        <stp/>
        <stp>Market</stp>
        <stp>INDEX</stp>
        <stp>CORN.FUT02.OS</stp>
        <stp>高値時刻</stp>
        <tr r="O178" s="1"/>
      </tp>
      <tp t="s">
        <v xml:space="preserve">  :  </v>
        <stp/>
        <stp>Market</stp>
        <stp>INDEX</stp>
        <stp>CORN.FUT03.OS</stp>
        <stp>高値時刻</stp>
        <tr r="O179" s="1"/>
      </tp>
      <tp t="s">
        <v xml:space="preserve">  :  </v>
        <stp/>
        <stp>Market</stp>
        <stp>INDEX</stp>
        <stp>CORN.FUT01.OS</stp>
        <stp>高値時刻</stp>
        <tr r="O177" s="1"/>
      </tp>
      <tp t="s">
        <v xml:space="preserve">  :  </v>
        <stp/>
        <stp>Market</stp>
        <stp>INDEX</stp>
        <stp>CORN.FUT06.OS</stp>
        <stp>高値時刻</stp>
        <tr r="O182" s="1"/>
      </tp>
      <tp t="s">
        <v xml:space="preserve">  :  </v>
        <stp/>
        <stp>Market</stp>
        <stp>INDEX</stp>
        <stp>CORN.FUT04.OS</stp>
        <stp>高値時刻</stp>
        <tr r="O180" s="1"/>
      </tp>
      <tp t="s">
        <v xml:space="preserve">  :  </v>
        <stp/>
        <stp>Market</stp>
        <stp>INDEX</stp>
        <stp>CORN.FUT05.OS</stp>
        <stp>高値時刻</stp>
        <tr r="O181" s="1"/>
      </tp>
      <tp t="s">
        <v/>
        <stp/>
        <stp>Market</stp>
        <stp>INDEX</stp>
        <stp>SILVER.FUT01.OS</stp>
        <stp>指標名称</stp>
        <tr r="B129" s="1"/>
      </tp>
      <tp t="s">
        <v/>
        <stp/>
        <stp>Market</stp>
        <stp>INDEX</stp>
        <stp>SILVER.FUT03.OS</stp>
        <stp>指標名称</stp>
        <tr r="B131" s="1"/>
      </tp>
      <tp t="s">
        <v/>
        <stp/>
        <stp>Market</stp>
        <stp>INDEX</stp>
        <stp>SILVER.FUT02.OS</stp>
        <stp>指標名称</stp>
        <tr r="B130" s="1"/>
      </tp>
      <tp t="s">
        <v/>
        <stp/>
        <stp>Market</stp>
        <stp>INDEX</stp>
        <stp>SILVER.FUT05.OS</stp>
        <stp>指標名称</stp>
        <tr r="B133" s="1"/>
      </tp>
      <tp t="s">
        <v/>
        <stp/>
        <stp>Market</stp>
        <stp>INDEX</stp>
        <stp>SILVER.FUT04.OS</stp>
        <stp>指標名称</stp>
        <tr r="B132" s="1"/>
      </tp>
      <tp t="s">
        <v/>
        <stp/>
        <stp>Market</stp>
        <stp>INDEX</stp>
        <stp>SILVER.FUT06.OS</stp>
        <stp>指標名称</stp>
        <tr r="B134" s="1"/>
      </tp>
    </main>
    <main first="rtdsrv.dff54f4b11dd4e0d9cb19000fb943d8c">
      <tp t="s">
        <v>-</v>
        <stp/>
        <stp>Market</stp>
        <stp>INDEX</stp>
        <stp>CSI300</stp>
        <stp>安値時刻</stp>
        <tr r="P71" s="1"/>
      </tp>
      <tp t="s">
        <v>-</v>
        <stp/>
        <stp>Market</stp>
        <stp>INDEX</stp>
        <stp>CSI300</stp>
        <stp>始値時刻</stp>
        <tr r="N71" s="1"/>
      </tp>
      <tp t="s">
        <v>-</v>
        <stp/>
        <stp>Market</stp>
        <stp>INDEX</stp>
        <stp>CSI300</stp>
        <stp>高値時刻</stp>
        <tr r="O71" s="1"/>
      </tp>
    </main>
    <main first="rtdsrv.dff54f4b11dd4e0d9cb19000fb943d8c">
      <tp t="s">
        <v/>
        <stp/>
        <stp>Market</stp>
        <stp>INDEX</stp>
        <stp>EUR/AUD</stp>
        <stp>指標名称</stp>
        <tr r="B213" s="1"/>
      </tp>
    </main>
    <main first="rtdsrv.dff54f4b11dd4e0d9cb19000fb943d8c">
      <tp t="s">
        <v/>
        <stp/>
        <stp>Market</stp>
        <stp>INDEX</stp>
        <stp>PLATINUM.FUT01.OS</stp>
        <stp>前年終値</stp>
        <tr r="U116" s="1"/>
      </tp>
      <tp t="s">
        <v/>
        <stp/>
        <stp>Market</stp>
        <stp>INDEX</stp>
        <stp>PLATINUM.FUT02.OS</stp>
        <stp>前年終値</stp>
        <tr r="U117" s="1"/>
      </tp>
      <tp t="s">
        <v/>
        <stp/>
        <stp>Market</stp>
        <stp>INDEX</stp>
        <stp>PLATINUM.FUT03.OS</stp>
        <stp>前年終値</stp>
        <tr r="U118" s="1"/>
      </tp>
      <tp t="s">
        <v/>
        <stp/>
        <stp>Market</stp>
        <stp>INDEX</stp>
        <stp>PLATINUM.FUT04.OS</stp>
        <stp>前年終値</stp>
        <tr r="U119" s="1"/>
      </tp>
      <tp t="s">
        <v/>
        <stp/>
        <stp>Market</stp>
        <stp>INDEX</stp>
        <stp>PLATINUM.FUT05.OS</stp>
        <stp>前年終値</stp>
        <tr r="U120" s="1"/>
      </tp>
      <tp t="s">
        <v/>
        <stp/>
        <stp>Market</stp>
        <stp>INDEX</stp>
        <stp>PLATINUM.FUT06.OS</stp>
        <stp>前年終値</stp>
        <tr r="U121" s="1"/>
      </tp>
      <tp t="s">
        <v/>
        <stp/>
        <stp>Market</stp>
        <stp>INDEX</stp>
        <stp>AUD/NZD</stp>
        <stp>安値時刻</stp>
        <tr r="P207" s="1"/>
      </tp>
      <tp t="s">
        <v/>
        <stp/>
        <stp>Market</stp>
        <stp>INDEX</stp>
        <stp>AUD/NZD</stp>
        <stp>始値時刻</stp>
        <tr r="N207" s="1"/>
      </tp>
      <tp t="s">
        <v/>
        <stp/>
        <stp>Market</stp>
        <stp>INDEX</stp>
        <stp>AUD/NZD</stp>
        <stp>高値時刻</stp>
        <tr r="O207" s="1"/>
      </tp>
      <tp t="s">
        <v>S&amp;P不動産セレクト・セクター指数</v>
        <stp/>
        <stp>Market</stp>
        <stp>INDEX</stp>
        <stp>SIXRE</stp>
        <stp>指標名称</stp>
        <tr r="B30" s="1"/>
      </tp>
    </main>
    <main first="rtdsrv.dff54f4b11dd4e0d9cb19000fb943d8c">
      <tp t="s">
        <v>2007/05/24</v>
        <stp/>
        <stp>Market</stp>
        <stp>INDEX</stp>
        <stp>TREIT</stp>
        <stp>上場来高値日付</stp>
        <tr r="Z15" s="1"/>
      </tp>
    </main>
    <main first="rtdsrv.dff54f4b11dd4e0d9cb19000fb943d8c">
      <tp t="s">
        <v>2008/11/20</v>
        <stp/>
        <stp>Market</stp>
        <stp>INDEX</stp>
        <stp>TREIT</stp>
        <stp>上場来安値日付</stp>
        <tr r="AA15" s="1"/>
      </tp>
    </main>
    <main first="rtdsrv.dff54f4b11dd4e0d9cb19000fb943d8c">
      <tp t="s">
        <v>2026/02/11</v>
        <stp/>
        <stp>Market</stp>
        <stp>INDEX</stp>
        <stp>SPESG</stp>
        <stp>上場来高値日付</stp>
        <tr r="Z38" s="1"/>
      </tp>
      <tp t="s">
        <v>2020/09/24</v>
        <stp/>
        <stp>Market</stp>
        <stp>INDEX</stp>
        <stp>SPESG</stp>
        <stp>上場来安値日付</stp>
        <tr r="AA38" s="1"/>
      </tp>
      <tp t="s">
        <v>2026/02/28</v>
        <stp/>
        <stp>Market</stp>
        <stp>INDEX</stp>
        <stp>SIXRE</stp>
        <stp>現在日付</stp>
        <tr r="C30" s="1"/>
      </tp>
      <tp t="s">
        <v/>
        <stp/>
        <stp>Market</stp>
        <stp>INDEX</stp>
        <stp>MOT.FUT05.OS</stp>
        <stp>前年最安値</stp>
        <tr r="T95" s="1"/>
      </tp>
      <tp t="s">
        <v/>
        <stp/>
        <stp>Market</stp>
        <stp>INDEX</stp>
        <stp>MOT.FUT04.OS</stp>
        <stp>前年最安値</stp>
        <tr r="T94" s="1"/>
      </tp>
      <tp t="s">
        <v/>
        <stp/>
        <stp>Market</stp>
        <stp>INDEX</stp>
        <stp>MOT.FUT03.OS</stp>
        <stp>前年最安値</stp>
        <tr r="T93" s="1"/>
      </tp>
      <tp t="s">
        <v/>
        <stp/>
        <stp>Market</stp>
        <stp>INDEX</stp>
        <stp>MOT.FUT02.OS</stp>
        <stp>前年最安値</stp>
        <tr r="T92" s="1"/>
      </tp>
      <tp t="s">
        <v/>
        <stp/>
        <stp>Market</stp>
        <stp>INDEX</stp>
        <stp>MOT.FUT01.OS</stp>
        <stp>前年最安値</stp>
        <tr r="T91" s="1"/>
      </tp>
      <tp t="s">
        <v/>
        <stp/>
        <stp>Market</stp>
        <stp>INDEX</stp>
        <stp>EUR/AUD</stp>
        <stp>現在日付</stp>
        <tr r="C213" s="1"/>
      </tp>
    </main>
    <main first="rtdsrv.dff54f4b11dd4e0d9cb19000fb943d8c">
      <tp>
        <v>785.66</v>
        <stp/>
        <stp>Market</stp>
        <stp>INDEX</stp>
        <stp>SIXE</stp>
        <stp>前年最安値</stp>
        <tr r="T28" s="1"/>
      </tp>
      <tp t="s">
        <v>2026/02/26</v>
        <stp/>
        <stp>Market</stp>
        <stp>INDEX</stp>
        <stp>SILVER.FUT01.OS</stp>
        <stp>現在日付</stp>
        <tr r="C129" s="1"/>
      </tp>
      <tp t="s">
        <v>2026/02/27</v>
        <stp/>
        <stp>Market</stp>
        <stp>INDEX</stp>
        <stp>SILVER.FUT03.OS</stp>
        <stp>現在日付</stp>
        <tr r="C131" s="1"/>
      </tp>
      <tp t="s">
        <v>2026/02/27</v>
        <stp/>
        <stp>Market</stp>
        <stp>INDEX</stp>
        <stp>SILVER.FUT02.OS</stp>
        <stp>現在日付</stp>
        <tr r="C130" s="1"/>
      </tp>
      <tp t="s">
        <v>2026/02/28</v>
        <stp/>
        <stp>Market</stp>
        <stp>INDEX</stp>
        <stp>SILVER.FUT05.OS</stp>
        <stp>現在日付</stp>
        <tr r="C133" s="1"/>
      </tp>
      <tp t="s">
        <v>2026/02/28</v>
        <stp/>
        <stp>Market</stp>
        <stp>INDEX</stp>
        <stp>SILVER.FUT04.OS</stp>
        <stp>現在日付</stp>
        <tr r="C132" s="1"/>
      </tp>
      <tp t="s">
        <v>2026/02/27</v>
        <stp/>
        <stp>Market</stp>
        <stp>INDEX</stp>
        <stp>SILVER.FUT06.OS</stp>
        <stp>現在日付</stp>
        <tr r="C134" s="1"/>
      </tp>
      <tp t="s">
        <v/>
        <stp/>
        <stp>Market</stp>
        <stp>INDEX</stp>
        <stp>AUD/JPY</stp>
        <stp>現在値ティック</stp>
        <tr r="F190" s="1"/>
      </tp>
    </main>
    <main first="rtdsrv.dff54f4b11dd4e0d9cb19000fb943d8c">
      <tp t="s">
        <v/>
        <stp/>
        <stp>Market</stp>
        <stp>INDEX</stp>
        <stp>SGD/JPY</stp>
        <stp>前日比</stp>
        <tr r="G196" s="1"/>
      </tp>
    </main>
    <main first="rtdsrv.dff54f4b11dd4e0d9cb19000fb943d8c">
      <tp>
        <v>942.14</v>
        <stp/>
        <stp>Market</stp>
        <stp>INDEX</stp>
        <stp>SIXE</stp>
        <stp>前年終値</stp>
        <tr r="U28" s="1"/>
      </tp>
      <tp>
        <v>615.86</v>
        <stp/>
        <stp>Market</stp>
        <stp>INDEX</stp>
        <stp>SIXC</stp>
        <stp>前年終値</stp>
        <tr r="U33" s="1"/>
      </tp>
      <tp>
        <v>963.76</v>
        <stp/>
        <stp>Market</stp>
        <stp>INDEX</stp>
        <stp>SIXB</stp>
        <stp>前年終値</stp>
        <tr r="U27" s="1"/>
      </tp>
      <tp>
        <v>675.71</v>
        <stp/>
        <stp>Market</stp>
        <stp>INDEX</stp>
        <stp>SIXM</stp>
        <stp>前年終値</stp>
        <tr r="U29" s="1"/>
      </tp>
      <tp>
        <v>1564.83</v>
        <stp/>
        <stp>Market</stp>
        <stp>INDEX</stp>
        <stp>SIXI</stp>
        <stp>前年終値</stp>
        <tr r="U34" s="1"/>
      </tp>
      <tp>
        <v>1565.86</v>
        <stp/>
        <stp>Market</stp>
        <stp>INDEX</stp>
        <stp>SIXV</stp>
        <stp>前年終値</stp>
        <tr r="U37" s="1"/>
      </tp>
      <tp>
        <v>864.93</v>
        <stp/>
        <stp>Market</stp>
        <stp>INDEX</stp>
        <stp>SIXU</stp>
        <stp>前年終値</stp>
        <tr r="U31" s="1"/>
      </tp>
      <tp>
        <v>12578.33</v>
        <stp/>
        <stp>Market</stp>
        <stp>INDEX</stp>
        <stp>NDXT</stp>
        <stp>前年終値</stp>
        <tr r="U49" s="1"/>
      </tp>
      <tp>
        <v>2901.18</v>
        <stp/>
        <stp>Market</stp>
        <stp>INDEX</stp>
        <stp>SIXT</stp>
        <stp>前年終値</stp>
        <tr r="U36" s="1"/>
      </tp>
      <tp>
        <v>786.75</v>
        <stp/>
        <stp>Market</stp>
        <stp>INDEX</stp>
        <stp>SIXR</stp>
        <stp>前年終値</stp>
        <tr r="U35" s="1"/>
      </tp>
      <tp t="s">
        <v/>
        <stp/>
        <stp>Market</stp>
        <stp>INDEX</stp>
        <stp>MXN/JPY</stp>
        <stp>安値時刻</stp>
        <tr r="P211" s="1"/>
      </tp>
      <tp t="s">
        <v/>
        <stp/>
        <stp>Market</stp>
        <stp>INDEX</stp>
        <stp>MXN/JPY</stp>
        <stp>始値時刻</stp>
        <tr r="N211" s="1"/>
      </tp>
      <tp t="s">
        <v/>
        <stp/>
        <stp>Market</stp>
        <stp>INDEX</stp>
        <stp>MXN/JPY</stp>
        <stp>高値時刻</stp>
        <tr r="O211" s="1"/>
      </tp>
      <tp>
        <v>2414.15</v>
        <stp/>
        <stp>Market</stp>
        <stp>INDEX</stp>
        <stp>SIXY</stp>
        <stp>前年終値</stp>
        <tr r="U32" s="1"/>
      </tp>
    </main>
    <main first="rtdsrv.dff54f4b11dd4e0d9cb19000fb943d8c">
      <tp>
        <v>324.5</v>
        <stp/>
        <stp>Market</stp>
        <stp>INDEX</stp>
        <stp>GOLDMINI.FUT06.OS</stp>
        <stp>前日比</stp>
        <tr r="G114" s="1"/>
      </tp>
      <tp>
        <v>366</v>
        <stp/>
        <stp>Market</stp>
        <stp>INDEX</stp>
        <stp>GOLDMINI.FUT05.OS</stp>
        <stp>前日比</stp>
        <tr r="G113" s="1"/>
      </tp>
      <tp>
        <v>283</v>
        <stp/>
        <stp>Market</stp>
        <stp>INDEX</stp>
        <stp>GOLDMINI.FUT04.OS</stp>
        <stp>前日比</stp>
        <tr r="G112" s="1"/>
      </tp>
      <tp>
        <v>252</v>
        <stp/>
        <stp>Market</stp>
        <stp>INDEX</stp>
        <stp>GOLDMINI.FUT03.OS</stp>
        <stp>前日比</stp>
        <tr r="G111" s="1"/>
      </tp>
      <tp>
        <v>663</v>
        <stp/>
        <stp>Market</stp>
        <stp>INDEX</stp>
        <stp>GOLDMINI.FUT02.OS</stp>
        <stp>前日比</stp>
        <tr r="G110" s="1"/>
      </tp>
      <tp>
        <v>70</v>
        <stp/>
        <stp>Market</stp>
        <stp>INDEX</stp>
        <stp>GOLDMINI.FUT01.OS</stp>
        <stp>前日比</stp>
        <tr r="G109" s="1"/>
      </tp>
    </main>
    <main first="rtdsrv.dff54f4b11dd4e0d9cb19000fb943d8c">
      <tp>
        <v>777.34</v>
        <stp/>
        <stp>Market</stp>
        <stp>INDEX</stp>
        <stp>SIXB</stp>
        <stp>前年最安値</stp>
        <tr r="T27" s="1"/>
      </tp>
    </main>
    <main first="rtdsrv.dff54f4b11dd4e0d9cb19000fb943d8c">
      <tp>
        <v>-16.227</v>
        <stp/>
        <stp>Market</stp>
        <stp>INDEX</stp>
        <stp>CSI300</stp>
        <stp>前日比</stp>
        <tr r="G71" s="1"/>
      </tp>
      <tp t="s">
        <v/>
        <stp/>
        <stp>Market</stp>
        <stp>INDEX</stp>
        <stp>TRY/JPY</stp>
        <stp>前日比</stp>
        <tr r="G209" s="1"/>
      </tp>
    </main>
    <main first="rtdsrv.dff54f4b11dd4e0d9cb19000fb943d8c">
      <tp t="s">
        <v>↓</v>
        <stp/>
        <stp>Market</stp>
        <stp>INDEX</stp>
        <stp>JGB:FDI</stp>
        <stp>現在値ティック</stp>
        <tr r="F19" s="1"/>
      </tp>
    </main>
    <main first="rtdsrv.dff54f4b11dd4e0d9cb19000fb943d8c">
      <tp t="s">
        <v/>
        <stp/>
        <stp>Market</stp>
        <stp>INDEX</stp>
        <stp>JGB:F</stp>
        <stp>上場来高値日付</stp>
        <tr r="Z16" s="1"/>
      </tp>
      <tp t="s">
        <v/>
        <stp/>
        <stp>Market</stp>
        <stp>INDEX</stp>
        <stp>JGB:F</stp>
        <stp>上場来安値日付</stp>
        <tr r="AA16" s="1"/>
      </tp>
    </main>
    <main first="rtdsrv.dff54f4b11dd4e0d9cb19000fb943d8c">
      <tp t="s">
        <v/>
        <stp/>
        <stp>Market</stp>
        <stp>INDEX</stp>
        <stp>AUD/USD</stp>
        <stp>指標名称</stp>
        <tr r="B199" s="1"/>
      </tp>
    </main>
    <main first="rtdsrv.dff54f4b11dd4e0d9cb19000fb943d8c">
      <tp t="s">
        <v>17:02</v>
        <stp/>
        <stp>Market</stp>
        <stp>INDEX</stp>
        <stp>PLATINUMMINI.FUT05.OS</stp>
        <stp>始値時刻</stp>
        <tr r="N126" s="1"/>
      </tp>
      <tp t="s">
        <v>19:16</v>
        <stp/>
        <stp>Market</stp>
        <stp>INDEX</stp>
        <stp>PLATINUMMINI.FUT06.OS</stp>
        <stp>安値時刻</stp>
        <tr r="P127" s="1"/>
      </tp>
      <tp t="s">
        <v xml:space="preserve">  :  </v>
        <stp/>
        <stp>Market</stp>
        <stp>INDEX</stp>
        <stp>PLATINUMMINI.FUT04.OS</stp>
        <stp>始値時刻</stp>
        <tr r="N125" s="1"/>
      </tp>
      <tp t="s">
        <v>23:43</v>
        <stp/>
        <stp>Market</stp>
        <stp>INDEX</stp>
        <stp>PLATINUMMINI.FUT05.OS</stp>
        <stp>安値時刻</stp>
        <tr r="P126" s="1"/>
      </tp>
      <tp t="s">
        <v xml:space="preserve">  :  </v>
        <stp/>
        <stp>Market</stp>
        <stp>INDEX</stp>
        <stp>PLATINUMMINI.FUT04.OS</stp>
        <stp>安値時刻</stp>
        <tr r="P125" s="1"/>
      </tp>
      <tp t="s">
        <v>17:00</v>
        <stp/>
        <stp>Market</stp>
        <stp>INDEX</stp>
        <stp>PLATINUMMINI.FUT06.OS</stp>
        <stp>始値時刻</stp>
        <tr r="N127" s="1"/>
      </tp>
      <tp t="s">
        <v xml:space="preserve">  :  </v>
        <stp/>
        <stp>Market</stp>
        <stp>INDEX</stp>
        <stp>PLATINUMMINI.FUT03.OS</stp>
        <stp>安値時刻</stp>
        <tr r="P124" s="1"/>
      </tp>
      <tp t="s">
        <v xml:space="preserve">  :  </v>
        <stp/>
        <stp>Market</stp>
        <stp>INDEX</stp>
        <stp>PLATINUMMINI.FUT01.OS</stp>
        <stp>始値時刻</stp>
        <tr r="N122" s="1"/>
      </tp>
      <tp t="s">
        <v xml:space="preserve">  :  </v>
        <stp/>
        <stp>Market</stp>
        <stp>INDEX</stp>
        <stp>PLATINUMMINI.FUT02.OS</stp>
        <stp>安値時刻</stp>
        <tr r="P123" s="1"/>
      </tp>
      <tp t="s">
        <v xml:space="preserve">  :  </v>
        <stp/>
        <stp>Market</stp>
        <stp>INDEX</stp>
        <stp>PLATINUMMINI.FUT01.OS</stp>
        <stp>安値時刻</stp>
        <tr r="P122" s="1"/>
      </tp>
      <tp t="s">
        <v xml:space="preserve">  :  </v>
        <stp/>
        <stp>Market</stp>
        <stp>INDEX</stp>
        <stp>PLATINUMMINI.FUT03.OS</stp>
        <stp>始値時刻</stp>
        <tr r="N124" s="1"/>
      </tp>
      <tp t="s">
        <v xml:space="preserve">  :  </v>
        <stp/>
        <stp>Market</stp>
        <stp>INDEX</stp>
        <stp>PLATINUMMINI.FUT02.OS</stp>
        <stp>始値時刻</stp>
        <tr r="N123" s="1"/>
      </tp>
    </main>
    <main first="rtdsrv.dff54f4b11dd4e0d9cb19000fb943d8c">
      <tp t="s">
        <v>22:26</v>
        <stp/>
        <stp>Market</stp>
        <stp>INDEX</stp>
        <stp>PLATINUMMINI.FUT06.OS</stp>
        <stp>高値時刻</stp>
        <tr r="O127" s="1"/>
      </tp>
      <tp t="s">
        <v xml:space="preserve">  :  </v>
        <stp/>
        <stp>Market</stp>
        <stp>INDEX</stp>
        <stp>PLATINUMMINI.FUT04.OS</stp>
        <stp>高値時刻</stp>
        <tr r="O125" s="1"/>
      </tp>
      <tp t="s">
        <v>17:02</v>
        <stp/>
        <stp>Market</stp>
        <stp>INDEX</stp>
        <stp>PLATINUMMINI.FUT05.OS</stp>
        <stp>高値時刻</stp>
        <tr r="O126" s="1"/>
      </tp>
      <tp t="s">
        <v xml:space="preserve">  :  </v>
        <stp/>
        <stp>Market</stp>
        <stp>INDEX</stp>
        <stp>PLATINUMMINI.FUT02.OS</stp>
        <stp>高値時刻</stp>
        <tr r="O123" s="1"/>
      </tp>
      <tp t="s">
        <v xml:space="preserve">  :  </v>
        <stp/>
        <stp>Market</stp>
        <stp>INDEX</stp>
        <stp>PLATINUMMINI.FUT03.OS</stp>
        <stp>高値時刻</stp>
        <tr r="O124" s="1"/>
      </tp>
      <tp t="s">
        <v xml:space="preserve">  :  </v>
        <stp/>
        <stp>Market</stp>
        <stp>INDEX</stp>
        <stp>PLATINUMMINI.FUT01.OS</stp>
        <stp>高値時刻</stp>
        <tr r="O122" s="1"/>
      </tp>
    </main>
    <main first="rtdsrv.dff54f4b11dd4e0d9cb19000fb943d8c">
      <tp t="s">
        <v/>
        <stp/>
        <stp>Market</stp>
        <stp>INDEX</stp>
        <stp>EUR/USD</stp>
        <stp>指標名称</stp>
        <tr r="B197" s="1"/>
      </tp>
      <tp>
        <v>5707.2</v>
        <stp/>
        <stp>Market</stp>
        <stp>INDEX</stp>
        <stp>NBI</stp>
        <stp>前年終値</stp>
        <tr r="U47" s="1"/>
      </tp>
    </main>
    <main first="rtdsrv.dff54f4b11dd4e0d9cb19000fb943d8c">
      <tp t="s">
        <v/>
        <stp/>
        <stp>Market</stp>
        <stp>INDEX</stp>
        <stp>NZD/USD</stp>
        <stp>安値時刻</stp>
        <tr r="P200" s="1"/>
      </tp>
      <tp t="s">
        <v/>
        <stp/>
        <stp>Market</stp>
        <stp>INDEX</stp>
        <stp>NZD/USD</stp>
        <stp>始値時刻</stp>
        <tr r="N200" s="1"/>
      </tp>
      <tp t="s">
        <v/>
        <stp/>
        <stp>Market</stp>
        <stp>INDEX</stp>
        <stp>NZD/USD</stp>
        <stp>高値時刻</stp>
        <tr r="O200" s="1"/>
      </tp>
    </main>
    <main first="rtdsrv.dff54f4b11dd4e0d9cb19000fb943d8c">
      <tp>
        <v>0</v>
        <stp/>
        <stp>Market</stp>
        <stp>INDEX</stp>
        <stp>JGB:FDI</stp>
        <stp>前年最安値</stp>
        <tr r="T19" s="1"/>
      </tp>
    </main>
    <main first="rtdsrv.dff54f4b11dd4e0d9cb19000fb943d8c">
      <tp t="s">
        <v>2007/11/01</v>
        <stp/>
        <stp>Market</stp>
        <stp>INDEX</stp>
        <stp>HSCEI</stp>
        <stp>上場来高値日付</stp>
        <tr r="Z66" s="1"/>
      </tp>
    </main>
    <main first="rtdsrv.dff54f4b11dd4e0d9cb19000fb943d8c">
      <tp t="s">
        <v>2001/10/19</v>
        <stp/>
        <stp>Market</stp>
        <stp>INDEX</stp>
        <stp>HSCEI</stp>
        <stp>上場来安値日付</stp>
        <tr r="AA66" s="1"/>
      </tp>
    </main>
    <main first="rtdsrv.dff54f4b11dd4e0d9cb19000fb943d8c">
      <tp t="s">
        <v>2007/10/30</v>
        <stp/>
        <stp>Market</stp>
        <stp>INDEX</stp>
        <stp>HSCCI</stp>
        <stp>上場来高値日付</stp>
        <tr r="Z67" s="1"/>
      </tp>
    </main>
    <main first="rtdsrv.dff54f4b11dd4e0d9cb19000fb943d8c">
      <tp t="s">
        <v>2003/04/25</v>
        <stp/>
        <stp>Market</stp>
        <stp>INDEX</stp>
        <stp>HSCCI</stp>
        <stp>上場来安値日付</stp>
        <tr r="AA67" s="1"/>
      </tp>
    </main>
    <main first="rtdsrv.dff54f4b11dd4e0d9cb19000fb943d8c">
      <tp t="s">
        <v/>
        <stp/>
        <stp>Market</stp>
        <stp>INDEX</stp>
        <stp>EUR/JPY</stp>
        <stp>前年最安値</stp>
        <tr r="T188" s="1"/>
      </tp>
      <tp t="s">
        <v/>
        <stp/>
        <stp>Market</stp>
        <stp>INDEX</stp>
        <stp>ZAR/JPY</stp>
        <stp>前年最安値</stp>
        <tr r="T192" s="1"/>
      </tp>
    </main>
    <main first="rtdsrv.dff54f4b11dd4e0d9cb19000fb943d8c">
      <tp t="s">
        <v/>
        <stp/>
        <stp>Market</stp>
        <stp>INDEX</stp>
        <stp>EUR/USD</stp>
        <stp>現在日付</stp>
        <tr r="C197" s="1"/>
      </tp>
    </main>
    <main first="rtdsrv.dff54f4b11dd4e0d9cb19000fb943d8c">
      <tp t="s">
        <v>2025/10/29</v>
        <stp/>
        <stp>Market</stp>
        <stp>INDEX</stp>
        <stp>IXCO</stp>
        <stp>上場来高値日付</stp>
        <tr r="Z45" s="1"/>
      </tp>
    </main>
    <main first="rtdsrv.dff54f4b11dd4e0d9cb19000fb943d8c">
      <tp t="s">
        <v>1994/07/21</v>
        <stp/>
        <stp>Market</stp>
        <stp>INDEX</stp>
        <stp>IXCO</stp>
        <stp>上場来安値日付</stp>
        <tr r="AA45" s="1"/>
      </tp>
      <tp>
        <v>0</v>
        <stp/>
        <stp>Market</stp>
        <stp>INDEX</stp>
        <stp>SSEC</stp>
        <stp>前年最安値</stp>
        <tr r="T68" s="1"/>
      </tp>
      <tp>
        <v>439.39</v>
        <stp/>
        <stp>Market</stp>
        <stp>INDEX</stp>
        <stp>SIXC</stp>
        <stp>前年最安値</stp>
        <tr r="T33" s="1"/>
      </tp>
    </main>
    <main first="rtdsrv.dff54f4b11dd4e0d9cb19000fb943d8c">
      <tp t="s">
        <v>2021/02/10</v>
        <stp/>
        <stp>Market</stp>
        <stp>INDEX</stp>
        <stp>IXHC</stp>
        <stp>上場来高値日付</stp>
        <tr r="Z48" s="1"/>
      </tp>
    </main>
    <main first="rtdsrv.dff54f4b11dd4e0d9cb19000fb943d8c">
      <tp t="s">
        <v>2009/03/09</v>
        <stp/>
        <stp>Market</stp>
        <stp>INDEX</stp>
        <stp>IXHC</stp>
        <stp>上場来安値日付</stp>
        <tr r="AA48" s="1"/>
      </tp>
      <tp t="s">
        <v>2000/03/10</v>
        <stp/>
        <stp>Market</stp>
        <stp>INDEX</stp>
        <stp>IXTC</stp>
        <stp>上場来高値日付</stp>
        <tr r="Z44" s="1"/>
      </tp>
      <tp t="s">
        <v>1993/10/07</v>
        <stp/>
        <stp>Market</stp>
        <stp>INDEX</stp>
        <stp>IXTC</stp>
        <stp>上場来安値日付</stp>
        <tr r="AA44" s="1"/>
      </tp>
      <tp t="s">
        <v/>
        <stp/>
        <stp>Market</stp>
        <stp>INDEX</stp>
        <stp>AUD/USD</stp>
        <stp>現在日付</stp>
        <tr r="C199" s="1"/>
      </tp>
      <tp>
        <v>813.25</v>
        <stp/>
        <stp>Market</stp>
        <stp>INDEX</stp>
        <stp>IXHC</stp>
        <stp>前年最安値</stp>
        <tr r="T48" s="1"/>
      </tp>
      <tp>
        <v>436.51</v>
        <stp/>
        <stp>Market</stp>
        <stp>INDEX</stp>
        <stp>IXTC</stp>
        <stp>前年最安値</stp>
        <tr r="T44" s="1"/>
      </tp>
      <tp t="s">
        <v/>
        <stp/>
        <stp>Market</stp>
        <stp>INDEX</stp>
        <stp>USD/JPY</stp>
        <stp>前日比</stp>
        <tr r="G187" s="1"/>
      </tp>
    </main>
    <main first="rtdsrv.dff54f4b11dd4e0d9cb19000fb943d8c">
      <tp t="s">
        <v/>
        <stp/>
        <stp>Market</stp>
        <stp>INDEX</stp>
        <stp>NZD/CHF</stp>
        <stp>現在値ティック</stp>
        <tr r="F206" s="1"/>
      </tp>
      <tp t="s">
        <v/>
        <stp/>
        <stp>Market</stp>
        <stp>INDEX</stp>
        <stp>GBP/JPY</stp>
        <stp>現在値ティック</stp>
        <tr r="F189" s="1"/>
      </tp>
      <tp t="s">
        <v/>
        <stp/>
        <stp>Market</stp>
        <stp>INDEX</stp>
        <stp>EUR/JPY</stp>
        <stp>指標名称</stp>
        <tr r="B188" s="1"/>
      </tp>
    </main>
    <main first="rtdsrv.dff54f4b11dd4e0d9cb19000fb943d8c">
      <tp t="s">
        <v/>
        <stp/>
        <stp>Market</stp>
        <stp>INDEX</stp>
        <stp>AUD/JPY</stp>
        <stp>指標名称</stp>
        <tr r="B190" s="1"/>
      </tp>
    </main>
    <main first="rtdsrv.dff54f4b11dd4e0d9cb19000fb943d8c">
      <tp>
        <v>342.28</v>
        <stp/>
        <stp>Market</stp>
        <stp>INDEX</stp>
        <stp>XAU</stp>
        <stp>前年終値</stp>
        <tr r="U50" s="1"/>
      </tp>
      <tp t="s">
        <v xml:space="preserve">  :  </v>
        <stp/>
        <stp>Market</stp>
        <stp>INDEX</stp>
        <stp>REDBEAN.FUT05.OS</stp>
        <stp>始値時刻</stp>
        <tr r="N169" s="1"/>
      </tp>
      <tp t="s">
        <v xml:space="preserve">  :  </v>
        <stp/>
        <stp>Market</stp>
        <stp>INDEX</stp>
        <stp>REDBEAN.FUT04.OS</stp>
        <stp>始値時刻</stp>
        <tr r="N168" s="1"/>
      </tp>
      <tp t="s">
        <v xml:space="preserve">  :  </v>
        <stp/>
        <stp>Market</stp>
        <stp>INDEX</stp>
        <stp>REDBEAN.FUT06.OS</stp>
        <stp>安値時刻</stp>
        <tr r="P170" s="1"/>
      </tp>
      <tp t="s">
        <v xml:space="preserve">  :  </v>
        <stp/>
        <stp>Market</stp>
        <stp>INDEX</stp>
        <stp>REDBEAN.FUT05.OS</stp>
        <stp>安値時刻</stp>
        <tr r="P169" s="1"/>
      </tp>
      <tp t="s">
        <v xml:space="preserve">  :  </v>
        <stp/>
        <stp>Market</stp>
        <stp>INDEX</stp>
        <stp>REDBEAN.FUT06.OS</stp>
        <stp>始値時刻</stp>
        <tr r="N170" s="1"/>
      </tp>
      <tp t="s">
        <v xml:space="preserve">  :  </v>
        <stp/>
        <stp>Market</stp>
        <stp>INDEX</stp>
        <stp>REDBEAN.FUT04.OS</stp>
        <stp>安値時刻</stp>
        <tr r="P168" s="1"/>
      </tp>
      <tp t="s">
        <v xml:space="preserve">  :  </v>
        <stp/>
        <stp>Market</stp>
        <stp>INDEX</stp>
        <stp>REDBEAN.FUT01.OS</stp>
        <stp>始値時刻</stp>
        <tr r="N165" s="1"/>
      </tp>
      <tp t="s">
        <v xml:space="preserve">  :  </v>
        <stp/>
        <stp>Market</stp>
        <stp>INDEX</stp>
        <stp>REDBEAN.FUT03.OS</stp>
        <stp>安値時刻</stp>
        <tr r="P167" s="1"/>
      </tp>
      <tp t="s">
        <v xml:space="preserve">  :  </v>
        <stp/>
        <stp>Market</stp>
        <stp>INDEX</stp>
        <stp>REDBEAN.FUT02.OS</stp>
        <stp>安値時刻</stp>
        <tr r="P166" s="1"/>
      </tp>
      <tp t="s">
        <v xml:space="preserve">  :  </v>
        <stp/>
        <stp>Market</stp>
        <stp>INDEX</stp>
        <stp>REDBEAN.FUT03.OS</stp>
        <stp>始値時刻</stp>
        <tr r="N167" s="1"/>
      </tp>
      <tp t="s">
        <v xml:space="preserve">  :  </v>
        <stp/>
        <stp>Market</stp>
        <stp>INDEX</stp>
        <stp>REDBEAN.FUT01.OS</stp>
        <stp>安値時刻</stp>
        <tr r="P165" s="1"/>
      </tp>
      <tp t="s">
        <v xml:space="preserve">  :  </v>
        <stp/>
        <stp>Market</stp>
        <stp>INDEX</stp>
        <stp>REDBEAN.FUT02.OS</stp>
        <stp>始値時刻</stp>
        <tr r="N166" s="1"/>
      </tp>
      <tp t="s">
        <v xml:space="preserve">  :  </v>
        <stp/>
        <stp>Market</stp>
        <stp>INDEX</stp>
        <stp>REDBEAN.FUT06.OS</stp>
        <stp>高値時刻</stp>
        <tr r="O170" s="1"/>
      </tp>
      <tp t="s">
        <v xml:space="preserve">  :  </v>
        <stp/>
        <stp>Market</stp>
        <stp>INDEX</stp>
        <stp>REDBEAN.FUT04.OS</stp>
        <stp>高値時刻</stp>
        <tr r="O168" s="1"/>
      </tp>
      <tp t="s">
        <v xml:space="preserve">  :  </v>
        <stp/>
        <stp>Market</stp>
        <stp>INDEX</stp>
        <stp>REDBEAN.FUT05.OS</stp>
        <stp>高値時刻</stp>
        <tr r="O169" s="1"/>
      </tp>
      <tp t="s">
        <v xml:space="preserve">  :  </v>
        <stp/>
        <stp>Market</stp>
        <stp>INDEX</stp>
        <stp>REDBEAN.FUT02.OS</stp>
        <stp>高値時刻</stp>
        <tr r="O166" s="1"/>
      </tp>
      <tp t="s">
        <v xml:space="preserve">  :  </v>
        <stp/>
        <stp>Market</stp>
        <stp>INDEX</stp>
        <stp>REDBEAN.FUT03.OS</stp>
        <stp>高値時刻</stp>
        <tr r="O167" s="1"/>
      </tp>
      <tp t="s">
        <v xml:space="preserve">  :  </v>
        <stp/>
        <stp>Market</stp>
        <stp>INDEX</stp>
        <stp>REDBEAN.FUT01.OS</stp>
        <stp>高値時刻</stp>
        <tr r="O165" s="1"/>
      </tp>
    </main>
    <main first="rtdsrv.dff54f4b11dd4e0d9cb19000fb943d8c">
      <tp t="s">
        <v/>
        <stp/>
        <stp>Market</stp>
        <stp>INDEX</stp>
        <stp>GOLD.FUT01.OS</stp>
        <stp>指標名称</stp>
        <tr r="B103" s="1"/>
      </tp>
      <tp t="s">
        <v/>
        <stp/>
        <stp>Market</stp>
        <stp>INDEX</stp>
        <stp>GOLD.FUT02.OS</stp>
        <stp>指標名称</stp>
        <tr r="B104" s="1"/>
      </tp>
      <tp t="s">
        <v/>
        <stp/>
        <stp>Market</stp>
        <stp>INDEX</stp>
        <stp>GOLD.FUT03.OS</stp>
        <stp>指標名称</stp>
        <tr r="B105" s="1"/>
      </tp>
      <tp t="s">
        <v/>
        <stp/>
        <stp>Market</stp>
        <stp>INDEX</stp>
        <stp>GOLD.FUT04.OS</stp>
        <stp>指標名称</stp>
        <tr r="B106" s="1"/>
      </tp>
      <tp t="s">
        <v/>
        <stp/>
        <stp>Market</stp>
        <stp>INDEX</stp>
        <stp>GOLD.FUT05.OS</stp>
        <stp>指標名称</stp>
        <tr r="B107" s="1"/>
      </tp>
      <tp t="s">
        <v/>
        <stp/>
        <stp>Market</stp>
        <stp>INDEX</stp>
        <stp>GOLD.FUT06.OS</stp>
        <stp>指標名称</stp>
        <tr r="B108" s="1"/>
      </tp>
    </main>
    <main first="rtdsrv.dff54f4b11dd4e0d9cb19000fb943d8c">
      <tp t="s">
        <v/>
        <stp/>
        <stp>Market</stp>
        <stp>INDEX</stp>
        <stp>NZD/JPY</stp>
        <stp>安値時刻</stp>
        <tr r="P191" s="1"/>
      </tp>
      <tp t="s">
        <v/>
        <stp/>
        <stp>Market</stp>
        <stp>INDEX</stp>
        <stp>NZD/JPY</stp>
        <stp>始値時刻</stp>
        <tr r="N191" s="1"/>
      </tp>
      <tp t="s">
        <v/>
        <stp/>
        <stp>Market</stp>
        <stp>INDEX</stp>
        <stp>NZD/JPY</stp>
        <stp>高値時刻</stp>
        <tr r="O191" s="1"/>
      </tp>
      <tp t="s">
        <v/>
        <stp/>
        <stp>Market</stp>
        <stp>INDEX</stp>
        <stp>GBP/CHF</stp>
        <stp>安値時刻</stp>
        <tr r="P202" s="1"/>
      </tp>
      <tp t="s">
        <v/>
        <stp/>
        <stp>Market</stp>
        <stp>INDEX</stp>
        <stp>GBP/CHF</stp>
        <stp>始値時刻</stp>
        <tr r="N202" s="1"/>
      </tp>
      <tp t="s">
        <v/>
        <stp/>
        <stp>Market</stp>
        <stp>INDEX</stp>
        <stp>GBP/CHF</stp>
        <stp>高値時刻</stp>
        <tr r="O202" s="1"/>
      </tp>
    </main>
    <main first="rtdsrv.dff54f4b11dd4e0d9cb19000fb943d8c">
      <tp t="s">
        <v>2026/02/28</v>
        <stp/>
        <stp>Market</stp>
        <stp>INDEX</stp>
        <stp>GOLD.FUT01.OS</stp>
        <stp>現在日付</stp>
        <tr r="C103" s="1"/>
      </tp>
      <tp t="s">
        <v>2026/02/28</v>
        <stp/>
        <stp>Market</stp>
        <stp>INDEX</stp>
        <stp>GOLD.FUT02.OS</stp>
        <stp>現在日付</stp>
        <tr r="C104" s="1"/>
      </tp>
      <tp t="s">
        <v>2026/02/28</v>
        <stp/>
        <stp>Market</stp>
        <stp>INDEX</stp>
        <stp>GOLD.FUT03.OS</stp>
        <stp>現在日付</stp>
        <tr r="C105" s="1"/>
      </tp>
      <tp t="s">
        <v>2026/02/28</v>
        <stp/>
        <stp>Market</stp>
        <stp>INDEX</stp>
        <stp>GOLD.FUT04.OS</stp>
        <stp>現在日付</stp>
        <tr r="C106" s="1"/>
      </tp>
      <tp t="s">
        <v>2026/02/28</v>
        <stp/>
        <stp>Market</stp>
        <stp>INDEX</stp>
        <stp>GOLD.FUT05.OS</stp>
        <stp>現在日付</stp>
        <tr r="C107" s="1"/>
      </tp>
      <tp t="s">
        <v>2026/02/28</v>
        <stp/>
        <stp>Market</stp>
        <stp>INDEX</stp>
        <stp>GOLD.FUT06.OS</stp>
        <stp>現在日付</stp>
        <tr r="C108" s="1"/>
      </tp>
      <tp t="s">
        <v/>
        <stp/>
        <stp>Market</stp>
        <stp>INDEX</stp>
        <stp>GOLD.FUT05.OS</stp>
        <stp>上場来安値</stp>
        <tr r="Y107" s="1"/>
      </tp>
      <tp t="s">
        <v/>
        <stp/>
        <stp>Market</stp>
        <stp>INDEX</stp>
        <stp>GOLD.FUT04.OS</stp>
        <stp>上場来安値</stp>
        <tr r="Y106" s="1"/>
      </tp>
      <tp t="s">
        <v/>
        <stp/>
        <stp>Market</stp>
        <stp>INDEX</stp>
        <stp>GOLD.FUT06.OS</stp>
        <stp>上場来安値</stp>
        <tr r="Y108" s="1"/>
      </tp>
      <tp t="s">
        <v/>
        <stp/>
        <stp>Market</stp>
        <stp>INDEX</stp>
        <stp>AUD/JPY</stp>
        <stp>現在日付</stp>
        <tr r="C190" s="1"/>
      </tp>
      <tp t="s">
        <v/>
        <stp/>
        <stp>Market</stp>
        <stp>INDEX</stp>
        <stp>GOLD.FUT01.OS</stp>
        <stp>上場来安値</stp>
        <tr r="Y103" s="1"/>
      </tp>
      <tp t="s">
        <v/>
        <stp/>
        <stp>Market</stp>
        <stp>INDEX</stp>
        <stp>GOLD.FUT03.OS</stp>
        <stp>上場来安値</stp>
        <tr r="Y105" s="1"/>
      </tp>
      <tp t="s">
        <v/>
        <stp/>
        <stp>Market</stp>
        <stp>INDEX</stp>
        <stp>GOLD.FUT02.OS</stp>
        <stp>上場来安値</stp>
        <tr r="Y104" s="1"/>
      </tp>
      <tp t="s">
        <v/>
        <stp/>
        <stp>Market</stp>
        <stp>INDEX</stp>
        <stp>GOLD.FUT05.OS</stp>
        <stp>年初来安値</stp>
        <tr r="W107" s="1"/>
      </tp>
      <tp t="s">
        <v/>
        <stp/>
        <stp>Market</stp>
        <stp>INDEX</stp>
        <stp>GOLD.FUT04.OS</stp>
        <stp>年初来安値</stp>
        <tr r="W106" s="1"/>
      </tp>
      <tp t="s">
        <v/>
        <stp/>
        <stp>Market</stp>
        <stp>INDEX</stp>
        <stp>GOLD.FUT06.OS</stp>
        <stp>年初来安値</stp>
        <tr r="W108" s="1"/>
      </tp>
      <tp t="s">
        <v/>
        <stp/>
        <stp>Market</stp>
        <stp>INDEX</stp>
        <stp>GOLD.FUT01.OS</stp>
        <stp>年初来安値</stp>
        <tr r="W103" s="1"/>
      </tp>
      <tp t="s">
        <v/>
        <stp/>
        <stp>Market</stp>
        <stp>INDEX</stp>
        <stp>EUR/JPY</stp>
        <stp>現在日付</stp>
        <tr r="C188" s="1"/>
      </tp>
      <tp t="s">
        <v/>
        <stp/>
        <stp>Market</stp>
        <stp>INDEX</stp>
        <stp>GOLD.FUT03.OS</stp>
        <stp>年初来安値</stp>
        <tr r="W105" s="1"/>
      </tp>
      <tp t="s">
        <v/>
        <stp/>
        <stp>Market</stp>
        <stp>INDEX</stp>
        <stp>GOLD.FUT02.OS</stp>
        <stp>年初来安値</stp>
        <tr r="W104" s="1"/>
      </tp>
    </main>
    <main first="rtdsrv.dff54f4b11dd4e0d9cb19000fb943d8c">
      <tp t="s">
        <v/>
        <stp/>
        <stp>Market</stp>
        <stp>INDEX</stp>
        <stp>GBP/JPY</stp>
        <stp>前年最安値</stp>
        <tr r="T189" s="1"/>
      </tp>
    </main>
    <main first="rtdsrv.dff54f4b11dd4e0d9cb19000fb943d8c">
      <tp>
        <v>3186.8797</v>
        <stp/>
        <stp>Market</stp>
        <stp>INDEX</stp>
        <stp>SSEA</stp>
        <stp>前年最安値</stp>
        <tr r="T69" s="1"/>
      </tp>
      <tp>
        <v>36611.78</v>
        <stp/>
        <stp>Market</stp>
        <stp>INDEX</stp>
        <stp>DJIA</stp>
        <stp>前年最安値</stp>
        <tr r="T20" s="1"/>
      </tp>
      <tp t="s">
        <v/>
        <stp/>
        <stp>Market</stp>
        <stp>INDEX</stp>
        <stp>AUD/NZD</stp>
        <stp>現在値ティック</stp>
        <tr r="F207" s="1"/>
      </tp>
      <tp t="s">
        <v/>
        <stp/>
        <stp>Market</stp>
        <stp>INDEX</stp>
        <stp>EUR/JPY</stp>
        <stp>現在値ティック</stp>
        <tr r="F188" s="1"/>
      </tp>
    </main>
    <main first="rtdsrv.dff54f4b11dd4e0d9cb19000fb943d8c">
      <tp t="s">
        <v/>
        <stp/>
        <stp>Market</stp>
        <stp>INDEX</stp>
        <stp>USD/CHF</stp>
        <stp>指標名称</stp>
        <tr r="B201" s="1"/>
      </tp>
    </main>
    <main first="rtdsrv.dff54f4b11dd4e0d9cb19000fb943d8c">
      <tp t="s">
        <v/>
        <stp/>
        <stp>Market</stp>
        <stp>INDEX</stp>
        <stp>HKD/JPY</stp>
        <stp>指標名称</stp>
        <tr r="B195" s="1"/>
      </tp>
      <tp t="s">
        <v>東証REIT指数</v>
        <stp/>
        <stp>Market</stp>
        <stp>INDEX</stp>
        <stp>TREIT</stp>
        <stp>指標名称</stp>
        <tr r="B15" s="1"/>
      </tp>
      <tp>
        <v>12509.6</v>
        <stp/>
        <stp>Market</stp>
        <stp>INDEX</stp>
        <stp>INDS</stp>
        <stp>前年終値</stp>
        <tr r="U39" s="1"/>
      </tp>
    </main>
    <main first="rtdsrv.dff54f4b11dd4e0d9cb19000fb943d8c">
      <tp t="s">
        <v/>
        <stp/>
        <stp>Market</stp>
        <stp>INDEX</stp>
        <stp>EUR/AUD</stp>
        <stp>前年最安値</stp>
        <tr r="T213" s="1"/>
      </tp>
      <tp t="s">
        <v/>
        <stp/>
        <stp>Market</stp>
        <stp>INDEX</stp>
        <stp>GBP/CHF</stp>
        <stp>前年最安値</stp>
        <tr r="T202" s="1"/>
      </tp>
      <tp t="s">
        <v/>
        <stp/>
        <stp>Market</stp>
        <stp>INDEX</stp>
        <stp>EUR/USD</stp>
        <stp>前年最安値</stp>
        <tr r="T197" s="1"/>
      </tp>
      <tp>
        <v>274.79000000000002</v>
        <stp/>
        <stp>Market</stp>
        <stp>INDEX</stp>
        <stp>SPESG</stp>
        <stp>上場来安値</stp>
        <tr r="Y38" s="1"/>
      </tp>
    </main>
    <main first="rtdsrv.dff54f4b11dd4e0d9cb19000fb943d8c">
      <tp t="s">
        <v>2026/02/27</v>
        <stp/>
        <stp>Market</stp>
        <stp>INDEX</stp>
        <stp>TREIT</stp>
        <stp>現在日付</stp>
        <tr r="C15" s="1"/>
      </tp>
    </main>
    <main first="rtdsrv.dff54f4b11dd4e0d9cb19000fb943d8c">
      <tp>
        <v>599.29999999999995</v>
        <stp/>
        <stp>Market</stp>
        <stp>INDEX</stp>
        <stp>SPESG</stp>
        <stp>年初来安値</stp>
        <tr r="W38" s="1"/>
      </tp>
    </main>
    <main first="rtdsrv.dff54f4b11dd4e0d9cb19000fb943d8c">
      <tp t="s">
        <v/>
        <stp/>
        <stp>Market</stp>
        <stp>INDEX</stp>
        <stp>HKD/JPY</stp>
        <stp>現在日付</stp>
        <tr r="C195" s="1"/>
      </tp>
    </main>
    <main first="rtdsrv.dff54f4b11dd4e0d9cb19000fb943d8c">
      <tp t="s">
        <v/>
        <stp/>
        <stp>Market</stp>
        <stp>INDEX</stp>
        <stp>N225.FUT01.S</stp>
        <stp>上場来高値日付</stp>
        <tr r="Z185" s="1"/>
      </tp>
      <tp t="s">
        <v/>
        <stp/>
        <stp>Market</stp>
        <stp>INDEX</stp>
        <stp>N225.FUT01.C</stp>
        <stp>上場来高値日付</stp>
        <tr r="Z183" s="1"/>
      </tp>
      <tp t="s">
        <v/>
        <stp/>
        <stp>Market</stp>
        <stp>INDEX</stp>
        <stp>N225.FUT01.S</stp>
        <stp>上場来安値日付</stp>
        <tr r="AA185" s="1"/>
      </tp>
      <tp t="s">
        <v/>
        <stp/>
        <stp>Market</stp>
        <stp>INDEX</stp>
        <stp>N225.FUT01.C</stp>
        <stp>上場来安値日付</stp>
        <tr r="AA183" s="1"/>
      </tp>
    </main>
    <main first="rtdsrv.dff54f4b11dd4e0d9cb19000fb943d8c">
      <tp t="s">
        <v/>
        <stp/>
        <stp>Market</stp>
        <stp>INDEX</stp>
        <stp>USD/CHF</stp>
        <stp>現在日付</stp>
        <tr r="C201" s="1"/>
      </tp>
    </main>
    <main first="rtdsrv.dff54f4b11dd4e0d9cb19000fb943d8c">
      <tp t="s">
        <v/>
        <stp/>
        <stp>Market</stp>
        <stp>INDEX</stp>
        <stp>EUR/USD</stp>
        <stp>現在値ティック</stp>
        <tr r="F197" s="1"/>
      </tp>
      <tp t="s">
        <v/>
        <stp/>
        <stp>Market</stp>
        <stp>INDEX</stp>
        <stp>HKD/JPY</stp>
        <stp>前日比</stp>
        <tr r="G195" s="1"/>
      </tp>
      <tp t="s">
        <v/>
        <stp/>
        <stp>Market</stp>
        <stp>INDEX</stp>
        <stp>AUD/CHF</stp>
        <stp>前日比</stp>
        <tr r="G205" s="1"/>
      </tp>
      <tp t="s">
        <v/>
        <stp/>
        <stp>Market</stp>
        <stp>INDEX</stp>
        <stp>ZAR/JPY</stp>
        <stp>現在値ティック</stp>
        <tr r="F192" s="1"/>
      </tp>
      <tp t="s">
        <v/>
        <stp/>
        <stp>Market</stp>
        <stp>INDEX</stp>
        <stp>EUR/GBP</stp>
        <stp>前日比</stp>
        <tr r="G203" s="1"/>
      </tp>
    </main>
    <main first="rtdsrv.dff54f4b11dd4e0d9cb19000fb943d8c">
      <tp>
        <v>3968.8400999999999</v>
        <stp/>
        <stp>Market</stp>
        <stp>INDEX</stp>
        <stp>SSEC</stp>
        <stp>前年終値</stp>
        <tr r="U68" s="1"/>
      </tp>
      <tp>
        <v>4161.3558999999996</v>
        <stp/>
        <stp>Market</stp>
        <stp>INDEX</stp>
        <stp>SSEA</stp>
        <stp>前年終値</stp>
        <tr r="U69" s="1"/>
      </tp>
    </main>
    <main first="rtdsrv.dff54f4b11dd4e0d9cb19000fb943d8c">
      <tp t="s">
        <v/>
        <stp/>
        <stp>Market</stp>
        <stp>INDEX</stp>
        <stp>MXN/JPY</stp>
        <stp>前年最安値</stp>
        <tr r="T211" s="1"/>
      </tp>
    </main>
    <main first="rtdsrv.dff54f4b11dd4e0d9cb19000fb943d8c">
      <tp t="s">
        <v/>
        <stp/>
        <stp>Market</stp>
        <stp>INDEX</stp>
        <stp>N225.FUT01.S</stp>
        <stp>年初来安値</stp>
        <tr r="W185" s="1"/>
      </tp>
      <tp t="s">
        <v/>
        <stp/>
        <stp>Market</stp>
        <stp>INDEX</stp>
        <stp>N225.FUT02.S</stp>
        <stp>年初来安値</stp>
        <tr r="W186" s="1"/>
      </tp>
      <tp t="s">
        <v/>
        <stp/>
        <stp>Market</stp>
        <stp>INDEX</stp>
        <stp>N225.FUT01.S</stp>
        <stp>上場来安値</stp>
        <tr r="Y185" s="1"/>
      </tp>
      <tp t="s">
        <v/>
        <stp/>
        <stp>Market</stp>
        <stp>INDEX</stp>
        <stp>N225.FUT02.S</stp>
        <stp>上場来安値</stp>
        <tr r="Y186" s="1"/>
      </tp>
      <tp t="s">
        <v>2026/01/28</v>
        <stp/>
        <stp>Market</stp>
        <stp>INDEX</stp>
        <stp>NDXT</stp>
        <stp>上場来高値日付</stp>
        <tr r="Z49" s="1"/>
      </tp>
      <tp t="s">
        <v>2008/11/21</v>
        <stp/>
        <stp>Market</stp>
        <stp>INDEX</stp>
        <stp>NDXT</stp>
        <stp>上場来安値日付</stp>
        <tr r="AA49" s="1"/>
      </tp>
      <tp>
        <v>0</v>
        <stp/>
        <stp>Market</stp>
        <stp>INDEX</stp>
        <stp>REDBEAN.FUT02.OS</stp>
        <stp>前日比</stp>
        <tr r="G166" s="1"/>
      </tp>
      <tp>
        <v>0</v>
        <stp/>
        <stp>Market</stp>
        <stp>INDEX</stp>
        <stp>REDBEAN.FUT03.OS</stp>
        <stp>前日比</stp>
        <tr r="G167" s="1"/>
      </tp>
      <tp>
        <v>0</v>
        <stp/>
        <stp>Market</stp>
        <stp>INDEX</stp>
        <stp>REDBEAN.FUT01.OS</stp>
        <stp>前日比</stp>
        <tr r="G165" s="1"/>
      </tp>
      <tp>
        <v>0</v>
        <stp/>
        <stp>Market</stp>
        <stp>INDEX</stp>
        <stp>REDBEAN.FUT06.OS</stp>
        <stp>前日比</stp>
        <tr r="G170" s="1"/>
      </tp>
      <tp>
        <v>0</v>
        <stp/>
        <stp>Market</stp>
        <stp>INDEX</stp>
        <stp>REDBEAN.FUT04.OS</stp>
        <stp>前日比</stp>
        <tr r="G168" s="1"/>
      </tp>
      <tp>
        <v>0</v>
        <stp/>
        <stp>Market</stp>
        <stp>INDEX</stp>
        <stp>REDBEAN.FUT05.OS</stp>
        <stp>前日比</stp>
        <tr r="G169" s="1"/>
      </tp>
    </main>
    <main first="rtdsrv.dff54f4b11dd4e0d9cb19000fb943d8c">
      <tp>
        <v>-135</v>
        <stp/>
        <stp>Market</stp>
        <stp>INDEX</stp>
        <stp>PLATINUM.SPOT.OS</stp>
        <stp>前日比</stp>
        <tr r="G128" s="1"/>
      </tp>
    </main>
    <main first="rtdsrv.dff54f4b11dd4e0d9cb19000fb943d8c">
      <tp t="s">
        <v/>
        <stp/>
        <stp>Market</stp>
        <stp>INDEX</stp>
        <stp>TOPX.FUT01.OS</stp>
        <stp>指標名称</stp>
        <tr r="B86" s="1"/>
      </tp>
      <tp t="s">
        <v/>
        <stp/>
        <stp>Market</stp>
        <stp>INDEX</stp>
        <stp>TOPX.FUT02.OS</stp>
        <stp>指標名称</stp>
        <tr r="B87" s="1"/>
      </tp>
      <tp t="s">
        <v/>
        <stp/>
        <stp>Market</stp>
        <stp>INDEX</stp>
        <stp>TOPX.FUT03.OS</stp>
        <stp>指標名称</stp>
        <tr r="B88" s="1"/>
      </tp>
      <tp t="s">
        <v/>
        <stp/>
        <stp>Market</stp>
        <stp>INDEX</stp>
        <stp>TOPX.FUT04.OS</stp>
        <stp>指標名称</stp>
        <tr r="B89" s="1"/>
      </tp>
      <tp t="s">
        <v/>
        <stp/>
        <stp>Market</stp>
        <stp>INDEX</stp>
        <stp>TOPX.FUT05.OS</stp>
        <stp>指標名称</stp>
        <tr r="B90" s="1"/>
      </tp>
    </main>
    <main first="rtdsrv.dff54f4b11dd4e0d9cb19000fb943d8c">
      <tp t="s">
        <v/>
        <stp/>
        <stp>Market</stp>
        <stp>INDEX</stp>
        <stp>GBP/AUD</stp>
        <stp>前年最安値</stp>
        <tr r="T214" s="1"/>
      </tp>
      <tp t="s">
        <v/>
        <stp/>
        <stp>Market</stp>
        <stp>INDEX</stp>
        <stp>EUR/CHF</stp>
        <stp>前年最安値</stp>
        <tr r="T204" s="1"/>
      </tp>
      <tp t="s">
        <v/>
        <stp/>
        <stp>Market</stp>
        <stp>INDEX</stp>
        <stp>GBP/USD</stp>
        <stp>前年最安値</stp>
        <tr r="T198" s="1"/>
      </tp>
    </main>
    <main first="rtdsrv.dff54f4b11dd4e0d9cb19000fb943d8c">
      <tp t="s">
        <v>2026/02/28</v>
        <stp/>
        <stp>Market</stp>
        <stp>INDEX</stp>
        <stp>TOPX.FUT01.OS</stp>
        <stp>現在日付</stp>
        <tr r="C86" s="1"/>
      </tp>
      <tp t="s">
        <v>2026/02/27</v>
        <stp/>
        <stp>Market</stp>
        <stp>INDEX</stp>
        <stp>TOPX.FUT02.OS</stp>
        <stp>現在日付</stp>
        <tr r="C87" s="1"/>
      </tp>
      <tp t="s">
        <v/>
        <stp/>
        <stp>Market</stp>
        <stp>INDEX</stp>
        <stp>TOPX.FUT03.OS</stp>
        <stp>現在日付</stp>
        <tr r="C88" s="1"/>
      </tp>
      <tp t="s">
        <v/>
        <stp/>
        <stp>Market</stp>
        <stp>INDEX</stp>
        <stp>TOPX.FUT04.OS</stp>
        <stp>現在日付</stp>
        <tr r="C89" s="1"/>
      </tp>
      <tp t="s">
        <v/>
        <stp/>
        <stp>Market</stp>
        <stp>INDEX</stp>
        <stp>TOPX.FUT05.OS</stp>
        <stp>現在日付</stp>
        <tr r="C90" s="1"/>
      </tp>
      <tp>
        <v>196.47</v>
        <stp/>
        <stp>Market</stp>
        <stp>INDEX</stp>
        <stp>SIXRE</stp>
        <stp>年初来安値</stp>
        <tr r="W30" s="1"/>
      </tp>
      <tp>
        <v>121.14</v>
        <stp/>
        <stp>Market</stp>
        <stp>INDEX</stp>
        <stp>SIXRE</stp>
        <stp>上場来安値</stp>
        <tr r="Y30" s="1"/>
      </tp>
    </main>
    <main first="rtdsrv.dff54f4b11dd4e0d9cb19000fb943d8c">
      <tp t="s">
        <v/>
        <stp/>
        <stp>Market</stp>
        <stp>INDEX</stp>
        <stp>GBP/USD</stp>
        <stp>現在値ティック</stp>
        <tr r="F198" s="1"/>
      </tp>
    </main>
    <main first="rtdsrv.dff54f4b11dd4e0d9cb19000fb943d8c">
      <tp t="s">
        <v/>
        <stp/>
        <stp>Market</stp>
        <stp>INDEX</stp>
        <stp>TS1EX</stp>
        <stp>安値時刻</stp>
        <tr r="P10" s="1"/>
      </tp>
      <tp t="s">
        <v/>
        <stp/>
        <stp>Market</stp>
        <stp>INDEX</stp>
        <stp>TS1EX</stp>
        <stp>始値時刻</stp>
        <tr r="N10" s="1"/>
      </tp>
    </main>
    <main first="rtdsrv.dff54f4b11dd4e0d9cb19000fb943d8c">
      <tp t="s">
        <v/>
        <stp/>
        <stp>Market</stp>
        <stp>INDEX</stp>
        <stp>TS1EX</stp>
        <stp>高値時刻</stp>
        <tr r="O10" s="1"/>
      </tp>
    </main>
    <main first="rtdsrv.dff54f4b11dd4e0d9cb19000fb943d8c">
      <tp t="s">
        <v>-</v>
        <stp/>
        <stp>Market</stp>
        <stp>INDEX</stp>
        <stp>HSCEI</stp>
        <stp>安値時刻</stp>
        <tr r="P66" s="1"/>
      </tp>
      <tp t="s">
        <v>-</v>
        <stp/>
        <stp>Market</stp>
        <stp>INDEX</stp>
        <stp>HSCEI</stp>
        <stp>始値時刻</stp>
        <tr r="N66" s="1"/>
      </tp>
      <tp t="s">
        <v>-</v>
        <stp/>
        <stp>Market</stp>
        <stp>INDEX</stp>
        <stp>HSCEI</stp>
        <stp>高値時刻</stp>
        <tr r="O66" s="1"/>
      </tp>
    </main>
    <main first="rtdsrv.dff54f4b11dd4e0d9cb19000fb943d8c">
      <tp t="s">
        <v>BVP NASDAQエマージング・クラウド指数</v>
        <stp/>
        <stp>Market</stp>
        <stp>INDEX</stp>
        <stp>EMCLOUD</stp>
        <stp>指標名称</stp>
        <tr r="B62" s="1"/>
      </tp>
      <tp t="s">
        <v/>
        <stp/>
        <stp>Market</stp>
        <stp>INDEX</stp>
        <stp>CHF/JPY</stp>
        <stp>指標名称</stp>
        <tr r="B194" s="1"/>
      </tp>
      <tp t="s">
        <v xml:space="preserve">  :  </v>
        <stp/>
        <stp>Market</stp>
        <stp>INDEX</stp>
        <stp>SOYBEAN.FUT04.OS</stp>
        <stp>始値時刻</stp>
        <tr r="N174" s="1"/>
      </tp>
      <tp t="s">
        <v xml:space="preserve">  :  </v>
        <stp/>
        <stp>Market</stp>
        <stp>INDEX</stp>
        <stp>SOYBEAN.FUT06.OS</stp>
        <stp>安値時刻</stp>
        <tr r="P176" s="1"/>
      </tp>
      <tp t="s">
        <v xml:space="preserve">  :  </v>
        <stp/>
        <stp>Market</stp>
        <stp>INDEX</stp>
        <stp>SOYBEAN.FUT05.OS</stp>
        <stp>始値時刻</stp>
        <tr r="N175" s="1"/>
      </tp>
      <tp t="s">
        <v xml:space="preserve">  :  </v>
        <stp/>
        <stp>Market</stp>
        <stp>INDEX</stp>
        <stp>SOYBEAN.FUT06.OS</stp>
        <stp>始値時刻</stp>
        <tr r="N176" s="1"/>
      </tp>
      <tp t="s">
        <v xml:space="preserve">  :  </v>
        <stp/>
        <stp>Market</stp>
        <stp>INDEX</stp>
        <stp>SOYBEAN.FUT04.OS</stp>
        <stp>安値時刻</stp>
        <tr r="P174" s="1"/>
      </tp>
      <tp t="s">
        <v xml:space="preserve">  :  </v>
        <stp/>
        <stp>Market</stp>
        <stp>INDEX</stp>
        <stp>SOYBEAN.FUT05.OS</stp>
        <stp>安値時刻</stp>
        <tr r="P175" s="1"/>
      </tp>
      <tp t="s">
        <v xml:space="preserve">  :  </v>
        <stp/>
        <stp>Market</stp>
        <stp>INDEX</stp>
        <stp>SOYBEAN.FUT02.OS</stp>
        <stp>安値時刻</stp>
        <tr r="P172" s="1"/>
      </tp>
      <tp t="s">
        <v xml:space="preserve">  :  </v>
        <stp/>
        <stp>Market</stp>
        <stp>INDEX</stp>
        <stp>SOYBEAN.FUT01.OS</stp>
        <stp>始値時刻</stp>
        <tr r="N171" s="1"/>
      </tp>
      <tp t="s">
        <v xml:space="preserve">  :  </v>
        <stp/>
        <stp>Market</stp>
        <stp>INDEX</stp>
        <stp>SOYBEAN.FUT03.OS</stp>
        <stp>安値時刻</stp>
        <tr r="P173" s="1"/>
      </tp>
      <tp t="s">
        <v xml:space="preserve">  :  </v>
        <stp/>
        <stp>Market</stp>
        <stp>INDEX</stp>
        <stp>SOYBEAN.FUT02.OS</stp>
        <stp>始値時刻</stp>
        <tr r="N172" s="1"/>
      </tp>
      <tp t="s">
        <v xml:space="preserve">  :  </v>
        <stp/>
        <stp>Market</stp>
        <stp>INDEX</stp>
        <stp>SOYBEAN.FUT03.OS</stp>
        <stp>始値時刻</stp>
        <tr r="N173" s="1"/>
      </tp>
      <tp t="s">
        <v xml:space="preserve">  :  </v>
        <stp/>
        <stp>Market</stp>
        <stp>INDEX</stp>
        <stp>SOYBEAN.FUT01.OS</stp>
        <stp>安値時刻</stp>
        <tr r="P171" s="1"/>
      </tp>
      <tp t="s">
        <v xml:space="preserve">  :  </v>
        <stp/>
        <stp>Market</stp>
        <stp>INDEX</stp>
        <stp>SOYBEAN.FUT06.OS</stp>
        <stp>高値時刻</stp>
        <tr r="O176" s="1"/>
      </tp>
      <tp t="s">
        <v xml:space="preserve">  :  </v>
        <stp/>
        <stp>Market</stp>
        <stp>INDEX</stp>
        <stp>SOYBEAN.FUT05.OS</stp>
        <stp>高値時刻</stp>
        <tr r="O175" s="1"/>
      </tp>
      <tp t="s">
        <v xml:space="preserve">  :  </v>
        <stp/>
        <stp>Market</stp>
        <stp>INDEX</stp>
        <stp>SOYBEAN.FUT04.OS</stp>
        <stp>高値時刻</stp>
        <tr r="O174" s="1"/>
      </tp>
      <tp t="s">
        <v xml:space="preserve">  :  </v>
        <stp/>
        <stp>Market</stp>
        <stp>INDEX</stp>
        <stp>SOYBEAN.FUT03.OS</stp>
        <stp>高値時刻</stp>
        <tr r="O173" s="1"/>
      </tp>
      <tp t="s">
        <v xml:space="preserve">  :  </v>
        <stp/>
        <stp>Market</stp>
        <stp>INDEX</stp>
        <stp>SOYBEAN.FUT02.OS</stp>
        <stp>高値時刻</stp>
        <tr r="O172" s="1"/>
      </tp>
      <tp t="s">
        <v xml:space="preserve">  :  </v>
        <stp/>
        <stp>Market</stp>
        <stp>INDEX</stp>
        <stp>SOYBEAN.FUT01.OS</stp>
        <stp>高値時刻</stp>
        <tr r="O171" s="1"/>
      </tp>
    </main>
    <main first="rtdsrv.dff54f4b11dd4e0d9cb19000fb943d8c">
      <tp>
        <v>883.78</v>
        <stp/>
        <stp>Market</stp>
        <stp>INDEX</stp>
        <stp>TSGM</stp>
        <stp>前年終値</stp>
        <tr r="U8" s="1"/>
      </tp>
      <tp t="s">
        <v/>
        <stp/>
        <stp>Market</stp>
        <stp>INDEX</stp>
        <stp>EUR/GBP</stp>
        <stp>安値時刻</stp>
        <tr r="P203" s="1"/>
      </tp>
      <tp t="s">
        <v/>
        <stp/>
        <stp>Market</stp>
        <stp>INDEX</stp>
        <stp>EUR/GBP</stp>
        <stp>始値時刻</stp>
        <tr r="N203" s="1"/>
      </tp>
      <tp t="s">
        <v/>
        <stp/>
        <stp>Market</stp>
        <stp>INDEX</stp>
        <stp>EUR/GBP</stp>
        <stp>高値時刻</stp>
        <tr r="O203" s="1"/>
      </tp>
      <tp t="s">
        <v/>
        <stp/>
        <stp>Market</stp>
        <stp>INDEX</stp>
        <stp>SGD/JPY</stp>
        <stp>安値時刻</stp>
        <tr r="P196" s="1"/>
      </tp>
      <tp t="s">
        <v/>
        <stp/>
        <stp>Market</stp>
        <stp>INDEX</stp>
        <stp>SGD/JPY</stp>
        <stp>始値時刻</stp>
        <tr r="N196" s="1"/>
      </tp>
      <tp t="s">
        <v/>
        <stp/>
        <stp>Market</stp>
        <stp>INDEX</stp>
        <stp>SGD/JPY</stp>
        <stp>高値時刻</stp>
        <tr r="O196" s="1"/>
      </tp>
      <tp t="s">
        <v/>
        <stp/>
        <stp>Market</stp>
        <stp>INDEX</stp>
        <stp>GBP/AUD</stp>
        <stp>安値時刻</stp>
        <tr r="P214" s="1"/>
      </tp>
      <tp t="s">
        <v/>
        <stp/>
        <stp>Market</stp>
        <stp>INDEX</stp>
        <stp>GBP/AUD</stp>
        <stp>始値時刻</stp>
        <tr r="N214" s="1"/>
      </tp>
      <tp t="s">
        <v/>
        <stp/>
        <stp>Market</stp>
        <stp>INDEX</stp>
        <stp>GBP/AUD</stp>
        <stp>高値時刻</stp>
        <tr r="O214" s="1"/>
      </tp>
      <tp>
        <v>607.09</v>
        <stp/>
        <stp>Market</stp>
        <stp>INDEX</stp>
        <stp>TSGMC</stp>
        <stp>上場来安値</stp>
        <tr r="Y12" s="1"/>
      </tp>
    </main>
    <main first="rtdsrv.dff54f4b11dd4e0d9cb19000fb943d8c">
      <tp>
        <v>0</v>
        <stp/>
        <stp>Market</stp>
        <stp>INDEX</stp>
        <stp>JGB:FI</stp>
        <stp>前年最安値</stp>
        <tr r="T18" s="1"/>
      </tp>
    </main>
    <main first="rtdsrv.dff54f4b11dd4e0d9cb19000fb943d8c">
      <tp>
        <v>780.99</v>
        <stp/>
        <stp>Market</stp>
        <stp>INDEX</stp>
        <stp>TSGMC</stp>
        <stp>年初来安値</stp>
        <tr r="W12" s="1"/>
      </tp>
      <tp t="s">
        <v/>
        <stp/>
        <stp>Market</stp>
        <stp>INDEX</stp>
        <stp>CHF/JPY</stp>
        <stp>現在日付</stp>
        <tr r="C194" s="1"/>
      </tp>
      <tp t="s">
        <v/>
        <stp/>
        <stp>Market</stp>
        <stp>INDEX</stp>
        <stp>N225.FUT02.S</stp>
        <stp>上場来高値日付</stp>
        <tr r="Z186" s="1"/>
      </tp>
      <tp t="s">
        <v/>
        <stp/>
        <stp>Market</stp>
        <stp>INDEX</stp>
        <stp>N225.FUT02.C</stp>
        <stp>上場来高値日付</stp>
        <tr r="Z184" s="1"/>
      </tp>
      <tp t="s">
        <v>2025/10/10</v>
        <stp/>
        <stp>Market</stp>
        <stp>INDEX</stp>
        <stp>OFIN</stp>
        <stp>上場来高値日付</stp>
        <tr r="Z42" s="1"/>
      </tp>
      <tp t="s">
        <v>1990/10/30</v>
        <stp/>
        <stp>Market</stp>
        <stp>INDEX</stp>
        <stp>OFIN</stp>
        <stp>上場来安値日付</stp>
        <tr r="AA42" s="1"/>
      </tp>
      <tp t="s">
        <v/>
        <stp/>
        <stp>Market</stp>
        <stp>INDEX</stp>
        <stp>N225.FUT02.S</stp>
        <stp>上場来安値日付</stp>
        <tr r="AA186" s="1"/>
      </tp>
      <tp t="s">
        <v/>
        <stp/>
        <stp>Market</stp>
        <stp>INDEX</stp>
        <stp>N225.FUT02.C</stp>
        <stp>上場来安値日付</stp>
        <tr r="AA184" s="1"/>
      </tp>
      <tp t="s">
        <v>2026/02/28</v>
        <stp/>
        <stp>Market</stp>
        <stp>INDEX</stp>
        <stp>EMCLOUD</stp>
        <stp>現在日付</stp>
        <tr r="C62" s="1"/>
      </tp>
    </main>
    <main first="rtdsrv.dff54f4b11dd4e0d9cb19000fb943d8c">
      <tp t="s">
        <v/>
        <stp/>
        <stp>Market</stp>
        <stp>INDEX</stp>
        <stp>NOK/JPY</stp>
        <stp>指標名称</stp>
        <tr r="B208" s="1"/>
      </tp>
    </main>
    <main first="rtdsrv.dff54f4b11dd4e0d9cb19000fb943d8c">
      <tp t="s">
        <v>00:24</v>
        <stp/>
        <stp>Market</stp>
        <stp>INDEX</stp>
        <stp>PLATINUM.SPOT.OS</stp>
        <stp>安値時刻</stp>
        <tr r="P128" s="1"/>
      </tp>
      <tp t="s">
        <v>17:06</v>
        <stp/>
        <stp>Market</stp>
        <stp>INDEX</stp>
        <stp>PLATINUM.SPOT.OS</stp>
        <stp>始値時刻</stp>
        <tr r="N128" s="1"/>
      </tp>
      <tp t="s">
        <v>17:06</v>
        <stp/>
        <stp>Market</stp>
        <stp>INDEX</stp>
        <stp>PLATINUM.SPOT.OS</stp>
        <stp>高値時刻</stp>
        <tr r="O128" s="1"/>
      </tp>
    </main>
    <main first="rtdsrv.dff54f4b11dd4e0d9cb19000fb943d8c">
      <tp t="s">
        <v>東証グロース市場Core指数</v>
        <stp/>
        <stp>Market</stp>
        <stp>INDEX</stp>
        <stp>TSGMC</stp>
        <stp>指標名称</stp>
        <tr r="B12" s="1"/>
      </tp>
    </main>
    <main first="rtdsrv.dff54f4b11dd4e0d9cb19000fb943d8c">
      <tp t="s">
        <v/>
        <stp/>
        <stp>Market</stp>
        <stp>INDEX</stp>
        <stp>NOK/JPY</stp>
        <stp>前年最安値</stp>
        <tr r="T208" s="1"/>
      </tp>
    </main>
    <main first="rtdsrv.dff54f4b11dd4e0d9cb19000fb943d8c">
      <tp t="s">
        <v>2026/02/27</v>
        <stp/>
        <stp>Market</stp>
        <stp>INDEX</stp>
        <stp>TSGMC</stp>
        <stp>現在日付</stp>
        <tr r="C12" s="1"/>
      </tp>
    </main>
    <main first="rtdsrv.dff54f4b11dd4e0d9cb19000fb943d8c">
      <tp>
        <v>3691.4823000000001</v>
        <stp/>
        <stp>Market</stp>
        <stp>INDEX</stp>
        <stp>SHKSC</stp>
        <stp>年初来安値</stp>
        <tr r="W70" s="1"/>
      </tp>
    </main>
    <main first="rtdsrv.dff54f4b11dd4e0d9cb19000fb943d8c">
      <tp>
        <v>2122.0810000000001</v>
        <stp/>
        <stp>Market</stp>
        <stp>INDEX</stp>
        <stp>SHKSC</stp>
        <stp>上場来安値</stp>
        <tr r="Y70" s="1"/>
      </tp>
    </main>
    <main first="rtdsrv.dff54f4b11dd4e0d9cb19000fb943d8c">
      <tp t="s">
        <v/>
        <stp/>
        <stp>Market</stp>
        <stp>INDEX</stp>
        <stp>NOK/JPY</stp>
        <stp>現在日付</stp>
        <tr r="C208" s="1"/>
      </tp>
      <tp t="s">
        <v>2022/01/13</v>
        <stp/>
        <stp>Market</stp>
        <stp>INDEX</stp>
        <stp>BANK</stp>
        <stp>上場来高値日付</stp>
        <tr r="Z40" s="1"/>
      </tp>
      <tp t="s">
        <v>1990/10/31</v>
        <stp/>
        <stp>Market</stp>
        <stp>INDEX</stp>
        <stp>BANK</stp>
        <stp>上場来安値日付</stp>
        <tr r="AA40" s="1"/>
      </tp>
    </main>
    <main first="rtdsrv.dff54f4b11dd4e0d9cb19000fb943d8c">
      <tp t="s">
        <v/>
        <stp/>
        <stp>Market</stp>
        <stp>INDEX</stp>
        <stp>AUD/USD</stp>
        <stp>現在値ティック</stp>
        <tr r="F199" s="1"/>
      </tp>
    </main>
    <main first="rtdsrv.dff54f4b11dd4e0d9cb19000fb943d8c">
      <tp t="s">
        <v/>
        <stp/>
        <stp>Market</stp>
        <stp>INDEX</stp>
        <stp>EUR/CHF</stp>
        <stp>前日比</stp>
        <tr r="G204" s="1"/>
      </tp>
    </main>
    <main first="rtdsrv.dff54f4b11dd4e0d9cb19000fb943d8c">
      <tp t="s">
        <v/>
        <stp/>
        <stp>Market</stp>
        <stp>INDEX</stp>
        <stp>GBP/AUD</stp>
        <stp>前日比</stp>
        <tr r="G214" s="1"/>
      </tp>
    </main>
    <main first="rtdsrv.dff54f4b11dd4e0d9cb19000fb943d8c">
      <tp t="s">
        <v>-</v>
        <stp/>
        <stp>Market</stp>
        <stp>INDEX</stp>
        <stp>HSCCI</stp>
        <stp>安値時刻</stp>
        <tr r="P67" s="1"/>
      </tp>
      <tp t="s">
        <v>-</v>
        <stp/>
        <stp>Market</stp>
        <stp>INDEX</stp>
        <stp>HSCCI</stp>
        <stp>始値時刻</stp>
        <tr r="N67" s="1"/>
      </tp>
      <tp t="s">
        <v>-</v>
        <stp/>
        <stp>Market</stp>
        <stp>INDEX</stp>
        <stp>HSCCI</stp>
        <stp>高値時刻</stp>
        <tr r="O67" s="1"/>
      </tp>
    </main>
    <main first="rtdsrv.dff54f4b11dd4e0d9cb19000fb943d8c">
      <tp t="s">
        <v/>
        <stp/>
        <stp>Market</stp>
        <stp>INDEX</stp>
        <stp>CNH/JPY</stp>
        <stp>指標名称</stp>
        <tr r="B210" s="1"/>
      </tp>
    </main>
    <main first="rtdsrv.dff54f4b11dd4e0d9cb19000fb943d8c">
      <tp t="s">
        <v/>
        <stp/>
        <stp>Market</stp>
        <stp>INDEX</stp>
        <stp>ZAR/JPY</stp>
        <stp>安値時刻</stp>
        <tr r="P192" s="1"/>
      </tp>
      <tp t="s">
        <v/>
        <stp/>
        <stp>Market</stp>
        <stp>INDEX</stp>
        <stp>ZAR/JPY</stp>
        <stp>始値時刻</stp>
        <tr r="N192" s="1"/>
      </tp>
      <tp t="s">
        <v/>
        <stp/>
        <stp>Market</stp>
        <stp>INDEX</stp>
        <stp>ZAR/JPY</stp>
        <stp>高値時刻</stp>
        <tr r="O192" s="1"/>
      </tp>
      <tp>
        <v>7485.06</v>
        <stp/>
        <stp>Market</stp>
        <stp>INDEX</stp>
        <stp>TRAN</stp>
        <stp>前年終値</stp>
        <tr r="U43" s="1"/>
      </tp>
    </main>
    <main first="rtdsrv.dff54f4b11dd4e0d9cb19000fb943d8c">
      <tp t="s">
        <v/>
        <stp/>
        <stp>Market</stp>
        <stp>INDEX</stp>
        <stp>CAD/JPY</stp>
        <stp>安値時刻</stp>
        <tr r="P193" s="1"/>
      </tp>
      <tp t="s">
        <v/>
        <stp/>
        <stp>Market</stp>
        <stp>INDEX</stp>
        <stp>CAD/JPY</stp>
        <stp>始値時刻</stp>
        <tr r="N193" s="1"/>
      </tp>
      <tp t="s">
        <v/>
        <stp/>
        <stp>Market</stp>
        <stp>INDEX</stp>
        <stp>CAD/JPY</stp>
        <stp>高値時刻</stp>
        <tr r="O193" s="1"/>
      </tp>
    </main>
    <main first="rtdsrv.dff54f4b11dd4e0d9cb19000fb943d8c">
      <tp t="s">
        <v/>
        <stp/>
        <stp>Market</stp>
        <stp>INDEX</stp>
        <stp>GBP/USD</stp>
        <stp>安値時刻</stp>
        <tr r="P198" s="1"/>
      </tp>
      <tp t="s">
        <v/>
        <stp/>
        <stp>Market</stp>
        <stp>INDEX</stp>
        <stp>GBP/USD</stp>
        <stp>始値時刻</stp>
        <tr r="N198" s="1"/>
      </tp>
      <tp t="s">
        <v/>
        <stp/>
        <stp>Market</stp>
        <stp>INDEX</stp>
        <stp>GBP/USD</stp>
        <stp>高値時刻</stp>
        <tr r="O198" s="1"/>
      </tp>
    </main>
    <main first="rtdsrv.dff54f4b11dd4e0d9cb19000fb943d8c">
      <tp t="s">
        <v/>
        <stp/>
        <stp>Market</stp>
        <stp>INDEX</stp>
        <stp>CNH/JPY</stp>
        <stp>現在日付</stp>
        <tr r="C210" s="1"/>
      </tp>
    </main>
    <main first="rtdsrv.dff54f4b11dd4e0d9cb19000fb943d8c">
      <tp t="s">
        <v/>
        <stp/>
        <stp>Market</stp>
        <stp>INDEX</stp>
        <stp>MXN/JPY</stp>
        <stp>前日比</stp>
        <tr r="G211" s="1"/>
      </tp>
    </main>
    <main first="rtdsrv.dff54f4b11dd4e0d9cb19000fb943d8c">
      <tp t="s">
        <v/>
        <stp/>
        <stp>Market</stp>
        <stp>INDEX</stp>
        <stp>AUD/CHF</stp>
        <stp>指標名称</stp>
        <tr r="B205" s="1"/>
      </tp>
    </main>
    <main first="rtdsrv.dff54f4b11dd4e0d9cb19000fb943d8c">
      <tp t="s">
        <v/>
        <stp/>
        <stp>Market</stp>
        <stp>INDEX</stp>
        <stp>JN400.FUT01.OS</stp>
        <stp>指標名称</stp>
        <tr r="B96" s="1"/>
      </tp>
      <tp t="s">
        <v/>
        <stp/>
        <stp>Market</stp>
        <stp>INDEX</stp>
        <stp>JN400.FUT02.OS</stp>
        <stp>指標名称</stp>
        <tr r="B97" s="1"/>
      </tp>
      <tp t="s">
        <v/>
        <stp/>
        <stp>Market</stp>
        <stp>INDEX</stp>
        <stp>JN400.FUT03.OS</stp>
        <stp>指標名称</stp>
        <tr r="B98" s="1"/>
      </tp>
      <tp t="s">
        <v/>
        <stp/>
        <stp>Market</stp>
        <stp>INDEX</stp>
        <stp>JN400.FUT04.OS</stp>
        <stp>指標名称</stp>
        <tr r="B99" s="1"/>
      </tp>
      <tp t="s">
        <v/>
        <stp/>
        <stp>Market</stp>
        <stp>INDEX</stp>
        <stp>JN400.FUT05.OS</stp>
        <stp>指標名称</stp>
        <tr r="B100" s="1"/>
      </tp>
      <tp t="s">
        <v/>
        <stp/>
        <stp>Market</stp>
        <stp>INDEX</stp>
        <stp>EUR/CHF</stp>
        <stp>指標名称</stp>
        <tr r="B204" s="1"/>
      </tp>
    </main>
    <main first="rtdsrv.dff54f4b11dd4e0d9cb19000fb943d8c">
      <tp t="s">
        <v/>
        <stp/>
        <stp>Market</stp>
        <stp>INDEX</stp>
        <stp>GBP/JPY</stp>
        <stp>安値時刻</stp>
        <tr r="P189" s="1"/>
      </tp>
      <tp t="s">
        <v/>
        <stp/>
        <stp>Market</stp>
        <stp>INDEX</stp>
        <stp>GBP/JPY</stp>
        <stp>始値時刻</stp>
        <tr r="N189" s="1"/>
      </tp>
      <tp t="s">
        <v/>
        <stp/>
        <stp>Market</stp>
        <stp>INDEX</stp>
        <stp>GBP/JPY</stp>
        <stp>高値時刻</stp>
        <tr r="O189" s="1"/>
      </tp>
    </main>
    <main first="rtdsrv.dff54f4b11dd4e0d9cb19000fb943d8c">
      <tp t="s">
        <v/>
        <stp/>
        <stp>Market</stp>
        <stp>INDEX</stp>
        <stp>USD/CAD</stp>
        <stp>安値時刻</stp>
        <tr r="P212" s="1"/>
      </tp>
      <tp t="s">
        <v/>
        <stp/>
        <stp>Market</stp>
        <stp>INDEX</stp>
        <stp>USD/CAD</stp>
        <stp>始値時刻</stp>
        <tr r="N212" s="1"/>
      </tp>
      <tp t="s">
        <v/>
        <stp/>
        <stp>Market</stp>
        <stp>INDEX</stp>
        <stp>USD/CAD</stp>
        <stp>高値時刻</stp>
        <tr r="O212" s="1"/>
      </tp>
    </main>
    <main first="rtdsrv.dff54f4b11dd4e0d9cb19000fb943d8c">
      <tp t="s">
        <v/>
        <stp/>
        <stp>Market</stp>
        <stp>INDEX</stp>
        <stp>NZD/CHF</stp>
        <stp>安値時刻</stp>
        <tr r="P206" s="1"/>
      </tp>
      <tp t="s">
        <v/>
        <stp/>
        <stp>Market</stp>
        <stp>INDEX</stp>
        <stp>NZD/CHF</stp>
        <stp>始値時刻</stp>
        <tr r="N206" s="1"/>
      </tp>
      <tp t="s">
        <v/>
        <stp/>
        <stp>Market</stp>
        <stp>INDEX</stp>
        <stp>NZD/CHF</stp>
        <stp>高値時刻</stp>
        <tr r="O206" s="1"/>
      </tp>
    </main>
    <main first="rtdsrv.dff54f4b11dd4e0d9cb19000fb943d8c">
      <tp t="s">
        <v>2021/12/31</v>
        <stp/>
        <stp>Market</stp>
        <stp>INDEX</stp>
        <stp>SIXRE</stp>
        <stp>上場来高値日付</stp>
        <tr r="Z30" s="1"/>
      </tp>
      <tp t="s">
        <v>2020/03/23</v>
        <stp/>
        <stp>Market</stp>
        <stp>INDEX</stp>
        <stp>SIXRE</stp>
        <stp>上場来安値日付</stp>
        <tr r="AA30" s="1"/>
      </tp>
    </main>
    <main first="rtdsrv.dff54f4b11dd4e0d9cb19000fb943d8c">
      <tp>
        <v>0</v>
        <stp/>
        <stp>Market</stp>
        <stp>INDEX</stp>
        <stp>JGB:FL</stp>
        <stp>前年最安値</stp>
        <tr r="T17" s="1"/>
      </tp>
    </main>
    <main first="rtdsrv.dff54f4b11dd4e0d9cb19000fb943d8c">
      <tp>
        <v>2243.21</v>
        <stp/>
        <stp>Market</stp>
        <stp>INDEX</stp>
        <stp>TOPX</stp>
        <stp>前年最安値</stp>
        <tr r="T4" s="1"/>
      </tp>
      <tp>
        <v>81.72</v>
        <stp/>
        <stp>Market</stp>
        <stp>INDEX</stp>
        <stp>VVIX</stp>
        <stp>前年最安値</stp>
        <tr r="T26" s="1"/>
      </tp>
      <tp t="s">
        <v/>
        <stp/>
        <stp>Market</stp>
        <stp>INDEX</stp>
        <stp>EUR/CHF</stp>
        <stp>現在日付</stp>
        <tr r="C204" s="1"/>
      </tp>
    </main>
    <main first="rtdsrv.dff54f4b11dd4e0d9cb19000fb943d8c">
      <tp t="s">
        <v>2026/02/28</v>
        <stp/>
        <stp>Market</stp>
        <stp>INDEX</stp>
        <stp>JN400.FUT01.OS</stp>
        <stp>現在日付</stp>
        <tr r="C96" s="1"/>
      </tp>
      <tp t="s">
        <v/>
        <stp/>
        <stp>Market</stp>
        <stp>INDEX</stp>
        <stp>JN400.FUT02.OS</stp>
        <stp>現在日付</stp>
        <tr r="C97" s="1"/>
      </tp>
      <tp t="s">
        <v/>
        <stp/>
        <stp>Market</stp>
        <stp>INDEX</stp>
        <stp>JN400.FUT03.OS</stp>
        <stp>現在日付</stp>
        <tr r="C98" s="1"/>
      </tp>
      <tp t="s">
        <v/>
        <stp/>
        <stp>Market</stp>
        <stp>INDEX</stp>
        <stp>JN400.FUT04.OS</stp>
        <stp>現在日付</stp>
        <tr r="C99" s="1"/>
      </tp>
      <tp t="s">
        <v/>
        <stp/>
        <stp>Market</stp>
        <stp>INDEX</stp>
        <stp>JN400.FUT05.OS</stp>
        <stp>現在日付</stp>
        <tr r="C100" s="1"/>
      </tp>
    </main>
    <main first="rtdsrv.dff54f4b11dd4e0d9cb19000fb943d8c">
      <tp t="s">
        <v/>
        <stp/>
        <stp>Market</stp>
        <stp>INDEX</stp>
        <stp>AUD/CHF</stp>
        <stp>現在日付</stp>
        <tr r="C205" s="1"/>
      </tp>
      <tp t="s">
        <v/>
        <stp/>
        <stp>Market</stp>
        <stp>INDEX</stp>
        <stp>NZD/JPY</stp>
        <stp>前日比</stp>
        <tr r="G191" s="1"/>
      </tp>
      <tp t="s">
        <v/>
        <stp/>
        <stp>Market</stp>
        <stp>INDEX</stp>
        <stp>GBP/CHF</stp>
        <stp>前日比</stp>
        <tr r="G202" s="1"/>
      </tp>
    </main>
    <main first="rtdsrv.dff54f4b11dd4e0d9cb19000fb943d8c">
      <tp t="s">
        <v/>
        <stp/>
        <stp>Market</stp>
        <stp>INDEX</stp>
        <stp>EUR/AUD</stp>
        <stp>前日比</stp>
        <tr r="G213" s="1"/>
      </tp>
    </main>
    <main first="rtdsrv.dff54f4b11dd4e0d9cb19000fb943d8c">
      <tp t="s">
        <v/>
        <stp/>
        <stp>Market</stp>
        <stp>INDEX</stp>
        <stp>USD/CHF</stp>
        <stp>現在値ティック</stp>
        <tr r="F201" s="1"/>
      </tp>
      <tp t="s">
        <v/>
        <stp/>
        <stp>Market</stp>
        <stp>INDEX</stp>
        <stp>NOK/JPY</stp>
        <stp>前日比</stp>
        <tr r="G208" s="1"/>
      </tp>
      <tp t="s">
        <v/>
        <stp/>
        <stp>Market</stp>
        <stp>INDEX</stp>
        <stp>USD/CAD</stp>
        <stp>現在値ティック</stp>
        <tr r="F212" s="1"/>
      </tp>
    </main>
    <main first="rtdsrv.dff54f4b11dd4e0d9cb19000fb943d8c">
      <tp>
        <v>7307.49</v>
        <stp/>
        <stp>Market</stp>
        <stp>INDEX</stp>
        <stp>IXF</stp>
        <stp>前年終値</stp>
        <tr r="U46" s="1"/>
      </tp>
      <tp>
        <v>7529.74</v>
        <stp/>
        <stp>Market</stp>
        <stp>INDEX</stp>
        <stp>HXC</stp>
        <stp>前年終値</stp>
        <tr r="U55" s="1"/>
      </tp>
    </main>
    <main first="rtdsrv.dff54f4b11dd4e0d9cb19000fb943d8c">
      <tp>
        <v>22788.29</v>
        <stp/>
        <stp>Market</stp>
        <stp>INDEX</stp>
        <stp>IXCO</stp>
        <stp>前年終値</stp>
        <tr r="U45" s="1"/>
      </tp>
    </main>
    <main first="rtdsrv.dff54f4b11dd4e0d9cb19000fb943d8c">
      <tp t="s">
        <v/>
        <stp/>
        <stp>Market</stp>
        <stp>INDEX</stp>
        <stp>CNH/JPY</stp>
        <stp>前年最安値</stp>
        <tr r="T210" s="1"/>
      </tp>
      <tp t="s">
        <v>↓</v>
        <stp/>
        <stp>Market</stp>
        <stp>INDEX</stp>
        <stp>JGB:FI</stp>
        <stp>現在値ティック</stp>
        <tr r="F18" s="1"/>
      </tp>
      <tp t="s">
        <v>↑</v>
        <stp/>
        <stp>Market</stp>
        <stp>INDEX</stp>
        <stp>JGB:FL</stp>
        <stp>現在値ティック</stp>
        <tr r="F17" s="1"/>
      </tp>
    </main>
    <main first="rtdsrv.dff54f4b11dd4e0d9cb19000fb943d8c">
      <tp>
        <v>1750.16</v>
        <stp/>
        <stp>Market</stp>
        <stp>INDEX</stp>
        <stp>SIXY</stp>
        <stp>前年最安値</stp>
        <tr r="T32" s="1"/>
      </tp>
    </main>
    <main first="rtdsrv.dff54f4b11dd4e0d9cb19000fb943d8c">
      <tp>
        <v>0</v>
        <stp/>
        <stp>Market</stp>
        <stp>INDEX</stp>
        <stp>VOLQ</stp>
        <stp>前年終値</stp>
        <tr r="U64" s="1"/>
      </tp>
    </main>
    <main first="rtdsrv.dff54f4b11dd4e0d9cb19000fb943d8c">
      <tp>
        <v>2665.86</v>
        <stp/>
        <stp>Market</stp>
        <stp>INDEX</stp>
        <stp>NQUSMT</stp>
        <stp>前年最安値</stp>
        <tr r="T57" s="1"/>
      </tp>
      <tp>
        <v>3655.31</v>
        <stp/>
        <stp>Market</stp>
        <stp>INDEX</stp>
        <stp>NQUSLT</stp>
        <stp>前年最安値</stp>
        <tr r="T56" s="1"/>
      </tp>
      <tp>
        <v>2256.6799999999998</v>
        <stp/>
        <stp>Market</stp>
        <stp>INDEX</stp>
        <stp>NQUSST</stp>
        <stp>前年最安値</stp>
        <tr r="T58" s="1"/>
      </tp>
    </main>
    <main first="rtdsrv.dff54f4b11dd4e0d9cb19000fb943d8c">
      <tp>
        <v>1285.5</v>
        <stp/>
        <stp>Market</stp>
        <stp>INDEX</stp>
        <stp>SIXV</stp>
        <stp>前年最安値</stp>
        <tr r="T37" s="1"/>
      </tp>
    </main>
    <main first="rtdsrv.dff54f4b11dd4e0d9cb19000fb943d8c">
      <tp>
        <v>-27.27</v>
        <stp/>
        <stp>Market</stp>
        <stp>INDEX</stp>
        <stp>EMCLOUD</stp>
        <stp>前日比</stp>
        <tr r="G62" s="1"/>
      </tp>
    </main>
    <main first="rtdsrv.dff54f4b11dd4e0d9cb19000fb943d8c">
      <tp t="s">
        <v/>
        <stp/>
        <stp>Market</stp>
        <stp>INDEX</stp>
        <stp>GBP/JPY</stp>
        <stp>指標名称</stp>
        <tr r="B189" s="1"/>
      </tp>
    </main>
    <main first="rtdsrv.dff54f4b11dd4e0d9cb19000fb943d8c">
      <tp t="s">
        <v/>
        <stp/>
        <stp>Market</stp>
        <stp>INDEX</stp>
        <stp>USD/CAD</stp>
        <stp>指標名称</stp>
        <tr r="B212" s="1"/>
      </tp>
      <tp t="s">
        <v/>
        <stp/>
        <stp>Market</stp>
        <stp>INDEX</stp>
        <stp>NZD/CHF</stp>
        <stp>指標名称</stp>
        <tr r="B206" s="1"/>
      </tp>
    </main>
    <main first="rtdsrv.dff54f4b11dd4e0d9cb19000fb943d8c">
      <tp>
        <v>0</v>
        <stp/>
        <stp>Market</stp>
        <stp>INDEX</stp>
        <stp>NVI</stp>
        <stp>前年終値</stp>
        <tr r="U14" s="1"/>
      </tp>
    </main>
    <main first="rtdsrv.dff54f4b11dd4e0d9cb19000fb943d8c">
      <tp t="s">
        <v/>
        <stp/>
        <stp>Market</stp>
        <stp>INDEX</stp>
        <stp>AUD/CHF</stp>
        <stp>安値時刻</stp>
        <tr r="P205" s="1"/>
      </tp>
      <tp t="s">
        <v/>
        <stp/>
        <stp>Market</stp>
        <stp>INDEX</stp>
        <stp>AUD/CHF</stp>
        <stp>始値時刻</stp>
        <tr r="N205" s="1"/>
      </tp>
      <tp t="s">
        <v/>
        <stp/>
        <stp>Market</stp>
        <stp>INDEX</stp>
        <stp>AUD/CHF</stp>
        <stp>高値時刻</stp>
        <tr r="O205" s="1"/>
      </tp>
    </main>
    <main first="rtdsrv.dff54f4b11dd4e0d9cb19000fb943d8c">
      <tp t="s">
        <v xml:space="preserve">  :  </v>
        <stp/>
        <stp>Market</stp>
        <stp>INDEX</stp>
        <stp>JN400.FUT03.OS</stp>
        <stp>安値時刻</stp>
        <tr r="P98" s="1"/>
      </tp>
      <tp t="s">
        <v>17:00</v>
        <stp/>
        <stp>Market</stp>
        <stp>INDEX</stp>
        <stp>JN400.FUT01.OS</stp>
        <stp>始値時刻</stp>
        <tr r="N96" s="1"/>
      </tp>
      <tp t="s">
        <v xml:space="preserve">  :  </v>
        <stp/>
        <stp>Market</stp>
        <stp>INDEX</stp>
        <stp>JN400.FUT02.OS</stp>
        <stp>安値時刻</stp>
        <tr r="P97" s="1"/>
      </tp>
      <tp t="s">
        <v>05:54</v>
        <stp/>
        <stp>Market</stp>
        <stp>INDEX</stp>
        <stp>JN400.FUT01.OS</stp>
        <stp>安値時刻</stp>
        <tr r="P96" s="1"/>
      </tp>
      <tp t="s">
        <v xml:space="preserve">  :  </v>
        <stp/>
        <stp>Market</stp>
        <stp>INDEX</stp>
        <stp>JN400.FUT03.OS</stp>
        <stp>始値時刻</stp>
        <tr r="N98" s="1"/>
      </tp>
      <tp t="s">
        <v xml:space="preserve">  :  </v>
        <stp/>
        <stp>Market</stp>
        <stp>INDEX</stp>
        <stp>JN400.FUT02.OS</stp>
        <stp>始値時刻</stp>
        <tr r="N97" s="1"/>
      </tp>
      <tp t="s">
        <v xml:space="preserve">  :  </v>
        <stp/>
        <stp>Market</stp>
        <stp>INDEX</stp>
        <stp>JN400.FUT05.OS</stp>
        <stp>始値時刻</stp>
        <tr r="N100" s="1"/>
      </tp>
      <tp t="s">
        <v xml:space="preserve">  :  </v>
        <stp/>
        <stp>Market</stp>
        <stp>INDEX</stp>
        <stp>JN400.FUT04.OS</stp>
        <stp>始値時刻</stp>
        <tr r="N99" s="1"/>
      </tp>
      <tp t="s">
        <v xml:space="preserve">  :  </v>
        <stp/>
        <stp>Market</stp>
        <stp>INDEX</stp>
        <stp>JN400.FUT05.OS</stp>
        <stp>安値時刻</stp>
        <tr r="P100" s="1"/>
      </tp>
      <tp t="s">
        <v xml:space="preserve">  :  </v>
        <stp/>
        <stp>Market</stp>
        <stp>INDEX</stp>
        <stp>JN400.FUT04.OS</stp>
        <stp>安値時刻</stp>
        <tr r="P99" s="1"/>
      </tp>
      <tp t="s">
        <v xml:space="preserve">  :  </v>
        <stp/>
        <stp>Market</stp>
        <stp>INDEX</stp>
        <stp>JN400.FUT02.OS</stp>
        <stp>高値時刻</stp>
        <tr r="O97" s="1"/>
      </tp>
      <tp t="s">
        <v xml:space="preserve">  :  </v>
        <stp/>
        <stp>Market</stp>
        <stp>INDEX</stp>
        <stp>JN400.FUT03.OS</stp>
        <stp>高値時刻</stp>
        <tr r="O98" s="1"/>
      </tp>
      <tp t="s">
        <v>18:21</v>
        <stp/>
        <stp>Market</stp>
        <stp>INDEX</stp>
        <stp>JN400.FUT01.OS</stp>
        <stp>高値時刻</stp>
        <tr r="O96" s="1"/>
      </tp>
      <tp t="s">
        <v xml:space="preserve">  :  </v>
        <stp/>
        <stp>Market</stp>
        <stp>INDEX</stp>
        <stp>JN400.FUT04.OS</stp>
        <stp>高値時刻</stp>
        <tr r="O99" s="1"/>
      </tp>
      <tp t="s">
        <v xml:space="preserve">  :  </v>
        <stp/>
        <stp>Market</stp>
        <stp>INDEX</stp>
        <stp>JN400.FUT05.OS</stp>
        <stp>高値時刻</stp>
        <tr r="O100" s="1"/>
      </tp>
    </main>
    <main first="rtdsrv.dff54f4b11dd4e0d9cb19000fb943d8c">
      <tp t="s">
        <v/>
        <stp/>
        <stp>Market</stp>
        <stp>INDEX</stp>
        <stp>EUR/CHF</stp>
        <stp>安値時刻</stp>
        <tr r="P204" s="1"/>
      </tp>
      <tp t="s">
        <v/>
        <stp/>
        <stp>Market</stp>
        <stp>INDEX</stp>
        <stp>EUR/CHF</stp>
        <stp>始値時刻</stp>
        <tr r="N204" s="1"/>
      </tp>
      <tp t="s">
        <v/>
        <stp/>
        <stp>Market</stp>
        <stp>INDEX</stp>
        <stp>EUR/CHF</stp>
        <stp>高値時刻</stp>
        <tr r="O204" s="1"/>
      </tp>
    </main>
    <main first="rtdsrv.dff54f4b11dd4e0d9cb19000fb943d8c">
      <tp t="s">
        <v/>
        <stp/>
        <stp>Market</stp>
        <stp>INDEX</stp>
        <stp>CHF/JPY</stp>
        <stp>前年最安値</stp>
        <tr r="T194" s="1"/>
      </tp>
      <tp t="s">
        <v/>
        <stp/>
        <stp>Market</stp>
        <stp>INDEX</stp>
        <stp>TCWSI</stp>
        <stp>上場来高値日付</stp>
        <tr r="Z101" s="1"/>
      </tp>
      <tp t="s">
        <v/>
        <stp/>
        <stp>Market</stp>
        <stp>INDEX</stp>
        <stp>TCWSI</stp>
        <stp>上場来安値日付</stp>
        <tr r="AA101" s="1"/>
      </tp>
    </main>
    <main first="rtdsrv.dff54f4b11dd4e0d9cb19000fb943d8c">
      <tp t="s">
        <v/>
        <stp/>
        <stp>Market</stp>
        <stp>INDEX</stp>
        <stp>TCWSI</stp>
        <stp>年初来安値</stp>
        <tr r="W101" s="1"/>
      </tp>
    </main>
    <main first="rtdsrv.dff54f4b11dd4e0d9cb19000fb943d8c">
      <tp t="s">
        <v/>
        <stp/>
        <stp>Market</stp>
        <stp>INDEX</stp>
        <stp>TCWSI</stp>
        <stp>上場来安値</stp>
        <tr r="Y101" s="1"/>
      </tp>
    </main>
    <main first="rtdsrv.dff54f4b11dd4e0d9cb19000fb943d8c">
      <tp t="s">
        <v/>
        <stp/>
        <stp>Market</stp>
        <stp>INDEX</stp>
        <stp>NZD/CHF</stp>
        <stp>現在日付</stp>
        <tr r="C206" s="1"/>
      </tp>
      <tp t="s">
        <v/>
        <stp/>
        <stp>Market</stp>
        <stp>INDEX</stp>
        <stp>USD/CAD</stp>
        <stp>現在日付</stp>
        <tr r="C212" s="1"/>
      </tp>
      <tp t="s">
        <v/>
        <stp/>
        <stp>Market</stp>
        <stp>INDEX</stp>
        <stp>GBP/JPY</stp>
        <stp>現在日付</stp>
        <tr r="C189" s="1"/>
      </tp>
    </main>
    <main first="rtdsrv.dff54f4b11dd4e0d9cb19000fb943d8c">
      <tp t="s">
        <v/>
        <stp/>
        <stp>Market</stp>
        <stp>INDEX</stp>
        <stp>AUD/JPY</stp>
        <stp>前日比</stp>
        <tr r="G190" s="1"/>
      </tp>
      <tp t="s">
        <v/>
        <stp/>
        <stp>Market</stp>
        <stp>INDEX</stp>
        <stp>SGD/JPY</stp>
        <stp>現在値ティック</stp>
        <tr r="F196" s="1"/>
      </tp>
    </main>
    <main first="rtdsrv.dff54f4b11dd4e0d9cb19000fb943d8c">
      <tp t="s">
        <v/>
        <stp/>
        <stp>Market</stp>
        <stp>INDEX</stp>
        <stp>ZAR/JPY</stp>
        <stp>指標名称</stp>
        <tr r="B192" s="1"/>
      </tp>
    </main>
    <main first="rtdsrv.dff54f4b11dd4e0d9cb19000fb943d8c">
      <tp t="s">
        <v/>
        <stp/>
        <stp>Market</stp>
        <stp>INDEX</stp>
        <stp>CAD/JPY</stp>
        <stp>指標名称</stp>
        <tr r="B193" s="1"/>
      </tp>
    </main>
    <main first="rtdsrv.dff54f4b11dd4e0d9cb19000fb943d8c">
      <tp t="s">
        <v/>
        <stp/>
        <stp>Market</stp>
        <stp>INDEX</stp>
        <stp>GBP/USD</stp>
        <stp>指標名称</stp>
        <tr r="B198" s="1"/>
      </tp>
    </main>
    <main first="rtdsrv.dff54f4b11dd4e0d9cb19000fb943d8c">
      <tp>
        <v>4592.9399999999996</v>
        <stp/>
        <stp>Market</stp>
        <stp>INDEX</stp>
        <stp>BANK</stp>
        <stp>前年終値</stp>
        <tr r="U40" s="1"/>
      </tp>
    </main>
    <main first="rtdsrv.dff54f4b11dd4e0d9cb19000fb943d8c">
      <tp t="s">
        <v>ハンセンレッドチップ指数</v>
        <stp/>
        <stp>Market</stp>
        <stp>INDEX</stp>
        <stp>HSCCI</stp>
        <stp>指標名称</stp>
        <tr r="B67" s="1"/>
      </tp>
    </main>
    <main first="rtdsrv.dff54f4b11dd4e0d9cb19000fb943d8c">
      <tp t="s">
        <v/>
        <stp/>
        <stp>Market</stp>
        <stp>INDEX</stp>
        <stp>CNH/JPY</stp>
        <stp>安値時刻</stp>
        <tr r="P210" s="1"/>
      </tp>
      <tp t="s">
        <v/>
        <stp/>
        <stp>Market</stp>
        <stp>INDEX</stp>
        <stp>CNH/JPY</stp>
        <stp>始値時刻</stp>
        <tr r="N210" s="1"/>
      </tp>
      <tp t="s">
        <v/>
        <stp/>
        <stp>Market</stp>
        <stp>INDEX</stp>
        <stp>CNH/JPY</stp>
        <stp>高値時刻</stp>
        <tr r="O210" s="1"/>
      </tp>
    </main>
    <main first="rtdsrv.dff54f4b11dd4e0d9cb19000fb943d8c">
      <tp>
        <v>-130</v>
        <stp/>
        <stp>Market</stp>
        <stp>INDEX</stp>
        <stp>PLATINUM.FUT03.OS</stp>
        <stp>前日比</stp>
        <tr r="G118" s="1"/>
      </tp>
      <tp>
        <v>0</v>
        <stp/>
        <stp>Market</stp>
        <stp>INDEX</stp>
        <stp>PLATINUM.FUT02.OS</stp>
        <stp>前日比</stp>
        <tr r="G117" s="1"/>
      </tp>
      <tp>
        <v>0</v>
        <stp/>
        <stp>Market</stp>
        <stp>INDEX</stp>
        <stp>PLATINUM.FUT01.OS</stp>
        <stp>前日比</stp>
        <tr r="G116" s="1"/>
      </tp>
      <tp>
        <v>-122</v>
        <stp/>
        <stp>Market</stp>
        <stp>INDEX</stp>
        <stp>PLATINUM.FUT06.OS</stp>
        <stp>前日比</stp>
        <tr r="G121" s="1"/>
      </tp>
      <tp>
        <v>-178</v>
        <stp/>
        <stp>Market</stp>
        <stp>INDEX</stp>
        <stp>PLATINUM.FUT05.OS</stp>
        <stp>前日比</stp>
        <tr r="G120" s="1"/>
      </tp>
      <tp>
        <v>-177</v>
        <stp/>
        <stp>Market</stp>
        <stp>INDEX</stp>
        <stp>PLATINUM.FUT04.OS</stp>
        <stp>前日比</stp>
        <tr r="G119" s="1"/>
      </tp>
    </main>
    <main first="rtdsrv.dff54f4b11dd4e0d9cb19000fb943d8c">
      <tp t="s">
        <v>2026/02/27</v>
        <stp/>
        <stp>Market</stp>
        <stp>INDEX</stp>
        <stp>HSCCI</stp>
        <stp>現在日付</stp>
        <tr r="C67" s="1"/>
      </tp>
    </main>
    <main first="rtdsrv.dff54f4b11dd4e0d9cb19000fb943d8c">
      <tp t="s">
        <v/>
        <stp/>
        <stp>Market</stp>
        <stp>INDEX</stp>
        <stp>RSS3.FUT11.OS</stp>
        <stp>年初来安値</stp>
        <tr r="W151" s="1"/>
      </tp>
      <tp t="s">
        <v/>
        <stp/>
        <stp>Market</stp>
        <stp>INDEX</stp>
        <stp>RSS3.FUT10.OS</stp>
        <stp>年初来安値</stp>
        <tr r="W150" s="1"/>
      </tp>
      <tp t="s">
        <v/>
        <stp/>
        <stp>Market</stp>
        <stp>INDEX</stp>
        <stp>GBP/USD</stp>
        <stp>現在日付</stp>
        <tr r="C198" s="1"/>
      </tp>
      <tp t="s">
        <v/>
        <stp/>
        <stp>Market</stp>
        <stp>INDEX</stp>
        <stp>RSS3.FUT12.OS</stp>
        <stp>年初来安値</stp>
        <tr r="W152" s="1"/>
      </tp>
      <tp>
        <v>1737.59</v>
        <stp/>
        <stp>Market</stp>
        <stp>INDEX</stp>
        <stp>SIXT</stp>
        <stp>前年最安値</stp>
        <tr r="T36" s="1"/>
      </tp>
      <tp t="s">
        <v/>
        <stp/>
        <stp>Market</stp>
        <stp>INDEX</stp>
        <stp>VOLQ</stp>
        <stp>上場来高値日付</stp>
        <tr r="Z64" s="1"/>
      </tp>
      <tp t="s">
        <v/>
        <stp/>
        <stp>Market</stp>
        <stp>INDEX</stp>
        <stp>VOLQ</stp>
        <stp>上場来安値日付</stp>
        <tr r="AA64" s="1"/>
      </tp>
      <tp t="s">
        <v/>
        <stp/>
        <stp>Market</stp>
        <stp>INDEX</stp>
        <stp>CAD/JPY</stp>
        <stp>現在日付</stp>
        <tr r="C193" s="1"/>
      </tp>
      <tp t="s">
        <v/>
        <stp/>
        <stp>Market</stp>
        <stp>INDEX</stp>
        <stp>RSS3.FUT11.OS</stp>
        <stp>上場来安値</stp>
        <tr r="Y151" s="1"/>
      </tp>
      <tp t="s">
        <v/>
        <stp/>
        <stp>Market</stp>
        <stp>INDEX</stp>
        <stp>RSS3.FUT10.OS</stp>
        <stp>上場来安値</stp>
        <tr r="Y150" s="1"/>
      </tp>
      <tp t="s">
        <v/>
        <stp/>
        <stp>Market</stp>
        <stp>INDEX</stp>
        <stp>RSS3.FUT12.OS</stp>
        <stp>上場来安値</stp>
        <tr r="Y152" s="1"/>
      </tp>
    </main>
    <main first="rtdsrv.dff54f4b11dd4e0d9cb19000fb943d8c">
      <tp t="s">
        <v>2026/02/26</v>
        <stp/>
        <stp>Market</stp>
        <stp>INDEX</stp>
        <stp>TOPX</stp>
        <stp>上場来高値日付</stp>
        <tr r="Z4" s="1"/>
      </tp>
      <tp t="s">
        <v>1967/12/11</v>
        <stp/>
        <stp>Market</stp>
        <stp>INDEX</stp>
        <stp>TOPX</stp>
        <stp>上場来安値日付</stp>
        <tr r="AA4" s="1"/>
      </tp>
      <tp>
        <v>7847.02</v>
        <stp/>
        <stp>Market</stp>
        <stp>INDEX</stp>
        <stp>NDXT</stp>
        <stp>前年最安値</stp>
        <tr r="T49" s="1"/>
      </tp>
      <tp t="s">
        <v/>
        <stp/>
        <stp>Market</stp>
        <stp>INDEX</stp>
        <stp>ZAR/JPY</stp>
        <stp>現在日付</stp>
        <tr r="C192" s="1"/>
      </tp>
    </main>
    <main first="rtdsrv.dff54f4b11dd4e0d9cb19000fb943d8c">
      <tp t="s">
        <v>09:00</v>
        <stp/>
        <stp>Market</stp>
        <stp>INDEX</stp>
        <stp>TSGMC</stp>
        <stp>安値時刻</stp>
        <tr r="P12" s="1"/>
      </tp>
      <tp t="s">
        <v>09:00</v>
        <stp/>
        <stp>Market</stp>
        <stp>INDEX</stp>
        <stp>TSGMC</stp>
        <stp>始値時刻</stp>
        <tr r="N12" s="1"/>
      </tp>
      <tp t="s">
        <v>15:15</v>
        <stp/>
        <stp>Market</stp>
        <stp>INDEX</stp>
        <stp>TSGMC</stp>
        <stp>高値時刻</stp>
        <tr r="O12" s="1"/>
      </tp>
    </main>
    <main first="rtdsrv.dff54f4b11dd4e0d9cb19000fb943d8c">
      <tp>
        <v>1068.07</v>
        <stp/>
        <stp>Market</stp>
        <stp>INDEX</stp>
        <stp>UTY</stp>
        <stp>前年終値</stp>
        <tr r="U54" s="1"/>
      </tp>
    </main>
    <main first="rtdsrv.dff54f4b11dd4e0d9cb19000fb943d8c">
      <tp t="s">
        <v/>
        <stp/>
        <stp>Market</stp>
        <stp>INDEX</stp>
        <stp>PLATINUM.SPOT.OS</stp>
        <stp>指標名称</stp>
        <tr r="B128" s="1"/>
      </tp>
    </main>
    <main first="rtdsrv.dff54f4b11dd4e0d9cb19000fb943d8c">
      <tp t="s">
        <v/>
        <stp/>
        <stp>Market</stp>
        <stp>INDEX</stp>
        <stp>MOT.FUT03.OS</stp>
        <stp>前年終値</stp>
        <tr r="U93" s="1"/>
      </tp>
      <tp t="s">
        <v/>
        <stp/>
        <stp>Market</stp>
        <stp>INDEX</stp>
        <stp>MOT.FUT02.OS</stp>
        <stp>前年終値</stp>
        <tr r="U92" s="1"/>
      </tp>
      <tp t="s">
        <v/>
        <stp/>
        <stp>Market</stp>
        <stp>INDEX</stp>
        <stp>MOT.FUT01.OS</stp>
        <stp>前年終値</stp>
        <tr r="U91" s="1"/>
      </tp>
      <tp t="s">
        <v/>
        <stp/>
        <stp>Market</stp>
        <stp>INDEX</stp>
        <stp>MOT.FUT05.OS</stp>
        <stp>前年終値</stp>
        <tr r="U95" s="1"/>
      </tp>
      <tp t="s">
        <v/>
        <stp/>
        <stp>Market</stp>
        <stp>INDEX</stp>
        <stp>MOT.FUT04.OS</stp>
        <stp>前年終値</stp>
        <tr r="U94" s="1"/>
      </tp>
    </main>
    <main first="rtdsrv.dff54f4b11dd4e0d9cb19000fb943d8c">
      <tp t="s">
        <v/>
        <stp/>
        <stp>Market</stp>
        <stp>INDEX</stp>
        <stp>NOK/JPY</stp>
        <stp>安値時刻</stp>
        <tr r="P208" s="1"/>
      </tp>
      <tp t="s">
        <v/>
        <stp/>
        <stp>Market</stp>
        <stp>INDEX</stp>
        <stp>NOK/JPY</stp>
        <stp>始値時刻</stp>
        <tr r="N208" s="1"/>
      </tp>
      <tp t="s">
        <v/>
        <stp/>
        <stp>Market</stp>
        <stp>INDEX</stp>
        <stp>NOK/JPY</stp>
        <stp>高値時刻</stp>
        <tr r="O208" s="1"/>
      </tp>
    </main>
    <main first="rtdsrv.dff54f4b11dd4e0d9cb19000fb943d8c">
      <tp t="s">
        <v>2026/02/28</v>
        <stp/>
        <stp>Market</stp>
        <stp>INDEX</stp>
        <stp>PLATINUM.SPOT.OS</stp>
        <stp>現在日付</stp>
        <tr r="C128" s="1"/>
      </tp>
    </main>
    <main first="rtdsrv.dff54f4b11dd4e0d9cb19000fb943d8c">
      <tp t="s">
        <v/>
        <stp/>
        <stp>Market</stp>
        <stp>INDEX</stp>
        <stp>CAD/JPY</stp>
        <stp>前年最安値</stp>
        <tr r="T193" s="1"/>
      </tp>
      <tp t="s">
        <v/>
        <stp/>
        <stp>Market</stp>
        <stp>INDEX</stp>
        <stp>AUD/JPY</stp>
        <stp>前年最安値</stp>
        <tr r="T190" s="1"/>
      </tp>
      <tp t="s">
        <v/>
        <stp/>
        <stp>Market</stp>
        <stp>INDEX</stp>
        <stp>NZD/JPY</stp>
        <stp>前年最安値</stp>
        <tr r="T191" s="1"/>
      </tp>
      <tp t="s">
        <v/>
        <stp/>
        <stp>Market</stp>
        <stp>INDEX</stp>
        <stp>HKD/JPY</stp>
        <stp>前年最安値</stp>
        <tr r="T195" s="1"/>
      </tp>
      <tp t="s">
        <v/>
        <stp/>
        <stp>Market</stp>
        <stp>INDEX</stp>
        <stp>USD/JPY</stp>
        <stp>前年最安値</stp>
        <tr r="T187" s="1"/>
      </tp>
      <tp t="s">
        <v/>
        <stp/>
        <stp>Market</stp>
        <stp>INDEX</stp>
        <stp>SGD/JPY</stp>
        <stp>前年最安値</stp>
        <tr r="T196" s="1"/>
      </tp>
    </main>
    <main first="rtdsrv.dff54f4b11dd4e0d9cb19000fb943d8c">
      <tp>
        <v>807.78399999999999</v>
        <stp/>
        <stp>Market</stp>
        <stp>INDEX</stp>
        <stp>CSI300</stp>
        <stp>上場来安値</stp>
        <tr r="Y71" s="1"/>
      </tp>
      <tp>
        <v>20463</v>
        <stp/>
        <stp>Market</stp>
        <stp>INDEX</stp>
        <stp>JN400</stp>
        <stp>前年最安値</stp>
        <tr r="T5" s="1"/>
      </tp>
    </main>
    <main first="rtdsrv.dff54f4b11dd4e0d9cb19000fb943d8c">
      <tp>
        <v>4578.2087000000001</v>
        <stp/>
        <stp>Market</stp>
        <stp>INDEX</stp>
        <stp>CSI300</stp>
        <stp>年初来安値</stp>
        <tr r="W71" s="1"/>
      </tp>
    </main>
    <main first="rtdsrv.dff54f4b11dd4e0d9cb19000fb943d8c">
      <tp t="s">
        <v/>
        <stp/>
        <stp>Market</stp>
        <stp>INDEX</stp>
        <stp>RSS3.FUT01.OS</stp>
        <stp>年初来安値</stp>
        <tr r="W141" s="1"/>
      </tp>
      <tp t="s">
        <v>2025/11/03</v>
        <stp/>
        <stp>Market</stp>
        <stp>INDEX</stp>
        <stp>INDS</stp>
        <stp>上場来高値日付</stp>
        <tr r="Z39" s="1"/>
      </tp>
      <tp t="s">
        <v>1985/10/01</v>
        <stp/>
        <stp>Market</stp>
        <stp>INDEX</stp>
        <stp>INDS</stp>
        <stp>上場来安値日付</stp>
        <tr r="AA39" s="1"/>
      </tp>
      <tp t="s">
        <v/>
        <stp/>
        <stp>Market</stp>
        <stp>INDEX</stp>
        <stp>RSS3.FUT03.OS</stp>
        <stp>年初来安値</stp>
        <tr r="W143" s="1"/>
      </tp>
      <tp t="s">
        <v/>
        <stp/>
        <stp>Market</stp>
        <stp>INDEX</stp>
        <stp>RSS3.FUT02.OS</stp>
        <stp>年初来安値</stp>
        <tr r="W142" s="1"/>
      </tp>
      <tp t="s">
        <v/>
        <stp/>
        <stp>Market</stp>
        <stp>INDEX</stp>
        <stp>RSS3.FUT05.OS</stp>
        <stp>年初来安値</stp>
        <tr r="W145" s="1"/>
      </tp>
      <tp t="s">
        <v/>
        <stp/>
        <stp>Market</stp>
        <stp>INDEX</stp>
        <stp>RSS3.FUT04.OS</stp>
        <stp>年初来安値</stp>
        <tr r="W144" s="1"/>
      </tp>
      <tp>
        <v>99.92</v>
        <stp/>
        <stp>Market</stp>
        <stp>INDEX</stp>
        <stp>N300</stp>
        <stp>上場来安値</stp>
        <tr r="Y3" s="1"/>
      </tp>
      <tp>
        <v>223.7</v>
        <stp/>
        <stp>Market</stp>
        <stp>INDEX</stp>
        <stp>N500</stp>
        <stp>上場来安値</stp>
        <tr r="Y9" s="1"/>
      </tp>
      <tp t="s">
        <v/>
        <stp/>
        <stp>Market</stp>
        <stp>INDEX</stp>
        <stp>RSS3.FUT07.OS</stp>
        <stp>年初来安値</stp>
        <tr r="W147" s="1"/>
      </tp>
      <tp>
        <v>719.72</v>
        <stp/>
        <stp>Market</stp>
        <stp>INDEX</stp>
        <stp>SIXU</stp>
        <stp>前年最安値</stp>
        <tr r="T31" s="1"/>
      </tp>
      <tp t="s">
        <v/>
        <stp/>
        <stp>Market</stp>
        <stp>INDEX</stp>
        <stp>RSS3.FUT06.OS</stp>
        <stp>年初来安値</stp>
        <tr r="W146" s="1"/>
      </tp>
      <tp t="s">
        <v/>
        <stp/>
        <stp>Market</stp>
        <stp>INDEX</stp>
        <stp>RSS3.FUT09.OS</stp>
        <stp>年初来安値</stp>
        <tr r="W149" s="1"/>
      </tp>
      <tp t="s">
        <v/>
        <stp/>
        <stp>Market</stp>
        <stp>INDEX</stp>
        <stp>RSS3.FUT08.OS</stp>
        <stp>年初来安値</stp>
        <tr r="W148" s="1"/>
      </tp>
      <tp t="s">
        <v/>
        <stp/>
        <stp>Market</stp>
        <stp>INDEX</stp>
        <stp>RSS3.FUT01.OS</stp>
        <stp>上場来安値</stp>
        <tr r="Y141" s="1"/>
      </tp>
      <tp t="s">
        <v/>
        <stp/>
        <stp>Market</stp>
        <stp>INDEX</stp>
        <stp>RSS3.FUT03.OS</stp>
        <stp>上場来安値</stp>
        <tr r="Y143" s="1"/>
      </tp>
      <tp t="s">
        <v/>
        <stp/>
        <stp>Market</stp>
        <stp>INDEX</stp>
        <stp>RSS3.FUT02.OS</stp>
        <stp>上場来安値</stp>
        <tr r="Y142" s="1"/>
      </tp>
    </main>
    <main first="rtdsrv.dff54f4b11dd4e0d9cb19000fb943d8c">
      <tp t="s">
        <v/>
        <stp/>
        <stp>Market</stp>
        <stp>INDEX</stp>
        <stp>RSS3.FUT05.OS</stp>
        <stp>上場来安値</stp>
        <tr r="Y145" s="1"/>
      </tp>
      <tp t="s">
        <v/>
        <stp/>
        <stp>Market</stp>
        <stp>INDEX</stp>
        <stp>RSS3.FUT04.OS</stp>
        <stp>上場来安値</stp>
        <tr r="Y144" s="1"/>
      </tp>
      <tp t="s">
        <v/>
        <stp/>
        <stp>Market</stp>
        <stp>INDEX</stp>
        <stp>RSS3.FUT07.OS</stp>
        <stp>上場来安値</stp>
        <tr r="Y147" s="1"/>
      </tp>
      <tp t="s">
        <v>2024/11/29</v>
        <stp/>
        <stp>Market</stp>
        <stp>INDEX</stp>
        <stp>INSR</stp>
        <stp>上場来高値日付</stp>
        <tr r="Z41" s="1"/>
      </tp>
      <tp>
        <v>3885.24</v>
        <stp/>
        <stp>Market</stp>
        <stp>INDEX</stp>
        <stp>N500</stp>
        <stp>年初来安値</stp>
        <tr r="W9" s="1"/>
      </tp>
      <tp>
        <v>734.92</v>
        <stp/>
        <stp>Market</stp>
        <stp>INDEX</stp>
        <stp>N300</stp>
        <stp>年初来安値</stp>
        <tr r="W3" s="1"/>
      </tp>
      <tp t="s">
        <v>1985/09/02</v>
        <stp/>
        <stp>Market</stp>
        <stp>INDEX</stp>
        <stp>INSR</stp>
        <stp>上場来安値日付</stp>
        <tr r="AA41" s="1"/>
      </tp>
      <tp t="s">
        <v/>
        <stp/>
        <stp>Market</stp>
        <stp>INDEX</stp>
        <stp>RSS3.FUT06.OS</stp>
        <stp>上場来安値</stp>
        <tr r="Y146" s="1"/>
      </tp>
      <tp t="s">
        <v/>
        <stp/>
        <stp>Market</stp>
        <stp>INDEX</stp>
        <stp>RSS3.FUT09.OS</stp>
        <stp>上場来安値</stp>
        <tr r="Y149" s="1"/>
      </tp>
      <tp t="s">
        <v/>
        <stp/>
        <stp>Market</stp>
        <stp>INDEX</stp>
        <stp>RSS3.FUT08.OS</stp>
        <stp>上場来安値</stp>
        <tr r="Y148" s="1"/>
      </tp>
      <tp t="s">
        <v/>
        <stp/>
        <stp>Market</stp>
        <stp>INDEX</stp>
        <stp>NZD/USD</stp>
        <stp>現在値ティック</stp>
        <tr r="F200" s="1"/>
      </tp>
      <tp t="s">
        <v/>
        <stp/>
        <stp>Market</stp>
        <stp>INDEX</stp>
        <stp>CHF/JPY</stp>
        <stp>前日比</stp>
        <tr r="G194" s="1"/>
      </tp>
      <tp t="s">
        <v/>
        <stp/>
        <stp>Market</stp>
        <stp>INDEX</stp>
        <stp>CNH/JPY</stp>
        <stp>前日比</stp>
        <tr r="G210" s="1"/>
      </tp>
      <tp t="s">
        <v/>
        <stp/>
        <stp>Market</stp>
        <stp>INDEX</stp>
        <stp>CAD/JPY</stp>
        <stp>前日比</stp>
        <tr r="G193" s="1"/>
      </tp>
      <tp>
        <v>0</v>
        <stp/>
        <stp>Market</stp>
        <stp>INDEX</stp>
        <stp>SOYBEAN.FUT03.OS</stp>
        <stp>前日比</stp>
        <tr r="G173" s="1"/>
      </tp>
      <tp>
        <v>0</v>
        <stp/>
        <stp>Market</stp>
        <stp>INDEX</stp>
        <stp>SOYBEAN.FUT02.OS</stp>
        <stp>前日比</stp>
        <tr r="G172" s="1"/>
      </tp>
      <tp>
        <v>0</v>
        <stp/>
        <stp>Market</stp>
        <stp>INDEX</stp>
        <stp>SOYBEAN.FUT01.OS</stp>
        <stp>前日比</stp>
        <tr r="G171" s="1"/>
      </tp>
      <tp>
        <v>0</v>
        <stp/>
        <stp>Market</stp>
        <stp>INDEX</stp>
        <stp>SOYBEAN.FUT06.OS</stp>
        <stp>前日比</stp>
        <tr r="G176" s="1"/>
      </tp>
      <tp>
        <v>0</v>
        <stp/>
        <stp>Market</stp>
        <stp>INDEX</stp>
        <stp>SOYBEAN.FUT05.OS</stp>
        <stp>前日比</stp>
        <tr r="G175" s="1"/>
      </tp>
      <tp>
        <v>0</v>
        <stp/>
        <stp>Market</stp>
        <stp>INDEX</stp>
        <stp>SOYBEAN.FUT04.OS</stp>
        <stp>前日比</stp>
        <tr r="G174" s="1"/>
      </tp>
    </main>
    <main first="rtdsrv.dff54f4b11dd4e0d9cb19000fb943d8c">
      <tp t="s">
        <v/>
        <stp/>
        <stp>Market</stp>
        <stp>INDEX</stp>
        <stp>EUR/GBP</stp>
        <stp>指標名称</stp>
        <tr r="B203" s="1"/>
      </tp>
    </main>
    <main first="rtdsrv.dff54f4b11dd4e0d9cb19000fb943d8c">
      <tp t="s">
        <v/>
        <stp/>
        <stp>Market</stp>
        <stp>INDEX</stp>
        <stp>SGD/JPY</stp>
        <stp>指標名称</stp>
        <tr r="B196" s="1"/>
      </tp>
    </main>
    <main first="rtdsrv.dff54f4b11dd4e0d9cb19000fb943d8c">
      <tp t="s">
        <v/>
        <stp/>
        <stp>Market</stp>
        <stp>INDEX</stp>
        <stp>GBP/AUD</stp>
        <stp>指標名称</stp>
        <tr r="B214" s="1"/>
      </tp>
    </main>
    <main first="rtdsrv.dff54f4b11dd4e0d9cb19000fb943d8c">
      <tp>
        <v>25630.54</v>
        <stp/>
        <stp>Market</stp>
        <stp>INDEX</stp>
        <stp>HSI</stp>
        <stp>前年終値</stp>
        <tr r="U65" s="1"/>
      </tp>
      <tp>
        <v>73.33</v>
        <stp/>
        <stp>Market</stp>
        <stp>INDEX</stp>
        <stp>OSX</stp>
        <stp>前年終値</stp>
        <tr r="U53" s="1"/>
      </tp>
      <tp t="s">
        <v/>
        <stp/>
        <stp>Market</stp>
        <stp>INDEX</stp>
        <stp>SOYBEAN.FUT05.OS</stp>
        <stp>指標名称</stp>
        <tr r="B175" s="1"/>
      </tp>
      <tp t="s">
        <v/>
        <stp/>
        <stp>Market</stp>
        <stp>INDEX</stp>
        <stp>SOYBEAN.FUT04.OS</stp>
        <stp>指標名称</stp>
        <tr r="B174" s="1"/>
      </tp>
      <tp t="s">
        <v/>
        <stp/>
        <stp>Market</stp>
        <stp>INDEX</stp>
        <stp>SOYBEAN.FUT06.OS</stp>
        <stp>指標名称</stp>
        <tr r="B176" s="1"/>
      </tp>
      <tp t="s">
        <v/>
        <stp/>
        <stp>Market</stp>
        <stp>INDEX</stp>
        <stp>SOYBEAN.FUT01.OS</stp>
        <stp>指標名称</stp>
        <tr r="B171" s="1"/>
      </tp>
      <tp t="s">
        <v/>
        <stp/>
        <stp>Market</stp>
        <stp>INDEX</stp>
        <stp>SOYBEAN.FUT03.OS</stp>
        <stp>指標名称</stp>
        <tr r="B173" s="1"/>
      </tp>
      <tp t="s">
        <v/>
        <stp/>
        <stp>Market</stp>
        <stp>INDEX</stp>
        <stp>SOYBEAN.FUT02.OS</stp>
        <stp>指標名称</stp>
        <tr r="B172" s="1"/>
      </tp>
    </main>
    <main first="rtdsrv.dff54f4b11dd4e0d9cb19000fb943d8c">
      <tp t="s">
        <v>旧東証市場第１部指数</v>
        <stp/>
        <stp>Market</stp>
        <stp>INDEX</stp>
        <stp>TS1EX</stp>
        <stp>指標名称</stp>
        <tr r="B10" s="1"/>
      </tp>
    </main>
    <main first="rtdsrv.dff54f4b11dd4e0d9cb19000fb943d8c">
      <tp>
        <v>1181.8900000000001</v>
        <stp/>
        <stp>Market</stp>
        <stp>INDEX</stp>
        <stp>IXHC</stp>
        <stp>前年終値</stp>
        <tr r="U48" s="1"/>
      </tp>
    </main>
    <main first="rtdsrv.dff54f4b11dd4e0d9cb19000fb943d8c">
      <tp t="s">
        <v>-</v>
        <stp/>
        <stp>Market</stp>
        <stp>INDEX</stp>
        <stp>EMCLOUD</stp>
        <stp>始値時刻</stp>
        <tr r="N62" s="1"/>
      </tp>
      <tp t="s">
        <v>-</v>
        <stp/>
        <stp>Market</stp>
        <stp>INDEX</stp>
        <stp>EMCLOUD</stp>
        <stp>安値時刻</stp>
        <tr r="P62" s="1"/>
      </tp>
      <tp t="s">
        <v>-</v>
        <stp/>
        <stp>Market</stp>
        <stp>INDEX</stp>
        <stp>EMCLOUD</stp>
        <stp>高値時刻</stp>
        <tr r="O62" s="1"/>
      </tp>
    </main>
    <main first="rtdsrv.dff54f4b11dd4e0d9cb19000fb943d8c">
      <tp t="s">
        <v>ハンセンH株指数</v>
        <stp/>
        <stp>Market</stp>
        <stp>INDEX</stp>
        <stp>HSCEI</stp>
        <stp>指標名称</stp>
        <tr r="B66" s="1"/>
      </tp>
    </main>
    <main first="rtdsrv.dff54f4b11dd4e0d9cb19000fb943d8c">
      <tp t="s">
        <v/>
        <stp/>
        <stp>Market</stp>
        <stp>INDEX</stp>
        <stp>CHF/JPY</stp>
        <stp>安値時刻</stp>
        <tr r="P194" s="1"/>
      </tp>
      <tp t="s">
        <v/>
        <stp/>
        <stp>Market</stp>
        <stp>INDEX</stp>
        <stp>CHF/JPY</stp>
        <stp>始値時刻</stp>
        <tr r="N194" s="1"/>
      </tp>
      <tp t="s">
        <v/>
        <stp/>
        <stp>Market</stp>
        <stp>INDEX</stp>
        <stp>CHF/JPY</stp>
        <stp>高値時刻</stp>
        <tr r="O194" s="1"/>
      </tp>
    </main>
    <main first="rtdsrv.dff54f4b11dd4e0d9cb19000fb943d8c">
      <tp>
        <v>675.21</v>
        <stp/>
        <stp>Market</stp>
        <stp>INDEX</stp>
        <stp>MTHR</stp>
        <stp>前年終値</stp>
        <tr r="U13" s="1"/>
      </tp>
    </main>
    <main first="rtdsrv.dff54f4b11dd4e0d9cb19000fb943d8c">
      <tp t="s">
        <v/>
        <stp/>
        <stp>Market</stp>
        <stp>INDEX</stp>
        <stp>SOYBEAN.FUT05.OS</stp>
        <stp>現在日付</stp>
        <tr r="C175" s="1"/>
      </tp>
      <tp t="s">
        <v/>
        <stp/>
        <stp>Market</stp>
        <stp>INDEX</stp>
        <stp>SOYBEAN.FUT04.OS</stp>
        <stp>現在日付</stp>
        <tr r="C174" s="1"/>
      </tp>
      <tp t="s">
        <v/>
        <stp/>
        <stp>Market</stp>
        <stp>INDEX</stp>
        <stp>SOYBEAN.FUT06.OS</stp>
        <stp>現在日付</stp>
        <tr r="C176" s="1"/>
      </tp>
      <tp t="s">
        <v/>
        <stp/>
        <stp>Market</stp>
        <stp>INDEX</stp>
        <stp>SOYBEAN.FUT01.OS</stp>
        <stp>現在日付</stp>
        <tr r="C171" s="1"/>
      </tp>
      <tp t="s">
        <v/>
        <stp/>
        <stp>Market</stp>
        <stp>INDEX</stp>
        <stp>SOYBEAN.FUT03.OS</stp>
        <stp>現在日付</stp>
        <tr r="C173" s="1"/>
      </tp>
      <tp t="s">
        <v/>
        <stp/>
        <stp>Market</stp>
        <stp>INDEX</stp>
        <stp>SOYBEAN.FUT02.OS</stp>
        <stp>現在日付</stp>
        <tr r="C172" s="1"/>
      </tp>
    </main>
    <main first="rtdsrv.dff54f4b11dd4e0d9cb19000fb943d8c">
      <tp t="s">
        <v>2026/02/27</v>
        <stp/>
        <stp>Market</stp>
        <stp>INDEX</stp>
        <stp>HSCEI</stp>
        <stp>現在日付</stp>
        <tr r="C66" s="1"/>
      </tp>
    </main>
    <main first="rtdsrv.dff54f4b11dd4e0d9cb19000fb943d8c">
      <tp t="s">
        <v/>
        <stp/>
        <stp>Market</stp>
        <stp>INDEX</stp>
        <stp>TS1EX</stp>
        <stp>現在日付</stp>
        <tr r="C10" s="1"/>
      </tp>
    </main>
    <main first="rtdsrv.dff54f4b11dd4e0d9cb19000fb943d8c">
      <tp t="s">
        <v/>
        <stp/>
        <stp>Market</stp>
        <stp>INDEX</stp>
        <stp>GBP/AUD</stp>
        <stp>現在日付</stp>
        <tr r="C214" s="1"/>
      </tp>
      <tp>
        <v>759.04</v>
        <stp/>
        <stp>Market</stp>
        <stp>INDEX</stp>
        <stp>SIXR</stp>
        <stp>前年最安値</stp>
        <tr r="T35" s="1"/>
      </tp>
      <tp t="s">
        <v/>
        <stp/>
        <stp>Market</stp>
        <stp>INDEX</stp>
        <stp>SGD/JPY</stp>
        <stp>現在日付</stp>
        <tr r="C196" s="1"/>
      </tp>
    </main>
    <main first="rtdsrv.dff54f4b11dd4e0d9cb19000fb943d8c">
      <tp t="s">
        <v/>
        <stp/>
        <stp>Market</stp>
        <stp>INDEX</stp>
        <stp>EUR/GBP</stp>
        <stp>現在日付</stp>
        <tr r="C203" s="1"/>
      </tp>
      <tp>
        <v>531.72</v>
        <stp/>
        <stp>Market</stp>
        <stp>INDEX</stp>
        <stp>MTHR</stp>
        <stp>前年最安値</stp>
        <tr r="T13" s="1"/>
      </tp>
    </main>
    <main first="rtdsrv.dff54f4b11dd4e0d9cb19000fb943d8c">
      <tp>
        <v>14335.59</v>
        <stp/>
        <stp>Market</stp>
        <stp>INDEX</stp>
        <stp>INSR</stp>
        <stp>前年最安値</stp>
        <tr r="T41" s="1"/>
      </tp>
      <tp t="s">
        <v>2026/02/12</v>
        <stp/>
        <stp>Market</stp>
        <stp>INDEX</stp>
        <stp>SIXR</stp>
        <stp>上場来高値日付</stp>
        <tr r="Z35" s="1"/>
      </tp>
      <tp t="s">
        <v>2026/01/07</v>
        <stp/>
        <stp>Market</stp>
        <stp>INDEX</stp>
        <stp>SIXV</stp>
        <stp>上場来高値日付</stp>
        <tr r="Z37" s="1"/>
      </tp>
      <tp t="s">
        <v>2025/10/29</v>
        <stp/>
        <stp>Market</stp>
        <stp>INDEX</stp>
        <stp>SIXT</stp>
        <stp>上場来高値日付</stp>
        <tr r="Z36" s="1"/>
      </tp>
      <tp t="s">
        <v>2026/02/25</v>
        <stp/>
        <stp>Market</stp>
        <stp>INDEX</stp>
        <stp>SIXU</stp>
        <stp>上場来高値日付</stp>
        <tr r="Z31" s="1"/>
      </tp>
      <tp t="s">
        <v>2026/01/12</v>
        <stp/>
        <stp>Market</stp>
        <stp>INDEX</stp>
        <stp>SIXY</stp>
        <stp>上場来高値日付</stp>
        <tr r="Z32" s="1"/>
      </tp>
      <tp t="s">
        <v>2026/02/12</v>
        <stp/>
        <stp>Market</stp>
        <stp>INDEX</stp>
        <stp>SIXB</stp>
        <stp>上場来高値日付</stp>
        <tr r="Z27" s="1"/>
      </tp>
      <tp t="s">
        <v>2026/02/02</v>
        <stp/>
        <stp>Market</stp>
        <stp>INDEX</stp>
        <stp>SIXC</stp>
        <stp>上場来高値日付</stp>
        <tr r="Z33" s="1"/>
      </tp>
      <tp t="s">
        <v>2026/02/23</v>
        <stp/>
        <stp>Market</stp>
        <stp>INDEX</stp>
        <stp>SIXE</stp>
        <stp>上場来高値日付</stp>
        <tr r="Z28" s="1"/>
      </tp>
      <tp t="s">
        <v>2026/02/20</v>
        <stp/>
        <stp>Market</stp>
        <stp>INDEX</stp>
        <stp>SIXI</stp>
        <stp>上場来高値日付</stp>
        <tr r="Z34" s="1"/>
      </tp>
      <tp t="s">
        <v>2026/01/05</v>
        <stp/>
        <stp>Market</stp>
        <stp>INDEX</stp>
        <stp>SIXM</stp>
        <stp>上場来高値日付</stp>
        <tr r="Z29" s="1"/>
      </tp>
      <tp t="s">
        <v>2020/03/23</v>
        <stp/>
        <stp>Market</stp>
        <stp>INDEX</stp>
        <stp>SIXR</stp>
        <stp>上場来安値日付</stp>
        <tr r="AA35" s="1"/>
      </tp>
      <tp t="s">
        <v>2020/03/23</v>
        <stp/>
        <stp>Market</stp>
        <stp>INDEX</stp>
        <stp>SIXV</stp>
        <stp>上場来安値日付</stp>
        <tr r="AA37" s="1"/>
      </tp>
      <tp t="s">
        <v>2020/03/23</v>
        <stp/>
        <stp>Market</stp>
        <stp>INDEX</stp>
        <stp>SIXU</stp>
        <stp>上場来安値日付</stp>
        <tr r="AA31" s="1"/>
      </tp>
      <tp t="s">
        <v>2019/02/01</v>
        <stp/>
        <stp>Market</stp>
        <stp>INDEX</stp>
        <stp>SIXT</stp>
        <stp>上場来安値日付</stp>
        <tr r="AA36" s="1"/>
      </tp>
      <tp t="s">
        <v>2020/03/18</v>
        <stp/>
        <stp>Market</stp>
        <stp>INDEX</stp>
        <stp>SIXY</stp>
        <stp>上場来安値日付</stp>
        <tr r="AA32" s="1"/>
      </tp>
      <tp t="s">
        <v>2020/03/18</v>
        <stp/>
        <stp>Market</stp>
        <stp>INDEX</stp>
        <stp>SIXC</stp>
        <stp>上場来安値日付</stp>
        <tr r="AA33" s="1"/>
      </tp>
      <tp t="s">
        <v>2020/03/18</v>
        <stp/>
        <stp>Market</stp>
        <stp>INDEX</stp>
        <stp>SIXB</stp>
        <stp>上場来安値日付</stp>
        <tr r="AA27" s="1"/>
      </tp>
      <tp t="s">
        <v>2020/03/18</v>
        <stp/>
        <stp>Market</stp>
        <stp>INDEX</stp>
        <stp>SIXE</stp>
        <stp>上場来安値日付</stp>
        <tr r="AA28" s="1"/>
      </tp>
      <tp t="s">
        <v>2020/03/23</v>
        <stp/>
        <stp>Market</stp>
        <stp>INDEX</stp>
        <stp>SIXI</stp>
        <stp>上場来安値日付</stp>
        <tr r="AA34" s="1"/>
      </tp>
      <tp t="s">
        <v>2020/03/23</v>
        <stp/>
        <stp>Market</stp>
        <stp>INDEX</stp>
        <stp>SIXM</stp>
        <stp>上場来安値日付</stp>
        <tr r="AA29" s="1"/>
      </tp>
    </main>
    <main first="rtdsrv.dff54f4b11dd4e0d9cb19000fb943d8c">
      <tp t="s">
        <v/>
        <stp/>
        <stp>Market</stp>
        <stp>INDEX</stp>
        <stp>N225.FUT01.C</stp>
        <stp>前年終値</stp>
        <tr r="U183" s="1"/>
      </tp>
      <tp t="s">
        <v/>
        <stp/>
        <stp>Market</stp>
        <stp>INDEX</stp>
        <stp>N225.FUT02.C</stp>
        <stp>前年終値</stp>
        <tr r="U184" s="1"/>
      </tp>
    </main>
    <main first="rtdsrv.dff54f4b11dd4e0d9cb19000fb943d8c">
      <tp t="s">
        <v xml:space="preserve">  :  </v>
        <stp/>
        <stp>Market</stp>
        <stp>INDEX</stp>
        <stp>TOPX.FUT03.OS</stp>
        <stp>安値時刻</stp>
        <tr r="P88" s="1"/>
      </tp>
      <tp t="s">
        <v>17:00</v>
        <stp/>
        <stp>Market</stp>
        <stp>INDEX</stp>
        <stp>TOPX.FUT01.OS</stp>
        <stp>始値時刻</stp>
        <tr r="N86" s="1"/>
      </tp>
      <tp t="s">
        <v>18:02</v>
        <stp/>
        <stp>Market</stp>
        <stp>INDEX</stp>
        <stp>TOPX.FUT02.OS</stp>
        <stp>安値時刻</stp>
        <tr r="P87" s="1"/>
      </tp>
      <tp t="s">
        <v>04:55</v>
        <stp/>
        <stp>Market</stp>
        <stp>INDEX</stp>
        <stp>TOPX.FUT01.OS</stp>
        <stp>安値時刻</stp>
        <tr r="P86" s="1"/>
      </tp>
      <tp t="s">
        <v xml:space="preserve">  :  </v>
        <stp/>
        <stp>Market</stp>
        <stp>INDEX</stp>
        <stp>TOPX.FUT03.OS</stp>
        <stp>始値時刻</stp>
        <tr r="N88" s="1"/>
      </tp>
      <tp t="s">
        <v>18:02</v>
        <stp/>
        <stp>Market</stp>
        <stp>INDEX</stp>
        <stp>TOPX.FUT02.OS</stp>
        <stp>始値時刻</stp>
        <tr r="N87" s="1"/>
      </tp>
      <tp t="s">
        <v xml:space="preserve">  :  </v>
        <stp/>
        <stp>Market</stp>
        <stp>INDEX</stp>
        <stp>TOPX.FUT05.OS</stp>
        <stp>始値時刻</stp>
        <tr r="N90" s="1"/>
      </tp>
      <tp t="s">
        <v xml:space="preserve">  :  </v>
        <stp/>
        <stp>Market</stp>
        <stp>INDEX</stp>
        <stp>TOPX.FUT04.OS</stp>
        <stp>始値時刻</stp>
        <tr r="N89" s="1"/>
      </tp>
      <tp t="s">
        <v xml:space="preserve">  :  </v>
        <stp/>
        <stp>Market</stp>
        <stp>INDEX</stp>
        <stp>TOPX.FUT05.OS</stp>
        <stp>安値時刻</stp>
        <tr r="P90" s="1"/>
      </tp>
      <tp t="s">
        <v xml:space="preserve">  :  </v>
        <stp/>
        <stp>Market</stp>
        <stp>INDEX</stp>
        <stp>TOPX.FUT04.OS</stp>
        <stp>安値時刻</stp>
        <tr r="P89" s="1"/>
      </tp>
    </main>
    <main first="rtdsrv.dff54f4b11dd4e0d9cb19000fb943d8c">
      <tp t="s">
        <v>18:23</v>
        <stp/>
        <stp>Market</stp>
        <stp>INDEX</stp>
        <stp>TOPX.FUT02.OS</stp>
        <stp>高値時刻</stp>
        <tr r="O87" s="1"/>
      </tp>
      <tp t="s">
        <v xml:space="preserve">  :  </v>
        <stp/>
        <stp>Market</stp>
        <stp>INDEX</stp>
        <stp>TOPX.FUT03.OS</stp>
        <stp>高値時刻</stp>
        <tr r="O88" s="1"/>
      </tp>
      <tp t="s">
        <v>17:07</v>
        <stp/>
        <stp>Market</stp>
        <stp>INDEX</stp>
        <stp>TOPX.FUT01.OS</stp>
        <stp>高値時刻</stp>
        <tr r="O86" s="1"/>
      </tp>
      <tp t="s">
        <v xml:space="preserve">  :  </v>
        <stp/>
        <stp>Market</stp>
        <stp>INDEX</stp>
        <stp>TOPX.FUT04.OS</stp>
        <stp>高値時刻</stp>
        <tr r="O89" s="1"/>
      </tp>
      <tp t="s">
        <v xml:space="preserve">  :  </v>
        <stp/>
        <stp>Market</stp>
        <stp>INDEX</stp>
        <stp>TOPX.FUT05.OS</stp>
        <stp>高値時刻</stp>
        <tr r="O90" s="1"/>
      </tp>
    </main>
    <main first="rtdsrv.dff54f4b11dd4e0d9cb19000fb943d8c">
      <tp t="s">
        <v/>
        <stp/>
        <stp>Market</stp>
        <stp>INDEX</stp>
        <stp>N225.FUT01.S</stp>
        <stp>前年終値</stp>
        <tr r="U185" s="1"/>
      </tp>
      <tp t="s">
        <v/>
        <stp/>
        <stp>Market</stp>
        <stp>INDEX</stp>
        <stp>N225.FUT02.S</stp>
        <stp>前年終値</stp>
        <tr r="U186" s="1"/>
      </tp>
    </main>
    <main first="rtdsrv.dff54f4b11dd4e0d9cb19000fb943d8c">
      <tp>
        <v>48063.29</v>
        <stp/>
        <stp>Market</stp>
        <stp>INDEX</stp>
        <stp>DJIA</stp>
        <stp>前年終値</stp>
        <tr r="U20" s="1"/>
      </tp>
    </main>
    <main first="rtdsrv.dff54f4b11dd4e0d9cb19000fb943d8c">
      <tp>
        <v>13372.09</v>
        <stp/>
        <stp>Market</stp>
        <stp>INDEX</stp>
        <stp>OFIN</stp>
        <stp>前年終値</stp>
        <tr r="U42" s="1"/>
      </tp>
    </main>
    <main first="rtdsrv.dff54f4b11dd4e0d9cb19000fb943d8c">
      <tp>
        <v>92.67</v>
        <stp/>
        <stp>Market</stp>
        <stp>INDEX</stp>
        <stp>VVIX</stp>
        <stp>前年終値</stp>
        <tr r="U26" s="1"/>
      </tp>
    </main>
    <main first="rtdsrv.dff54f4b11dd4e0d9cb19000fb943d8c">
      <tp t="s">
        <v/>
        <stp/>
        <stp>Market</stp>
        <stp>INDEX</stp>
        <stp>TOPX.FUT05.OS</stp>
        <stp>上場来安値</stp>
        <tr r="Y90" s="1"/>
      </tp>
      <tp t="s">
        <v/>
        <stp/>
        <stp>Market</stp>
        <stp>INDEX</stp>
        <stp>PLATINUMMINI.FUT01.OS</stp>
        <stp>上場来安値</stp>
        <tr r="Y122" s="1"/>
      </tp>
      <tp t="s">
        <v/>
        <stp/>
        <stp>Market</stp>
        <stp>INDEX</stp>
        <stp>TOPX.FUT04.OS</stp>
        <stp>上場来安値</stp>
        <tr r="Y89" s="1"/>
      </tp>
      <tp t="s">
        <v/>
        <stp/>
        <stp>Market</stp>
        <stp>INDEX</stp>
        <stp>PLATINUMMINI.FUT03.OS</stp>
        <stp>上場来安値</stp>
        <tr r="Y124" s="1"/>
      </tp>
      <tp t="s">
        <v/>
        <stp/>
        <stp>Market</stp>
        <stp>INDEX</stp>
        <stp>PLATINUMMINI.FUT02.OS</stp>
        <stp>上場来安値</stp>
        <tr r="Y123" s="1"/>
      </tp>
      <tp t="s">
        <v/>
        <stp/>
        <stp>Market</stp>
        <stp>INDEX</stp>
        <stp>TOPX.FUT01.OS</stp>
        <stp>上場来安値</stp>
        <tr r="Y86" s="1"/>
      </tp>
      <tp t="s">
        <v/>
        <stp/>
        <stp>Market</stp>
        <stp>INDEX</stp>
        <stp>PLATINUMMINI.FUT05.OS</stp>
        <stp>上場来安値</stp>
        <tr r="Y126" s="1"/>
      </tp>
      <tp t="s">
        <v/>
        <stp/>
        <stp>Market</stp>
        <stp>INDEX</stp>
        <stp>PLATINUMMINI.FUT04.OS</stp>
        <stp>上場来安値</stp>
        <tr r="Y125" s="1"/>
      </tp>
      <tp t="s">
        <v/>
        <stp/>
        <stp>Market</stp>
        <stp>INDEX</stp>
        <stp>TOPX.FUT03.OS</stp>
        <stp>上場来安値</stp>
        <tr r="Y88" s="1"/>
      </tp>
      <tp t="s">
        <v/>
        <stp/>
        <stp>Market</stp>
        <stp>INDEX</stp>
        <stp>TOPX.FUT02.OS</stp>
        <stp>上場来安値</stp>
        <tr r="Y87" s="1"/>
      </tp>
      <tp t="s">
        <v/>
        <stp/>
        <stp>Market</stp>
        <stp>INDEX</stp>
        <stp>PLATINUMMINI.FUT06.OS</stp>
        <stp>上場来安値</stp>
        <tr r="Y127" s="1"/>
      </tp>
    </main>
    <main first="rtdsrv.dff54f4b11dd4e0d9cb19000fb943d8c">
      <tp t="s">
        <v/>
        <stp/>
        <stp>Market</stp>
        <stp>INDEX</stp>
        <stp>TOPX.FUT05.OS</stp>
        <stp>年初来安値</stp>
        <tr r="W90" s="1"/>
      </tp>
      <tp t="s">
        <v/>
        <stp/>
        <stp>Market</stp>
        <stp>INDEX</stp>
        <stp>PLATINUMMINI.FUT01.OS</stp>
        <stp>年初来安値</stp>
        <tr r="W122" s="1"/>
      </tp>
      <tp t="s">
        <v/>
        <stp/>
        <stp>Market</stp>
        <stp>INDEX</stp>
        <stp>TOPX.FUT04.OS</stp>
        <stp>年初来安値</stp>
        <tr r="W89" s="1"/>
      </tp>
      <tp t="s">
        <v/>
        <stp/>
        <stp>Market</stp>
        <stp>INDEX</stp>
        <stp>PLATINUMMINI.FUT03.OS</stp>
        <stp>年初来安値</stp>
        <tr r="W124" s="1"/>
      </tp>
      <tp t="s">
        <v/>
        <stp/>
        <stp>Market</stp>
        <stp>INDEX</stp>
        <stp>PLATINUMMINI.FUT02.OS</stp>
        <stp>年初来安値</stp>
        <tr r="W123" s="1"/>
      </tp>
      <tp t="s">
        <v/>
        <stp/>
        <stp>Market</stp>
        <stp>INDEX</stp>
        <stp>TOPX.FUT01.OS</stp>
        <stp>年初来安値</stp>
        <tr r="W86" s="1"/>
      </tp>
      <tp t="s">
        <v/>
        <stp/>
        <stp>Market</stp>
        <stp>INDEX</stp>
        <stp>PLATINUMMINI.FUT05.OS</stp>
        <stp>年初来安値</stp>
        <tr r="W126" s="1"/>
      </tp>
      <tp>
        <v>9416.6200000000008</v>
        <stp/>
        <stp>Market</stp>
        <stp>INDEX</stp>
        <stp>INDS</stp>
        <stp>前年最安値</stp>
        <tr r="T39" s="1"/>
      </tp>
      <tp t="s">
        <v/>
        <stp/>
        <stp>Market</stp>
        <stp>INDEX</stp>
        <stp>PLATINUMMINI.FUT04.OS</stp>
        <stp>年初来安値</stp>
        <tr r="W125" s="1"/>
      </tp>
      <tp t="s">
        <v/>
        <stp/>
        <stp>Market</stp>
        <stp>INDEX</stp>
        <stp>TOPX.FUT03.OS</stp>
        <stp>年初来安値</stp>
        <tr r="W88" s="1"/>
      </tp>
      <tp t="s">
        <v/>
        <stp/>
        <stp>Market</stp>
        <stp>INDEX</stp>
        <stp>TOPX.FUT02.OS</stp>
        <stp>年初来安値</stp>
        <tr r="W87" s="1"/>
      </tp>
      <tp t="s">
        <v/>
        <stp/>
        <stp>Market</stp>
        <stp>INDEX</stp>
        <stp>PLATINUMMINI.FUT06.OS</stp>
        <stp>年初来安値</stp>
        <tr r="W127" s="1"/>
      </tp>
    </main>
    <main first="rtdsrv.dff54f4b11dd4e0d9cb19000fb943d8c">
      <tp t="s">
        <v/>
        <stp/>
        <stp>Market</stp>
        <stp>INDEX</stp>
        <stp>AUD/NZD</stp>
        <stp>前日比</stp>
        <tr r="G207" s="1"/>
      </tp>
      <tp t="s">
        <v/>
        <stp/>
        <stp>Market</stp>
        <stp>INDEX</stp>
        <stp>EUR/JPY</stp>
        <stp>前日比</stp>
        <tr r="G188" s="1"/>
      </tp>
    </main>
    <main first="rtdsrv.dff54f4b11dd4e0d9cb19000fb943d8c">
      <tp t="s">
        <v/>
        <stp/>
        <stp>Market</stp>
        <stp>INDEX</stp>
        <stp>GOLD.SPOT.OS</stp>
        <stp>前年最安値</stp>
        <tr r="T115" s="1"/>
      </tp>
    </main>
    <main first="rtdsrv.dff54f4b11dd4e0d9cb19000fb943d8c">
      <tp t="s">
        <v/>
        <stp/>
        <stp>Market</stp>
        <stp>INDEX</stp>
        <stp>JN400.FUT01.OS</stp>
        <stp>前年最安値</stp>
        <tr r="T96" s="1"/>
      </tp>
      <tp>
        <v>2643.32</v>
        <stp/>
        <stp>Market</stp>
        <stp>INDEX</stp>
        <stp>NQCYBR</stp>
        <stp>前年最安値</stp>
        <tr r="T59" s="1"/>
      </tp>
      <tp t="s">
        <v/>
        <stp/>
        <stp>Market</stp>
        <stp>INDEX</stp>
        <stp>JN400.FUT03.OS</stp>
        <stp>前年最安値</stp>
        <tr r="T98" s="1"/>
      </tp>
    </main>
    <main first="rtdsrv.dff54f4b11dd4e0d9cb19000fb943d8c">
      <tp t="s">
        <v/>
        <stp/>
        <stp>Market</stp>
        <stp>INDEX</stp>
        <stp>JN400.FUT02.OS</stp>
        <stp>前年最安値</stp>
        <tr r="T97" s="1"/>
      </tp>
      <tp t="s">
        <v/>
        <stp/>
        <stp>Market</stp>
        <stp>INDEX</stp>
        <stp>JN400.FUT05.OS</stp>
        <stp>前年最安値</stp>
        <tr r="T100" s="1"/>
      </tp>
      <tp t="s">
        <v/>
        <stp/>
        <stp>Market</stp>
        <stp>INDEX</stp>
        <stp>JN400.FUT04.OS</stp>
        <stp>前年最安値</stp>
        <tr r="T99" s="1"/>
      </tp>
    </main>
    <main first="rtdsrv.dff54f4b11dd4e0d9cb19000fb943d8c">
      <tp t="s">
        <v>↑</v>
        <stp/>
        <stp>Market</stp>
        <stp>INDEX</stp>
        <stp>GOLDMINI.FUT04.OS</stp>
        <stp>現在値ティック</stp>
        <tr r="F112" s="1"/>
      </tp>
      <tp t="s">
        <v>↑</v>
        <stp/>
        <stp>Market</stp>
        <stp>INDEX</stp>
        <stp>GOLDMINI.FUT05.OS</stp>
        <stp>現在値ティック</stp>
        <tr r="F113" s="1"/>
      </tp>
      <tp t="s">
        <v>↓</v>
        <stp/>
        <stp>Market</stp>
        <stp>INDEX</stp>
        <stp>GOLDMINI.FUT06.OS</stp>
        <stp>現在値ティック</stp>
        <tr r="F114" s="1"/>
      </tp>
      <tp t="s">
        <v>↑</v>
        <stp/>
        <stp>Market</stp>
        <stp>INDEX</stp>
        <stp>GOLDMINI.FUT01.OS</stp>
        <stp>現在値ティック</stp>
        <tr r="F109" s="1"/>
      </tp>
      <tp t="s">
        <v>↑</v>
        <stp/>
        <stp>Market</stp>
        <stp>INDEX</stp>
        <stp>GOLDMINI.FUT02.OS</stp>
        <stp>現在値ティック</stp>
        <tr r="F110" s="1"/>
      </tp>
      <tp t="s">
        <v>↑</v>
        <stp/>
        <stp>Market</stp>
        <stp>INDEX</stp>
        <stp>GOLDMINI.FUT03.OS</stp>
        <stp>現在値ティック</stp>
        <tr r="F111" s="1"/>
      </tp>
    </main>
    <main first="rtdsrv.dff54f4b11dd4e0d9cb19000fb943d8c">
      <tp>
        <v>85.25</v>
        <stp/>
        <stp>Market</stp>
        <stp>INDEX</stp>
        <stp>N225</stp>
        <stp>上場来安値</stp>
        <tr r="Y2" s="1"/>
      </tp>
    </main>
    <main first="rtdsrv.dff54f4b11dd4e0d9cb19000fb943d8c">
      <tp>
        <v>50995.67</v>
        <stp/>
        <stp>Market</stp>
        <stp>INDEX</stp>
        <stp>N225</stp>
        <stp>年初来安値</stp>
        <tr r="W2" s="1"/>
      </tp>
      <tp t="s">
        <v>↓</v>
        <stp/>
        <stp>Market</stp>
        <stp>INDEX</stp>
        <stp>CSI300</stp>
        <stp>現在値ティック</stp>
        <tr r="F71" s="1"/>
      </tp>
      <tp>
        <v>-31.45</v>
        <stp/>
        <stp>Market</stp>
        <stp>INDEX</stp>
        <stp>JGB:FDI</stp>
        <stp>前日比</stp>
        <tr r="G19" s="1"/>
      </tp>
      <tp t="s">
        <v/>
        <stp/>
        <stp>Market</stp>
        <stp>INDEX</stp>
        <stp>TRY/JPY</stp>
        <stp>現在値ティック</stp>
        <tr r="F209" s="1"/>
      </tp>
    </main>
    <main first="rtdsrv.dff54f4b11dd4e0d9cb19000fb943d8c">
      <tp t="s">
        <v>15:30</v>
        <stp/>
        <stp>Market</stp>
        <stp>INDEX</stp>
        <stp>TREIT</stp>
        <stp>安値時刻</stp>
        <tr r="P15" s="1"/>
      </tp>
      <tp t="s">
        <v>09:00</v>
        <stp/>
        <stp>Market</stp>
        <stp>INDEX</stp>
        <stp>TREIT</stp>
        <stp>始値時刻</stp>
        <tr r="N15" s="1"/>
      </tp>
      <tp t="s">
        <v>09:00</v>
        <stp/>
        <stp>Market</stp>
        <stp>INDEX</stp>
        <stp>TREIT</stp>
        <stp>高値時刻</stp>
        <tr r="O15" s="1"/>
      </tp>
    </main>
    <main first="rtdsrv.dff54f4b11dd4e0d9cb19000fb943d8c">
      <tp>
        <v>1448.3751</v>
        <stp/>
        <stp>Market</stp>
        <stp>INDEX</stp>
        <stp>CPQ</stp>
        <stp>前年終値</stp>
        <tr r="U60" s="1"/>
      </tp>
      <tp t="s">
        <v/>
        <stp/>
        <stp>Market</stp>
        <stp>INDEX</stp>
        <stp>GOLDMINI.FUT04.OS</stp>
        <stp>前年終値</stp>
        <tr r="U112" s="1"/>
      </tp>
      <tp t="s">
        <v/>
        <stp/>
        <stp>Market</stp>
        <stp>INDEX</stp>
        <stp>GOLDMINI.FUT05.OS</stp>
        <stp>前年終値</stp>
        <tr r="U113" s="1"/>
      </tp>
      <tp t="s">
        <v/>
        <stp/>
        <stp>Market</stp>
        <stp>INDEX</stp>
        <stp>GOLDMINI.FUT06.OS</stp>
        <stp>前年終値</stp>
        <tr r="U114" s="1"/>
      </tp>
      <tp t="s">
        <v/>
        <stp/>
        <stp>Market</stp>
        <stp>INDEX</stp>
        <stp>GOLDMINI.FUT01.OS</stp>
        <stp>前年終値</stp>
        <tr r="U109" s="1"/>
      </tp>
      <tp t="s">
        <v/>
        <stp/>
        <stp>Market</stp>
        <stp>INDEX</stp>
        <stp>GOLDMINI.FUT02.OS</stp>
        <stp>前年終値</stp>
        <tr r="U110" s="1"/>
      </tp>
      <tp t="s">
        <v/>
        <stp/>
        <stp>Market</stp>
        <stp>INDEX</stp>
        <stp>GOLDMINI.FUT03.OS</stp>
        <stp>前年終値</stp>
        <tr r="U111" s="1"/>
      </tp>
    </main>
    <main first="rtdsrv.dff54f4b11dd4e0d9cb19000fb943d8c">
      <tp t="s">
        <v/>
        <stp/>
        <stp>Market</stp>
        <stp>INDEX</stp>
        <stp>USD/CHF</stp>
        <stp>安値時刻</stp>
        <tr r="P201" s="1"/>
      </tp>
      <tp t="s">
        <v/>
        <stp/>
        <stp>Market</stp>
        <stp>INDEX</stp>
        <stp>USD/CHF</stp>
        <stp>始値時刻</stp>
        <tr r="N201" s="1"/>
      </tp>
      <tp t="s">
        <v/>
        <stp/>
        <stp>Market</stp>
        <stp>INDEX</stp>
        <stp>USD/CHF</stp>
        <stp>高値時刻</stp>
        <tr r="O201" s="1"/>
      </tp>
    </main>
    <main first="rtdsrv.dff54f4b11dd4e0d9cb19000fb943d8c">
      <tp t="s">
        <v/>
        <stp/>
        <stp>Market</stp>
        <stp>INDEX</stp>
        <stp>HKD/JPY</stp>
        <stp>安値時刻</stp>
        <tr r="P195" s="1"/>
      </tp>
      <tp t="s">
        <v/>
        <stp/>
        <stp>Market</stp>
        <stp>INDEX</stp>
        <stp>HKD/JPY</stp>
        <stp>始値時刻</stp>
        <tr r="N195" s="1"/>
      </tp>
      <tp t="s">
        <v/>
        <stp/>
        <stp>Market</stp>
        <stp>INDEX</stp>
        <stp>HKD/JPY</stp>
        <stp>高値時刻</stp>
        <tr r="O195" s="1"/>
      </tp>
    </main>
    <main first="rtdsrv.dff54f4b11dd4e0d9cb19000fb943d8c">
      <tp>
        <v>16542.199000000001</v>
        <stp/>
        <stp>Market</stp>
        <stp>INDEX</stp>
        <stp>NQ100</stp>
        <stp>前年最安値</stp>
        <tr r="T22" s="1"/>
      </tp>
    </main>
    <main first="rtdsrv.dff54f4b11dd4e0d9cb19000fb943d8c">
      <tp>
        <v>0</v>
        <stp/>
        <stp>Market</stp>
        <stp>INDEX</stp>
        <stp>VOLQ</stp>
        <stp>前年最安値</stp>
        <tr r="T64" s="1"/>
      </tp>
      <tp t="s">
        <v>2026/02/10</v>
        <stp/>
        <stp>Market</stp>
        <stp>INDEX</stp>
        <stp>DJIA</stp>
        <stp>上場来高値日付</stp>
        <tr r="Z20" s="1"/>
      </tp>
      <tp t="s">
        <v>1896/08/08</v>
        <stp/>
        <stp>Market</stp>
        <stp>INDEX</stp>
        <stp>DJIA</stp>
        <stp>上場来安値日付</stp>
        <tr r="AA20" s="1"/>
      </tp>
    </main>
    <main first="rtdsrv.dff54f4b11dd4e0d9cb19000fb943d8c">
      <tp t="s">
        <v/>
        <stp/>
        <stp>Market</stp>
        <stp>INDEX</stp>
        <stp>USD/JPY</stp>
        <stp>現在値ティック</stp>
        <tr r="F187" s="1"/>
      </tp>
      <tp t="s">
        <v/>
        <stp/>
        <stp>Market</stp>
        <stp>INDEX</stp>
        <stp>GBP/JPY</stp>
        <stp>前日比</stp>
        <tr r="G189" s="1"/>
      </tp>
      <tp t="s">
        <v/>
        <stp/>
        <stp>Market</stp>
        <stp>INDEX</stp>
        <stp>NZD/CHF</stp>
        <stp>前日比</stp>
        <tr r="G206" s="1"/>
      </tp>
      <tp t="s">
        <v>22:30</v>
        <stp/>
        <stp>Market</stp>
        <stp>INDEX</stp>
        <stp>N225M.FUT05.OS</stp>
        <stp>安値時刻</stp>
        <tr r="P81" s="1"/>
      </tp>
      <tp t="s">
        <v>23:43</v>
        <stp/>
        <stp>Market</stp>
        <stp>INDEX</stp>
        <stp>N225M.FUT04.OS</stp>
        <stp>安値時刻</stp>
        <tr r="P80" s="1"/>
      </tp>
      <tp t="s">
        <v>19:05</v>
        <stp/>
        <stp>Market</stp>
        <stp>INDEX</stp>
        <stp>N225M.FUT05.OS</stp>
        <stp>始値時刻</stp>
        <tr r="N81" s="1"/>
      </tp>
      <tp t="s">
        <v>17:00</v>
        <stp/>
        <stp>Market</stp>
        <stp>INDEX</stp>
        <stp>N225M.FUT04.OS</stp>
        <stp>始値時刻</stp>
        <tr r="N80" s="1"/>
      </tp>
      <tp t="s">
        <v>23:42</v>
        <stp/>
        <stp>Market</stp>
        <stp>INDEX</stp>
        <stp>N225M.FUT01.OS</stp>
        <stp>安値時刻</stp>
        <tr r="P77" s="1"/>
      </tp>
      <tp t="s">
        <v>17:00</v>
        <stp/>
        <stp>Market</stp>
        <stp>INDEX</stp>
        <stp>N225M.FUT03.OS</stp>
        <stp>始値時刻</stp>
        <tr r="N79" s="1"/>
      </tp>
      <tp t="s">
        <v>17:00</v>
        <stp/>
        <stp>Market</stp>
        <stp>INDEX</stp>
        <stp>N225M.FUT02.OS</stp>
        <stp>始値時刻</stp>
        <tr r="N78" s="1"/>
      </tp>
      <tp t="s">
        <v>23:55</v>
        <stp/>
        <stp>Market</stp>
        <stp>INDEX</stp>
        <stp>N225M.FUT03.OS</stp>
        <stp>安値時刻</stp>
        <tr r="P79" s="1"/>
      </tp>
      <tp t="s">
        <v>17:00</v>
        <stp/>
        <stp>Market</stp>
        <stp>INDEX</stp>
        <stp>N225M.FUT01.OS</stp>
        <stp>始値時刻</stp>
        <tr r="N77" s="1"/>
      </tp>
      <tp t="s">
        <v>23:43</v>
        <stp/>
        <stp>Market</stp>
        <stp>INDEX</stp>
        <stp>N225M.FUT02.OS</stp>
        <stp>安値時刻</stp>
        <tr r="P78" s="1"/>
      </tp>
      <tp t="s">
        <v>18:22</v>
        <stp/>
        <stp>Market</stp>
        <stp>INDEX</stp>
        <stp>N225M.FUT04.OS</stp>
        <stp>高値時刻</stp>
        <tr r="O80" s="1"/>
      </tp>
      <tp t="s">
        <v>19:20</v>
        <stp/>
        <stp>Market</stp>
        <stp>INDEX</stp>
        <stp>N225M.FUT05.OS</stp>
        <stp>高値時刻</stp>
        <tr r="O81" s="1"/>
      </tp>
      <tp t="s">
        <v>18:22</v>
        <stp/>
        <stp>Market</stp>
        <stp>INDEX</stp>
        <stp>N225M.FUT01.OS</stp>
        <stp>高値時刻</stp>
        <tr r="O77" s="1"/>
      </tp>
      <tp t="s">
        <v>18:21</v>
        <stp/>
        <stp>Market</stp>
        <stp>INDEX</stp>
        <stp>N225M.FUT02.OS</stp>
        <stp>高値時刻</stp>
        <tr r="O78" s="1"/>
      </tp>
      <tp t="s">
        <v>18:22</v>
        <stp/>
        <stp>Market</stp>
        <stp>INDEX</stp>
        <stp>N225M.FUT03.OS</stp>
        <stp>高値時刻</stp>
        <tr r="O79" s="1"/>
      </tp>
    </main>
    <main first="rtdsrv.dff54f4b11dd4e0d9cb19000fb943d8c">
      <tp>
        <v>876.51</v>
        <stp/>
        <stp>Market</stp>
        <stp>INDEX</stp>
        <stp>TSM20</stp>
        <stp>上場来安値</stp>
        <tr r="Y11" s="1"/>
      </tp>
      <tp t="s">
        <v>2026/02/26</v>
        <stp/>
        <stp>Market</stp>
        <stp>INDEX</stp>
        <stp>N500</stp>
        <stp>上場来高値日付</stp>
        <tr r="Z9" s="1"/>
      </tp>
      <tp t="s">
        <v>1972/01/04</v>
        <stp/>
        <stp>Market</stp>
        <stp>INDEX</stp>
        <stp>N500</stp>
        <stp>上場来安値日付</stp>
        <tr r="AA9" s="1"/>
      </tp>
    </main>
    <main first="rtdsrv.dff54f4b11dd4e0d9cb19000fb943d8c">
      <tp>
        <v>1399.5</v>
        <stp/>
        <stp>Market</stp>
        <stp>INDEX</stp>
        <stp>TSM20</stp>
        <stp>年初来安値</stp>
        <tr r="W11" s="1"/>
      </tp>
      <tp>
        <v>6762.65</v>
        <stp/>
        <stp>Market</stp>
        <stp>INDEX</stp>
        <stp>HSCEI</stp>
        <stp>前年最安値</stp>
        <tr r="T66" s="1"/>
      </tp>
      <tp>
        <v>3423.82</v>
        <stp/>
        <stp>Market</stp>
        <stp>INDEX</stp>
        <stp>HSCCI</stp>
        <stp>前年最安値</stp>
        <tr r="T67" s="1"/>
      </tp>
    </main>
    <main first="rtdsrv.dff54f4b11dd4e0d9cb19000fb943d8c">
      <tp t="s">
        <v/>
        <stp/>
        <stp>Market</stp>
        <stp>INDEX</stp>
        <stp>EUR/GBP</stp>
        <stp>安値</stp>
        <tr r="M203" s="1"/>
      </tp>
      <tp t="s">
        <v/>
        <stp/>
        <stp>Market</stp>
        <stp>INDEX</stp>
        <stp>HKD/JPY</stp>
        <stp>安値</stp>
        <tr r="M195" s="1"/>
      </tp>
      <tp t="s">
        <v/>
        <stp/>
        <stp>Market</stp>
        <stp>INDEX</stp>
        <stp>AUD/CHF</stp>
        <stp>安値</stp>
        <tr r="M205" s="1"/>
      </tp>
    </main>
    <main first="rtdsrv.dff54f4b11dd4e0d9cb19000fb943d8c">
      <tp t="s">
        <v/>
        <stp/>
        <stp>Market</stp>
        <stp>INDEX</stp>
        <stp>MXN/JPY</stp>
        <stp>安値</stp>
        <tr r="M211" s="1"/>
      </tp>
    </main>
    <main first="rtdsrv.dff54f4b11dd4e0d9cb19000fb943d8c">
      <tp t="s">
        <v/>
        <stp/>
        <stp>Market</stp>
        <stp>INDEX</stp>
        <stp>GBP/AUD</stp>
        <stp>安値</stp>
        <tr r="M214" s="1"/>
      </tp>
      <tp t="s">
        <v/>
        <stp/>
        <stp>Market</stp>
        <stp>INDEX</stp>
        <stp>EUR/CHF</stp>
        <stp>安値</stp>
        <tr r="M204" s="1"/>
      </tp>
    </main>
    <main first="rtdsrv.dff54f4b11dd4e0d9cb19000fb943d8c">
      <tp t="s">
        <v>2025/10/10</v>
        <stp/>
        <stp>Market</stp>
        <stp>INDEX</stp>
        <stp>IXF</stp>
        <stp>上場来高値日付</stp>
        <tr r="Z46" s="1"/>
      </tp>
    </main>
    <main first="rtdsrv.dff54f4b11dd4e0d9cb19000fb943d8c">
      <tp t="s">
        <v>1990/10/12</v>
        <stp/>
        <stp>Market</stp>
        <stp>INDEX</stp>
        <stp>IXF</stp>
        <stp>上場来安値日付</stp>
        <tr r="AA46" s="1"/>
      </tp>
      <tp t="s">
        <v/>
        <stp/>
        <stp>Market</stp>
        <stp>INDEX</stp>
        <stp>EUR/AUD</stp>
        <stp>安値</stp>
        <tr r="M213" s="1"/>
      </tp>
      <tp t="s">
        <v/>
        <stp/>
        <stp>Market</stp>
        <stp>INDEX</stp>
        <stp>NZD/JPY</stp>
        <stp>安値</stp>
        <tr r="M191" s="1"/>
      </tp>
      <tp t="s">
        <v/>
        <stp/>
        <stp>Market</stp>
        <stp>INDEX</stp>
        <stp>GBP/CHF</stp>
        <stp>安値</stp>
        <tr r="M202" s="1"/>
      </tp>
      <tp t="s">
        <v/>
        <stp/>
        <stp>Market</stp>
        <stp>INDEX</stp>
        <stp>NOK/JPY</stp>
        <stp>安値</stp>
        <tr r="M208" s="1"/>
      </tp>
    </main>
    <main first="rtdsrv.dff54f4b11dd4e0d9cb19000fb943d8c">
      <tp t="s">
        <v/>
        <stp/>
        <stp>Market</stp>
        <stp>INDEX</stp>
        <stp>AUD/JPY</stp>
        <stp>安値</stp>
        <tr r="M190" s="1"/>
      </tp>
    </main>
    <main first="rtdsrv.dff54f4b11dd4e0d9cb19000fb943d8c">
      <tp>
        <v>236.72</v>
        <stp/>
        <stp>Market</stp>
        <stp>INDEX</stp>
        <stp>BANK</stp>
        <stp>上場来安値</stp>
        <tr r="Y40" s="1"/>
      </tp>
      <tp t="s">
        <v/>
        <stp/>
        <stp>Market</stp>
        <stp>INDEX</stp>
        <stp>CAD/JPY</stp>
        <stp>安値</stp>
        <tr r="M193" s="1"/>
      </tp>
      <tp t="s">
        <v/>
        <stp/>
        <stp>Market</stp>
        <stp>INDEX</stp>
        <stp>CHF/JPY</stp>
        <stp>安値</stp>
        <tr r="M194" s="1"/>
      </tp>
      <tp t="s">
        <v/>
        <stp/>
        <stp>Market</stp>
        <stp>INDEX</stp>
        <stp>CNH/JPY</stp>
        <stp>安値</stp>
        <tr r="M210" s="1"/>
      </tp>
      <tp t="s">
        <v/>
        <stp/>
        <stp>Market</stp>
        <stp>INDEX</stp>
        <stp>EUR/JPY</stp>
        <stp>安値</stp>
        <tr r="M188" s="1"/>
      </tp>
      <tp t="s">
        <v/>
        <stp/>
        <stp>Market</stp>
        <stp>INDEX</stp>
        <stp>AUD/NZD</stp>
        <stp>安値</stp>
        <tr r="M207" s="1"/>
      </tp>
    </main>
    <main first="rtdsrv.dff54f4b11dd4e0d9cb19000fb943d8c">
      <tp t="s">
        <v/>
        <stp/>
        <stp>Market</stp>
        <stp>INDEX</stp>
        <stp>GBP/JPY</stp>
        <stp>安値</stp>
        <tr r="M189" s="1"/>
      </tp>
      <tp t="s">
        <v/>
        <stp/>
        <stp>Market</stp>
        <stp>INDEX</stp>
        <stp>NZD/CHF</stp>
        <stp>安値</stp>
        <tr r="M206" s="1"/>
      </tp>
    </main>
    <main first="rtdsrv.dff54f4b11dd4e0d9cb19000fb943d8c">
      <tp t="s">
        <v/>
        <stp/>
        <stp>Market</stp>
        <stp>INDEX</stp>
        <stp>GBP/USD</stp>
        <stp>安値</stp>
        <tr r="M198" s="1"/>
      </tp>
      <tp t="s">
        <v/>
        <stp/>
        <stp>Market</stp>
        <stp>INDEX</stp>
        <stp>EUR/USD</stp>
        <stp>安値</stp>
        <tr r="M197" s="1"/>
      </tp>
      <tp t="s">
        <v/>
        <stp/>
        <stp>Market</stp>
        <stp>INDEX</stp>
        <stp>ZAR/JPY</stp>
        <stp>安値</stp>
        <tr r="M192" s="1"/>
      </tp>
      <tp t="s">
        <v/>
        <stp/>
        <stp>Market</stp>
        <stp>INDEX</stp>
        <stp>USD/CAD</stp>
        <stp>安値</stp>
        <tr r="M212" s="1"/>
      </tp>
      <tp t="s">
        <v/>
        <stp/>
        <stp>Market</stp>
        <stp>INDEX</stp>
        <stp>USD/CHF</stp>
        <stp>安値</stp>
        <tr r="M201" s="1"/>
      </tp>
      <tp t="s">
        <v/>
        <stp/>
        <stp>Market</stp>
        <stp>INDEX</stp>
        <stp>AUD/USD</stp>
        <stp>安値</stp>
        <tr r="M199" s="1"/>
      </tp>
      <tp t="s">
        <v/>
        <stp/>
        <stp>Market</stp>
        <stp>INDEX</stp>
        <stp>NZD/USD</stp>
        <stp>安値</stp>
        <tr r="M200" s="1"/>
      </tp>
      <tp>
        <v>4555.29</v>
        <stp/>
        <stp>Market</stp>
        <stp>INDEX</stp>
        <stp>BANK</stp>
        <stp>年初来安値</stp>
        <tr r="W40" s="1"/>
      </tp>
      <tp t="s">
        <v/>
        <stp/>
        <stp>Market</stp>
        <stp>INDEX</stp>
        <stp>SGD/JPY</stp>
        <stp>安値</stp>
        <tr r="M196" s="1"/>
      </tp>
      <tp t="s">
        <v/>
        <stp/>
        <stp>Market</stp>
        <stp>INDEX</stp>
        <stp>USD/JPY</stp>
        <stp>安値</stp>
        <tr r="M187" s="1"/>
      </tp>
      <tp t="s">
        <v/>
        <stp/>
        <stp>Market</stp>
        <stp>INDEX</stp>
        <stp>TRY/JPY</stp>
        <stp>安値</stp>
        <tr r="M209" s="1"/>
      </tp>
    </main>
    <main first="rtdsrv.dff54f4b11dd4e0d9cb19000fb943d8c">
      <tp>
        <v>455.6</v>
        <stp/>
        <stp>Market</stp>
        <stp>INDEX</stp>
        <stp>SILVER.FUT05.OS</stp>
        <stp>始値</stp>
        <tr r="K133" s="1"/>
      </tp>
    </main>
    <main first="rtdsrv.dff54f4b11dd4e0d9cb19000fb943d8c">
      <tp t="s">
        <v/>
        <stp/>
        <stp>Market</stp>
        <stp>INDEX</stp>
        <stp>NZD/CHF</stp>
        <stp>上場来安値</stp>
        <tr r="Y206" s="1"/>
      </tp>
      <tp t="s">
        <v/>
        <stp/>
        <stp>Market</stp>
        <stp>INDEX</stp>
        <stp>EUR/GBP</stp>
        <stp>上場来安値</stp>
        <tr r="Y203" s="1"/>
      </tp>
      <tp t="s">
        <v/>
        <stp/>
        <stp>Market</stp>
        <stp>INDEX</stp>
        <stp>AUD/CHF</stp>
        <stp>上場来安値</stp>
        <tr r="Y205" s="1"/>
      </tp>
      <tp t="s">
        <v/>
        <stp/>
        <stp>Market</stp>
        <stp>INDEX</stp>
        <stp>USD/CHF</stp>
        <stp>上場来安値</stp>
        <tr r="Y201" s="1"/>
      </tp>
    </main>
    <main first="rtdsrv.dff54f4b11dd4e0d9cb19000fb943d8c">
      <tp t="s">
        <v/>
        <stp/>
        <stp>Market</stp>
        <stp>INDEX</stp>
        <stp>USD/CHF</stp>
        <stp>年初来安値</stp>
        <tr r="W201" s="1"/>
      </tp>
      <tp t="s">
        <v/>
        <stp/>
        <stp>Market</stp>
        <stp>INDEX</stp>
        <stp>NZD/CHF</stp>
        <stp>年初来安値</stp>
        <tr r="W206" s="1"/>
      </tp>
      <tp t="s">
        <v/>
        <stp/>
        <stp>Market</stp>
        <stp>INDEX</stp>
        <stp>AUD/CHF</stp>
        <stp>年初来安値</stp>
        <tr r="W205" s="1"/>
      </tp>
      <tp t="s">
        <v/>
        <stp/>
        <stp>Market</stp>
        <stp>INDEX</stp>
        <stp>EUR/GBP</stp>
        <stp>年初来安値</stp>
        <tr r="W203" s="1"/>
      </tp>
    </main>
    <main first="rtdsrv.dff54f4b11dd4e0d9cb19000fb943d8c">
      <tp>
        <v>0</v>
        <stp/>
        <stp>Market</stp>
        <stp>INDEX</stp>
        <stp>SILVER.FUT06.OS</stp>
        <stp>安値</stp>
        <tr r="M134" s="1"/>
      </tp>
    </main>
    <main first="rtdsrv.dff54f4b11dd4e0d9cb19000fb943d8c">
      <tp>
        <v>1616.65</v>
        <stp/>
        <stp>Market</stp>
        <stp>INDEX</stp>
        <stp>TREIT</stp>
        <stp>前年最安値</stp>
        <tr r="T15" s="1"/>
      </tp>
    </main>
    <main first="rtdsrv.dff54f4b11dd4e0d9cb19000fb943d8c">
      <tp t="s">
        <v>2021/02/16</v>
        <stp/>
        <stp>Market</stp>
        <stp>INDEX</stp>
        <stp>HXC</stp>
        <stp>上場来高値日付</stp>
        <tr r="Z55" s="1"/>
      </tp>
    </main>
    <main first="rtdsrv.dff54f4b11dd4e0d9cb19000fb943d8c">
      <tp t="s">
        <v>2008/11/20</v>
        <stp/>
        <stp>Market</stp>
        <stp>INDEX</stp>
        <stp>HXC</stp>
        <stp>上場来安値日付</stp>
        <tr r="AA55" s="1"/>
      </tp>
    </main>
    <main first="rtdsrv.dff54f4b11dd4e0d9cb19000fb943d8c">
      <tp t="s">
        <v/>
        <stp/>
        <stp>Market</stp>
        <stp>INDEX</stp>
        <stp>MOT.FUT01.OS</stp>
        <stp>上場来高値日付</stp>
        <tr r="Z91" s="1"/>
      </tp>
      <tp t="s">
        <v/>
        <stp/>
        <stp>Market</stp>
        <stp>INDEX</stp>
        <stp>MOT.FUT02.OS</stp>
        <stp>上場来高値日付</stp>
        <tr r="Z92" s="1"/>
      </tp>
      <tp t="s">
        <v/>
        <stp/>
        <stp>Market</stp>
        <stp>INDEX</stp>
        <stp>MOT.FUT03.OS</stp>
        <stp>上場来高値日付</stp>
        <tr r="Z93" s="1"/>
      </tp>
      <tp t="s">
        <v/>
        <stp/>
        <stp>Market</stp>
        <stp>INDEX</stp>
        <stp>MOT.FUT04.OS</stp>
        <stp>上場来高値日付</stp>
        <tr r="Z94" s="1"/>
      </tp>
      <tp t="s">
        <v/>
        <stp/>
        <stp>Market</stp>
        <stp>INDEX</stp>
        <stp>MOT.FUT05.OS</stp>
        <stp>上場来高値日付</stp>
        <tr r="Z95" s="1"/>
      </tp>
      <tp t="s">
        <v/>
        <stp/>
        <stp>Market</stp>
        <stp>INDEX</stp>
        <stp>MOT.FUT01.OS</stp>
        <stp>上場来安値日付</stp>
        <tr r="AA91" s="1"/>
      </tp>
      <tp t="s">
        <v/>
        <stp/>
        <stp>Market</stp>
        <stp>INDEX</stp>
        <stp>MOT.FUT03.OS</stp>
        <stp>上場来安値日付</stp>
        <tr r="AA93" s="1"/>
      </tp>
      <tp t="s">
        <v/>
        <stp/>
        <stp>Market</stp>
        <stp>INDEX</stp>
        <stp>MOT.FUT02.OS</stp>
        <stp>上場来安値日付</stp>
        <tr r="AA92" s="1"/>
      </tp>
      <tp t="s">
        <v/>
        <stp/>
        <stp>Market</stp>
        <stp>INDEX</stp>
        <stp>MOT.FUT05.OS</stp>
        <stp>上場来安値日付</stp>
        <tr r="AA95" s="1"/>
      </tp>
      <tp t="s">
        <v/>
        <stp/>
        <stp>Market</stp>
        <stp>INDEX</stp>
        <stp>MOT.FUT04.OS</stp>
        <stp>上場来安値日付</stp>
        <tr r="AA94" s="1"/>
      </tp>
    </main>
    <main first="rtdsrv.dff54f4b11dd4e0d9cb19000fb943d8c">
      <tp t="s">
        <v>2018/01/29</v>
        <stp/>
        <stp>Market</stp>
        <stp>INDEX</stp>
        <stp>HSI</stp>
        <stp>上場来高値日付</stp>
        <tr r="Z65" s="1"/>
      </tp>
      <tp t="s">
        <v>1967/08/31</v>
        <stp/>
        <stp>Market</stp>
        <stp>INDEX</stp>
        <stp>HSI</stp>
        <stp>上場来安値日付</stp>
        <tr r="AA65" s="1"/>
      </tp>
    </main>
    <main first="rtdsrv.dff54f4b11dd4e0d9cb19000fb943d8c">
      <tp t="s">
        <v>2024/10/18</v>
        <stp/>
        <stp>Market</stp>
        <stp>INDEX</stp>
        <stp>HGX</stp>
        <stp>上場来高値日付</stp>
        <tr r="Z52" s="1"/>
      </tp>
      <tp t="s">
        <v>2009/03/06</v>
        <stp/>
        <stp>Market</stp>
        <stp>INDEX</stp>
        <stp>HGX</stp>
        <stp>上場来安値日付</stp>
        <tr r="AA52" s="1"/>
      </tp>
    </main>
    <main first="rtdsrv.dff54f4b11dd4e0d9cb19000fb943d8c">
      <tp>
        <v>435</v>
        <stp/>
        <stp>Market</stp>
        <stp>INDEX</stp>
        <stp>SILVER.FUT04.OS</stp>
        <stp>始値</stp>
        <tr r="K132" s="1"/>
      </tp>
    </main>
    <main first="rtdsrv.dff54f4b11dd4e0d9cb19000fb943d8c">
      <tp t="s">
        <v/>
        <stp/>
        <stp>Market</stp>
        <stp>INDEX</stp>
        <stp>EUR/GBP</stp>
        <stp>始値</stp>
        <tr r="K203" s="1"/>
      </tp>
      <tp t="s">
        <v/>
        <stp/>
        <stp>Market</stp>
        <stp>INDEX</stp>
        <stp>HKD/JPY</stp>
        <stp>始値</stp>
        <tr r="K195" s="1"/>
      </tp>
      <tp t="s">
        <v/>
        <stp/>
        <stp>Market</stp>
        <stp>INDEX</stp>
        <stp>AUD/CHF</stp>
        <stp>始値</stp>
        <tr r="K205" s="1"/>
      </tp>
      <tp t="s">
        <v/>
        <stp/>
        <stp>Market</stp>
        <stp>INDEX</stp>
        <stp>EUR/AUD</stp>
        <stp>始値</stp>
        <tr r="K213" s="1"/>
      </tp>
      <tp t="s">
        <v/>
        <stp/>
        <stp>Market</stp>
        <stp>INDEX</stp>
        <stp>NZD/JPY</stp>
        <stp>始値</stp>
        <tr r="K191" s="1"/>
      </tp>
      <tp t="s">
        <v/>
        <stp/>
        <stp>Market</stp>
        <stp>INDEX</stp>
        <stp>GBP/CHF</stp>
        <stp>始値</stp>
        <tr r="K202" s="1"/>
      </tp>
      <tp t="s">
        <v/>
        <stp/>
        <stp>Market</stp>
        <stp>INDEX</stp>
        <stp>NOK/JPY</stp>
        <stp>始値</stp>
        <tr r="K208" s="1"/>
      </tp>
      <tp t="s">
        <v/>
        <stp/>
        <stp>Market</stp>
        <stp>INDEX</stp>
        <stp>MXN/JPY</stp>
        <stp>始値</stp>
        <tr r="K211" s="1"/>
      </tp>
      <tp t="s">
        <v/>
        <stp/>
        <stp>Market</stp>
        <stp>INDEX</stp>
        <stp>GBP/AUD</stp>
        <stp>始値</stp>
        <tr r="K214" s="1"/>
      </tp>
      <tp t="s">
        <v/>
        <stp/>
        <stp>Market</stp>
        <stp>INDEX</stp>
        <stp>EUR/CHF</stp>
        <stp>始値</stp>
        <tr r="K204" s="1"/>
      </tp>
      <tp t="s">
        <v/>
        <stp/>
        <stp>Market</stp>
        <stp>INDEX</stp>
        <stp>SILVER.FUT04.OS</stp>
        <stp>上場来安値</stp>
        <tr r="Y132" s="1"/>
      </tp>
      <tp t="s">
        <v/>
        <stp/>
        <stp>Market</stp>
        <stp>INDEX</stp>
        <stp>CAD/JPY</stp>
        <stp>始値</stp>
        <tr r="K193" s="1"/>
      </tp>
      <tp t="s">
        <v/>
        <stp/>
        <stp>Market</stp>
        <stp>INDEX</stp>
        <stp>CHF/JPY</stp>
        <stp>始値</stp>
        <tr r="K194" s="1"/>
      </tp>
      <tp t="s">
        <v/>
        <stp/>
        <stp>Market</stp>
        <stp>INDEX</stp>
        <stp>CNH/JPY</stp>
        <stp>始値</stp>
        <tr r="K210" s="1"/>
      </tp>
      <tp t="s">
        <v/>
        <stp/>
        <stp>Market</stp>
        <stp>INDEX</stp>
        <stp>SILVER.FUT05.OS</stp>
        <stp>上場来安値</stp>
        <tr r="Y133" s="1"/>
      </tp>
      <tp t="s">
        <v/>
        <stp/>
        <stp>Market</stp>
        <stp>INDEX</stp>
        <stp>SILVER.FUT06.OS</stp>
        <stp>上場来安値</stp>
        <tr r="Y134" s="1"/>
      </tp>
      <tp t="s">
        <v/>
        <stp/>
        <stp>Market</stp>
        <stp>INDEX</stp>
        <stp>AUD/JPY</stp>
        <stp>始値</stp>
        <tr r="K190" s="1"/>
      </tp>
    </main>
    <main first="rtdsrv.dff54f4b11dd4e0d9cb19000fb943d8c">
      <tp t="s">
        <v/>
        <stp/>
        <stp>Market</stp>
        <stp>INDEX</stp>
        <stp>GBP/JPY</stp>
        <stp>始値</stp>
        <tr r="K189" s="1"/>
      </tp>
      <tp t="s">
        <v/>
        <stp/>
        <stp>Market</stp>
        <stp>INDEX</stp>
        <stp>NZD/CHF</stp>
        <stp>始値</stp>
        <tr r="K206" s="1"/>
      </tp>
      <tp t="s">
        <v/>
        <stp/>
        <stp>Market</stp>
        <stp>INDEX</stp>
        <stp>SILVER.FUT01.OS</stp>
        <stp>上場来安値</stp>
        <tr r="Y129" s="1"/>
      </tp>
    </main>
    <main first="rtdsrv.dff54f4b11dd4e0d9cb19000fb943d8c">
      <tp t="s">
        <v/>
        <stp/>
        <stp>Market</stp>
        <stp>INDEX</stp>
        <stp>SILVER.FUT02.OS</stp>
        <stp>上場来安値</stp>
        <tr r="Y130" s="1"/>
      </tp>
      <tp t="s">
        <v/>
        <stp/>
        <stp>Market</stp>
        <stp>INDEX</stp>
        <stp>EUR/JPY</stp>
        <stp>始値</stp>
        <tr r="K188" s="1"/>
      </tp>
      <tp t="s">
        <v/>
        <stp/>
        <stp>Market</stp>
        <stp>INDEX</stp>
        <stp>AUD/NZD</stp>
        <stp>始値</stp>
        <tr r="K207" s="1"/>
      </tp>
    </main>
    <main first="rtdsrv.dff54f4b11dd4e0d9cb19000fb943d8c">
      <tp t="s">
        <v/>
        <stp/>
        <stp>Market</stp>
        <stp>INDEX</stp>
        <stp>SILVER.FUT03.OS</stp>
        <stp>上場来安値</stp>
        <tr r="Y131" s="1"/>
      </tp>
      <tp t="s">
        <v/>
        <stp/>
        <stp>Market</stp>
        <stp>INDEX</stp>
        <stp>EUR/USD</stp>
        <stp>始値</stp>
        <tr r="K197" s="1"/>
      </tp>
      <tp t="s">
        <v/>
        <stp/>
        <stp>Market</stp>
        <stp>INDEX</stp>
        <stp>ZAR/JPY</stp>
        <stp>始値</stp>
        <tr r="K192" s="1"/>
      </tp>
      <tp t="s">
        <v/>
        <stp/>
        <stp>Market</stp>
        <stp>INDEX</stp>
        <stp>GBP/USD</stp>
        <stp>始値</stp>
        <tr r="K198" s="1"/>
      </tp>
      <tp t="s">
        <v/>
        <stp/>
        <stp>Market</stp>
        <stp>INDEX</stp>
        <stp>AUD/USD</stp>
        <stp>始値</stp>
        <tr r="K199" s="1"/>
      </tp>
      <tp t="s">
        <v/>
        <stp/>
        <stp>Market</stp>
        <stp>INDEX</stp>
        <stp>USD/CAD</stp>
        <stp>始値</stp>
        <tr r="K212" s="1"/>
      </tp>
      <tp t="s">
        <v/>
        <stp/>
        <stp>Market</stp>
        <stp>INDEX</stp>
        <stp>USD/CHF</stp>
        <stp>始値</stp>
        <tr r="K201" s="1"/>
      </tp>
      <tp t="s">
        <v/>
        <stp/>
        <stp>Market</stp>
        <stp>INDEX</stp>
        <stp>SGD/JPY</stp>
        <stp>始値</stp>
        <tr r="K196" s="1"/>
      </tp>
      <tp t="s">
        <v/>
        <stp/>
        <stp>Market</stp>
        <stp>INDEX</stp>
        <stp>SILVER.FUT04.OS</stp>
        <stp>年初来安値</stp>
        <tr r="W132" s="1"/>
      </tp>
      <tp t="s">
        <v/>
        <stp/>
        <stp>Market</stp>
        <stp>INDEX</stp>
        <stp>SILVER.FUT05.OS</stp>
        <stp>年初来安値</stp>
        <tr r="W133" s="1"/>
      </tp>
      <tp t="s">
        <v/>
        <stp/>
        <stp>Market</stp>
        <stp>INDEX</stp>
        <stp>NZD/USD</stp>
        <stp>始値</stp>
        <tr r="K200" s="1"/>
      </tp>
      <tp t="s">
        <v/>
        <stp/>
        <stp>Market</stp>
        <stp>INDEX</stp>
        <stp>SILVER.FUT06.OS</stp>
        <stp>年初来安値</stp>
        <tr r="W134" s="1"/>
      </tp>
      <tp t="s">
        <v/>
        <stp/>
        <stp>Market</stp>
        <stp>INDEX</stp>
        <stp>SILVER.FUT01.OS</stp>
        <stp>年初来安値</stp>
        <tr r="W129" s="1"/>
      </tp>
      <tp t="s">
        <v>↓</v>
        <stp/>
        <stp>Market</stp>
        <stp>INDEX</stp>
        <stp>NQROBO</stp>
        <stp>現在値ティック</stp>
        <tr r="F61" s="1"/>
      </tp>
      <tp t="s">
        <v/>
        <stp/>
        <stp>Market</stp>
        <stp>INDEX</stp>
        <stp>USD/JPY</stp>
        <stp>始値</stp>
        <tr r="K187" s="1"/>
      </tp>
      <tp t="s">
        <v/>
        <stp/>
        <stp>Market</stp>
        <stp>INDEX</stp>
        <stp>SILVER.FUT02.OS</stp>
        <stp>年初来安値</stp>
        <tr r="W130" s="1"/>
      </tp>
      <tp t="s">
        <v/>
        <stp/>
        <stp>Market</stp>
        <stp>INDEX</stp>
        <stp>TRY/JPY</stp>
        <stp>始値</stp>
        <tr r="K209" s="1"/>
      </tp>
      <tp t="s">
        <v/>
        <stp/>
        <stp>Market</stp>
        <stp>INDEX</stp>
        <stp>SILVER.FUT03.OS</stp>
        <stp>年初来安値</stp>
        <tr r="W131" s="1"/>
      </tp>
      <tp t="s">
        <v/>
        <stp/>
        <stp>Market</stp>
        <stp>INDEX</stp>
        <stp>N225.FUT04.OS</stp>
        <stp>前年最安値</stp>
        <tr r="T75" s="1"/>
      </tp>
      <tp t="s">
        <v/>
        <stp/>
        <stp>Market</stp>
        <stp>INDEX</stp>
        <stp>N225.FUT05.OS</stp>
        <stp>前年最安値</stp>
        <tr r="T76" s="1"/>
      </tp>
      <tp t="s">
        <v/>
        <stp/>
        <stp>Market</stp>
        <stp>INDEX</stp>
        <stp>N225.FUT01.OS</stp>
        <stp>前年最安値</stp>
        <tr r="T72" s="1"/>
      </tp>
      <tp t="s">
        <v/>
        <stp/>
        <stp>Market</stp>
        <stp>INDEX</stp>
        <stp>N225.FUT02.OS</stp>
        <stp>前年最安値</stp>
        <tr r="T73" s="1"/>
      </tp>
      <tp>
        <v>455.6</v>
        <stp/>
        <stp>Market</stp>
        <stp>INDEX</stp>
        <stp>SILVER.FUT05.OS</stp>
        <stp>安値</stp>
        <tr r="M133" s="1"/>
      </tp>
      <tp t="s">
        <v/>
        <stp/>
        <stp>Market</stp>
        <stp>INDEX</stp>
        <stp>N225.FUT03.OS</stp>
        <stp>前年最安値</stp>
        <tr r="T74" s="1"/>
      </tp>
      <tp t="s">
        <v/>
        <stp/>
        <stp>Market</stp>
        <stp>INDEX</stp>
        <stp>N225M.FUT05.OS</stp>
        <stp>前年最安値</stp>
        <tr r="T81" s="1"/>
      </tp>
      <tp t="s">
        <v/>
        <stp/>
        <stp>Market</stp>
        <stp>INDEX</stp>
        <stp>N225U.FUT04.OS</stp>
        <stp>前年最安値</stp>
        <tr r="T85" s="1"/>
      </tp>
      <tp t="s">
        <v/>
        <stp/>
        <stp>Market</stp>
        <stp>INDEX</stp>
        <stp>N225M.FUT04.OS</stp>
        <stp>前年最安値</stp>
        <tr r="T80" s="1"/>
      </tp>
      <tp t="s">
        <v/>
        <stp/>
        <stp>Market</stp>
        <stp>INDEX</stp>
        <stp>N225U.FUT03.OS</stp>
        <stp>前年最安値</stp>
        <tr r="T84" s="1"/>
      </tp>
      <tp t="s">
        <v/>
        <stp/>
        <stp>Market</stp>
        <stp>INDEX</stp>
        <stp>N225M.FUT03.OS</stp>
        <stp>前年最安値</stp>
        <tr r="T79" s="1"/>
      </tp>
      <tp t="s">
        <v/>
        <stp/>
        <stp>Market</stp>
        <stp>INDEX</stp>
        <stp>N225U.FUT02.OS</stp>
        <stp>前年最安値</stp>
        <tr r="T83" s="1"/>
      </tp>
      <tp t="s">
        <v/>
        <stp/>
        <stp>Market</stp>
        <stp>INDEX</stp>
        <stp>N225M.FUT02.OS</stp>
        <stp>前年最安値</stp>
        <tr r="T78" s="1"/>
      </tp>
      <tp t="s">
        <v/>
        <stp/>
        <stp>Market</stp>
        <stp>INDEX</stp>
        <stp>N225U.FUT01.OS</stp>
        <stp>前年最安値</stp>
        <tr r="T82" s="1"/>
      </tp>
      <tp t="s">
        <v/>
        <stp/>
        <stp>Market</stp>
        <stp>INDEX</stp>
        <stp>N225M.FUT01.OS</stp>
        <stp>前年最安値</stp>
        <tr r="T77" s="1"/>
      </tp>
    </main>
    <main first="rtdsrv.dff54f4b11dd4e0d9cb19000fb943d8c">
      <tp>
        <v>1564.37</v>
        <stp/>
        <stp>Market</stp>
        <stp>INDEX</stp>
        <stp>SIXI</stp>
        <stp>年初来安値</stp>
        <tr r="W34" s="1"/>
      </tp>
    </main>
    <main first="rtdsrv.dff54f4b11dd4e0d9cb19000fb943d8c">
      <tp>
        <v>481.15</v>
        <stp/>
        <stp>Market</stp>
        <stp>INDEX</stp>
        <stp>SIXI</stp>
        <stp>上場来安値</stp>
        <tr r="Y34" s="1"/>
      </tp>
    </main>
    <main first="rtdsrv.dff54f4b11dd4e0d9cb19000fb943d8c">
      <tp t="s">
        <v>JPX国債先物</v>
        <stp/>
        <stp>Market</stp>
        <stp>INDEX</stp>
        <stp>JGB:F</stp>
        <stp>指標名称</stp>
        <tr r="B16" s="1"/>
      </tp>
    </main>
    <main first="rtdsrv.dff54f4b11dd4e0d9cb19000fb943d8c">
      <tp t="s">
        <v/>
        <stp/>
        <stp>Market</stp>
        <stp>INDEX</stp>
        <stp>AUD/NZD</stp>
        <stp>上場来安値</stp>
        <tr r="Y207" s="1"/>
      </tp>
      <tp t="s">
        <v/>
        <stp/>
        <stp>Market</stp>
        <stp>INDEX</stp>
        <stp>TRY/JPY</stp>
        <stp>上場来安値</stp>
        <tr r="Y209" s="1"/>
      </tp>
      <tp t="s">
        <v/>
        <stp/>
        <stp>Market</stp>
        <stp>INDEX</stp>
        <stp>NZD/USD</stp>
        <stp>上場来安値</stp>
        <tr r="Y200" s="1"/>
      </tp>
      <tp t="s">
        <v/>
        <stp/>
        <stp>Market</stp>
        <stp>INDEX</stp>
        <stp>AUD/USD</stp>
        <stp>上場来安値</stp>
        <tr r="Y199" s="1"/>
      </tp>
      <tp t="s">
        <v/>
        <stp/>
        <stp>Market</stp>
        <stp>INDEX</stp>
        <stp>USD/CAD</stp>
        <stp>上場来安値</stp>
        <tr r="Y212" s="1"/>
      </tp>
    </main>
    <main first="rtdsrv.dff54f4b11dd4e0d9cb19000fb943d8c">
      <tp t="s">
        <v/>
        <stp/>
        <stp>Market</stp>
        <stp>INDEX</stp>
        <stp>NZD/USD</stp>
        <stp>年初来安値</stp>
        <tr r="W200" s="1"/>
      </tp>
      <tp t="s">
        <v/>
        <stp/>
        <stp>Market</stp>
        <stp>INDEX</stp>
        <stp>TRY/JPY</stp>
        <stp>年初来安値</stp>
        <tr r="W209" s="1"/>
      </tp>
      <tp t="s">
        <v/>
        <stp/>
        <stp>Market</stp>
        <stp>INDEX</stp>
        <stp>AUD/USD</stp>
        <stp>年初来安値</stp>
        <tr r="W199" s="1"/>
      </tp>
      <tp t="s">
        <v/>
        <stp/>
        <stp>Market</stp>
        <stp>INDEX</stp>
        <stp>USD/CAD</stp>
        <stp>年初来安値</stp>
        <tr r="W212" s="1"/>
      </tp>
      <tp t="s">
        <v/>
        <stp/>
        <stp>Market</stp>
        <stp>INDEX</stp>
        <stp>AUD/NZD</stp>
        <stp>年初来安値</stp>
        <tr r="W207" s="1"/>
      </tp>
    </main>
    <main first="rtdsrv.dff54f4b11dd4e0d9cb19000fb943d8c">
      <tp>
        <v>435</v>
        <stp/>
        <stp>Market</stp>
        <stp>INDEX</stp>
        <stp>SILVER.FUT04.OS</stp>
        <stp>安値</stp>
        <tr r="M132" s="1"/>
      </tp>
    </main>
    <main first="rtdsrv.dff54f4b11dd4e0d9cb19000fb943d8c">
      <tp t="s">
        <v>2026/02/27</v>
        <stp/>
        <stp>Market</stp>
        <stp>INDEX</stp>
        <stp>JGB:F</stp>
        <stp>現在日付</stp>
        <tr r="C16" s="1"/>
      </tp>
    </main>
    <main first="rtdsrv.dff54f4b11dd4e0d9cb19000fb943d8c">
      <tp>
        <v>0</v>
        <stp/>
        <stp>Market</stp>
        <stp>INDEX</stp>
        <stp>SILVER.FUT06.OS</stp>
        <stp>始値</stp>
        <tr r="K134" s="1"/>
      </tp>
    </main>
    <main first="rtdsrv.dff54f4b11dd4e0d9cb19000fb943d8c">
      <tp>
        <v>3844.51</v>
        <stp/>
        <stp>Market</stp>
        <stp>INDEX</stp>
        <stp>N500</stp>
        <stp>前年終値</stp>
        <tr r="U9" s="1"/>
      </tp>
      <tp>
        <v>726.12</v>
        <stp/>
        <stp>Market</stp>
        <stp>INDEX</stp>
        <stp>N300</stp>
        <stp>前年終値</stp>
        <tr r="U3" s="1"/>
      </tp>
    </main>
    <main first="rtdsrv.dff54f4b11dd4e0d9cb19000fb943d8c">
      <tp t="s">
        <v>09:06</v>
        <stp/>
        <stp>Market</stp>
        <stp>INDEX</stp>
        <stp>TSM20</stp>
        <stp>安値時刻</stp>
        <tr r="P11" s="1"/>
      </tp>
      <tp t="s">
        <v>09:00</v>
        <stp/>
        <stp>Market</stp>
        <stp>INDEX</stp>
        <stp>TSM20</stp>
        <stp>始値時刻</stp>
        <tr r="N11" s="1"/>
      </tp>
      <tp t="s">
        <v>15:30</v>
        <stp/>
        <stp>Market</stp>
        <stp>INDEX</stp>
        <stp>TSM20</stp>
        <stp>高値時刻</stp>
        <tr r="O11" s="1"/>
      </tp>
    </main>
    <main first="rtdsrv.dff54f4b11dd4e0d9cb19000fb943d8c">
      <tp>
        <v>0</v>
        <stp/>
        <stp>Market</stp>
        <stp>INDEX</stp>
        <stp>SILVER.FUT03.OS</stp>
        <stp>安値</stp>
        <tr r="M131" s="1"/>
      </tp>
    </main>
    <main first="rtdsrv.dff54f4b11dd4e0d9cb19000fb943d8c">
      <tp>
        <v>185.25</v>
        <stp/>
        <stp>Market</stp>
        <stp>INDEX</stp>
        <stp>IXCO</stp>
        <stp>上場来安値</stp>
        <tr r="Y45" s="1"/>
      </tp>
    </main>
    <main first="rtdsrv.dff54f4b11dd4e0d9cb19000fb943d8c">
      <tp t="s">
        <v/>
        <stp/>
        <stp>Market</stp>
        <stp>INDEX</stp>
        <stp>N225.FUT01.C</stp>
        <stp>前年最安値</stp>
        <tr r="T183" s="1"/>
      </tp>
      <tp t="s">
        <v/>
        <stp/>
        <stp>Market</stp>
        <stp>INDEX</stp>
        <stp>N225.FUT02.C</stp>
        <stp>前年最安値</stp>
        <tr r="T184" s="1"/>
      </tp>
    </main>
    <main first="rtdsrv.dff54f4b11dd4e0d9cb19000fb943d8c">
      <tp>
        <v>21409.57</v>
        <stp/>
        <stp>Market</stp>
        <stp>INDEX</stp>
        <stp>IXCO</stp>
        <stp>年初来安値</stp>
        <tr r="W45" s="1"/>
      </tp>
    </main>
    <main first="rtdsrv.dff54f4b11dd4e0d9cb19000fb943d8c">
      <tp>
        <v>0</v>
        <stp/>
        <stp>Market</stp>
        <stp>INDEX</stp>
        <stp>FTSECA50</stp>
        <stp>始値</stp>
        <tr r="K102" s="1"/>
      </tp>
      <tp>
        <v>762.32</v>
        <stp/>
        <stp>Market</stp>
        <stp>INDEX</stp>
        <stp>EMCLOUD</stp>
        <stp>上場来安値</stp>
        <tr r="Y62" s="1"/>
      </tp>
    </main>
    <main first="rtdsrv.dff54f4b11dd4e0d9cb19000fb943d8c">
      <tp>
        <v>0</v>
        <stp/>
        <stp>Market</stp>
        <stp>INDEX</stp>
        <stp>SILVER.FUT01.OS</stp>
        <stp>始値</stp>
        <tr r="K129" s="1"/>
      </tp>
      <tp>
        <v>1216.22</v>
        <stp/>
        <stp>Market</stp>
        <stp>INDEX</stp>
        <stp>EMCLOUD</stp>
        <stp>年初来安値</stp>
        <tr r="W62" s="1"/>
      </tp>
    </main>
    <main first="rtdsrv.dff54f4b11dd4e0d9cb19000fb943d8c">
      <tp t="s">
        <v>-</v>
        <stp/>
        <stp>Market</stp>
        <stp>INDEX</stp>
        <stp>NQUSST</stp>
        <stp>安値時刻</stp>
        <tr r="P58" s="1"/>
      </tp>
      <tp t="s">
        <v>-</v>
        <stp/>
        <stp>Market</stp>
        <stp>INDEX</stp>
        <stp>NQUSST</stp>
        <stp>始値時刻</stp>
        <tr r="N58" s="1"/>
      </tp>
      <tp t="s">
        <v>-</v>
        <stp/>
        <stp>Market</stp>
        <stp>INDEX</stp>
        <stp>NQUSST</stp>
        <stp>高値時刻</stp>
        <tr r="O58" s="1"/>
      </tp>
      <tp t="s">
        <v/>
        <stp/>
        <stp>Market</stp>
        <stp>INDEX</stp>
        <stp>TOPX.FUT04.OS</stp>
        <stp>上場来高値日付</stp>
        <tr r="Z89" s="1"/>
      </tp>
      <tp t="s">
        <v/>
        <stp/>
        <stp>Market</stp>
        <stp>INDEX</stp>
        <stp>TOPX.FUT05.OS</stp>
        <stp>上場来高値日付</stp>
        <tr r="Z90" s="1"/>
      </tp>
      <tp t="s">
        <v/>
        <stp/>
        <stp>Market</stp>
        <stp>INDEX</stp>
        <stp>TOPX.FUT02.OS</stp>
        <stp>上場来高値日付</stp>
        <tr r="Z87" s="1"/>
      </tp>
      <tp t="s">
        <v/>
        <stp/>
        <stp>Market</stp>
        <stp>INDEX</stp>
        <stp>TOPX.FUT03.OS</stp>
        <stp>上場来高値日付</stp>
        <tr r="Z88" s="1"/>
      </tp>
      <tp t="s">
        <v/>
        <stp/>
        <stp>Market</stp>
        <stp>INDEX</stp>
        <stp>TOPX.FUT01.OS</stp>
        <stp>上場来高値日付</stp>
        <tr r="Z86" s="1"/>
      </tp>
      <tp t="s">
        <v/>
        <stp/>
        <stp>Market</stp>
        <stp>INDEX</stp>
        <stp>TOPX.FUT05.OS</stp>
        <stp>上場来安値日付</stp>
        <tr r="AA90" s="1"/>
      </tp>
      <tp t="s">
        <v/>
        <stp/>
        <stp>Market</stp>
        <stp>INDEX</stp>
        <stp>TOPX.FUT04.OS</stp>
        <stp>上場来安値日付</stp>
        <tr r="AA89" s="1"/>
      </tp>
      <tp t="s">
        <v/>
        <stp/>
        <stp>Market</stp>
        <stp>INDEX</stp>
        <stp>TOPX.FUT03.OS</stp>
        <stp>上場来安値日付</stp>
        <tr r="AA88" s="1"/>
      </tp>
      <tp t="s">
        <v/>
        <stp/>
        <stp>Market</stp>
        <stp>INDEX</stp>
        <stp>TOPX.FUT02.OS</stp>
        <stp>上場来安値日付</stp>
        <tr r="AA87" s="1"/>
      </tp>
      <tp t="s">
        <v/>
        <stp/>
        <stp>Market</stp>
        <stp>INDEX</stp>
        <stp>TOPX.FUT01.OS</stp>
        <stp>上場来安値日付</stp>
        <tr r="AA86" s="1"/>
      </tp>
    </main>
    <main first="rtdsrv.dff54f4b11dd4e0d9cb19000fb943d8c">
      <tp>
        <v>0</v>
        <stp/>
        <stp>Market</stp>
        <stp>INDEX</stp>
        <stp>SILVER.FUT02.OS</stp>
        <stp>安値</stp>
        <tr r="M130" s="1"/>
      </tp>
    </main>
    <main first="rtdsrv.dff54f4b11dd4e0d9cb19000fb943d8c">
      <tp>
        <v>323.14</v>
        <stp/>
        <stp>Market</stp>
        <stp>INDEX</stp>
        <stp>OFIN</stp>
        <stp>上場来安値</stp>
        <tr r="Y42" s="1"/>
      </tp>
    </main>
    <main first="rtdsrv.dff54f4b11dd4e0d9cb19000fb943d8c">
      <tp>
        <v>7470.23</v>
        <stp/>
        <stp>Market</stp>
        <stp>INDEX</stp>
        <stp>TRAN</stp>
        <stp>年初来安値</stp>
        <tr r="W43" s="1"/>
      </tp>
    </main>
    <main first="rtdsrv.dff54f4b11dd4e0d9cb19000fb943d8c">
      <tp>
        <v>12351.07</v>
        <stp/>
        <stp>Market</stp>
        <stp>INDEX</stp>
        <stp>OFIN</stp>
        <stp>年初来安値</stp>
        <tr r="W42" s="1"/>
      </tp>
      <tp>
        <v>251.5</v>
        <stp/>
        <stp>Market</stp>
        <stp>INDEX</stp>
        <stp>TRAN</stp>
        <stp>上場来安値</stp>
        <tr r="Y43" s="1"/>
      </tp>
    </main>
    <main first="rtdsrv.dff54f4b11dd4e0d9cb19000fb943d8c">
      <tp>
        <v>50339.48</v>
        <stp/>
        <stp>Market</stp>
        <stp>INDEX</stp>
        <stp>N225</stp>
        <stp>前年終値</stp>
        <tr r="U2" s="1"/>
      </tp>
    </main>
    <main first="rtdsrv.dff54f4b11dd4e0d9cb19000fb943d8c">
      <tp t="s">
        <v>-</v>
        <stp/>
        <stp>Market</stp>
        <stp>INDEX</stp>
        <stp>SP500</stp>
        <stp>始値時刻</stp>
        <tr r="N24" s="1"/>
      </tp>
      <tp t="s">
        <v>-</v>
        <stp/>
        <stp>Market</stp>
        <stp>INDEX</stp>
        <stp>SP100</stp>
        <stp>始値時刻</stp>
        <tr r="N23" s="1"/>
      </tp>
      <tp t="s">
        <v>-</v>
        <stp/>
        <stp>Market</stp>
        <stp>INDEX</stp>
        <stp>SP500</stp>
        <stp>安値時刻</stp>
        <tr r="P24" s="1"/>
      </tp>
      <tp t="s">
        <v>-</v>
        <stp/>
        <stp>Market</stp>
        <stp>INDEX</stp>
        <stp>SP100</stp>
        <stp>安値時刻</stp>
        <tr r="P23" s="1"/>
      </tp>
      <tp t="s">
        <v>-</v>
        <stp/>
        <stp>Market</stp>
        <stp>INDEX</stp>
        <stp>SP500</stp>
        <stp>高値時刻</stp>
        <tr r="O24" s="1"/>
      </tp>
      <tp t="s">
        <v>-</v>
        <stp/>
        <stp>Market</stp>
        <stp>INDEX</stp>
        <stp>SP100</stp>
        <stp>高値時刻</stp>
        <tr r="O23" s="1"/>
      </tp>
      <tp t="s">
        <v>09:00</v>
        <stp/>
        <stp>Market</stp>
        <stp>INDEX</stp>
        <stp>JN400</stp>
        <stp>安値時刻</stp>
        <tr r="P5" s="1"/>
      </tp>
      <tp t="s">
        <v>09:00</v>
        <stp/>
        <stp>Market</stp>
        <stp>INDEX</stp>
        <stp>JN400</stp>
        <stp>始値時刻</stp>
        <tr r="N5" s="1"/>
      </tp>
      <tp t="s">
        <v>15:11</v>
        <stp/>
        <stp>Market</stp>
        <stp>INDEX</stp>
        <stp>JN400</stp>
        <stp>高値時刻</stp>
        <tr r="O5" s="1"/>
      </tp>
    </main>
    <main first="rtdsrv.dff54f4b11dd4e0d9cb19000fb943d8c">
      <tp t="s">
        <v>-</v>
        <stp/>
        <stp>Market</stp>
        <stp>INDEX</stp>
        <stp>NQ100</stp>
        <stp>始値時刻</stp>
        <tr r="N22" s="1"/>
      </tp>
      <tp t="s">
        <v>-</v>
        <stp/>
        <stp>Market</stp>
        <stp>INDEX</stp>
        <stp>NQ100</stp>
        <stp>安値時刻</stp>
        <tr r="P22" s="1"/>
      </tp>
      <tp t="s">
        <v>-</v>
        <stp/>
        <stp>Market</stp>
        <stp>INDEX</stp>
        <stp>NQ100</stp>
        <stp>高値時刻</stp>
        <tr r="O22" s="1"/>
      </tp>
    </main>
    <main first="rtdsrv.dff54f4b11dd4e0d9cb19000fb943d8c">
      <tp>
        <v>-43.65</v>
        <stp/>
        <stp>Market</stp>
        <stp>INDEX</stp>
        <stp>NQCYBR</stp>
        <stp>前日比</stp>
        <tr r="G59" s="1"/>
      </tp>
    </main>
    <main first="rtdsrv.dff54f4b11dd4e0d9cb19000fb943d8c">
      <tp>
        <v>0</v>
        <stp/>
        <stp>Market</stp>
        <stp>INDEX</stp>
        <stp>FTSECA50</stp>
        <stp>安値</stp>
        <tr r="M102" s="1"/>
      </tp>
      <tp>
        <v>1718.36</v>
        <stp/>
        <stp>Market</stp>
        <stp>INDEX</stp>
        <stp>NQROBO</stp>
        <stp>年初来安値</stp>
        <tr r="W61" s="1"/>
      </tp>
      <tp>
        <v>0</v>
        <stp/>
        <stp>Market</stp>
        <stp>INDEX</stp>
        <stp>SILVER.FUT01.OS</stp>
        <stp>安値</stp>
        <tr r="M129" s="1"/>
      </tp>
    </main>
    <main first="rtdsrv.dff54f4b11dd4e0d9cb19000fb943d8c">
      <tp t="s">
        <v>2026/02/26</v>
        <stp/>
        <stp>Market</stp>
        <stp>INDEX</stp>
        <stp>N300</stp>
        <stp>上場来高値日付</stp>
        <tr r="Z3" s="1"/>
      </tp>
      <tp t="s">
        <v>1982/10/02</v>
        <stp/>
        <stp>Market</stp>
        <stp>INDEX</stp>
        <stp>N300</stp>
        <stp>上場来安値日付</stp>
        <tr r="AA3" s="1"/>
      </tp>
    </main>
    <main first="rtdsrv.dff54f4b11dd4e0d9cb19000fb943d8c">
      <tp>
        <v>791.34</v>
        <stp/>
        <stp>Market</stp>
        <stp>INDEX</stp>
        <stp>NQROBO</stp>
        <stp>上場来安値</stp>
        <tr r="Y61" s="1"/>
      </tp>
    </main>
    <main first="rtdsrv.dff54f4b11dd4e0d9cb19000fb943d8c">
      <tp t="s">
        <v/>
        <stp/>
        <stp>Market</stp>
        <stp>INDEX</stp>
        <stp>TSR20.FUT09.OS</stp>
        <stp>上場来安値</stp>
        <tr r="Y161" s="1"/>
      </tp>
    </main>
    <main first="rtdsrv.dff54f4b11dd4e0d9cb19000fb943d8c">
      <tp t="s">
        <v/>
        <stp/>
        <stp>Market</stp>
        <stp>INDEX</stp>
        <stp>TSR20.FUT08.OS</stp>
        <stp>上場来安値</stp>
        <tr r="Y160" s="1"/>
      </tp>
    </main>
    <main first="rtdsrv.dff54f4b11dd4e0d9cb19000fb943d8c">
      <tp t="s">
        <v/>
        <stp/>
        <stp>Market</stp>
        <stp>INDEX</stp>
        <stp>TSR20.FUT03.OS</stp>
        <stp>上場来安値</stp>
        <tr r="Y155" s="1"/>
      </tp>
      <tp t="s">
        <v/>
        <stp/>
        <stp>Market</stp>
        <stp>INDEX</stp>
        <stp>TSR20.FUT02.OS</stp>
        <stp>上場来安値</stp>
        <tr r="Y154" s="1"/>
      </tp>
    </main>
    <main first="rtdsrv.dff54f4b11dd4e0d9cb19000fb943d8c">
      <tp t="s">
        <v/>
        <stp/>
        <stp>Market</stp>
        <stp>INDEX</stp>
        <stp>TSR20.FUT01.OS</stp>
        <stp>上場来安値</stp>
        <tr r="Y153" s="1"/>
      </tp>
      <tp>
        <v>618.35</v>
        <stp/>
        <stp>Market</stp>
        <stp>INDEX</stp>
        <stp>SIXM</stp>
        <stp>年初来安値</stp>
        <tr r="W29" s="1"/>
      </tp>
      <tp t="s">
        <v/>
        <stp/>
        <stp>Market</stp>
        <stp>INDEX</stp>
        <stp>TSR20.FUT07.OS</stp>
        <stp>上場来安値</stp>
        <tr r="Y159" s="1"/>
      </tp>
      <tp>
        <v>884.6</v>
        <stp/>
        <stp>Market</stp>
        <stp>INDEX</stp>
        <stp>TSGM</stp>
        <stp>年初来安値</stp>
        <tr r="W8" s="1"/>
      </tp>
      <tp>
        <v>1548.22</v>
        <stp/>
        <stp>Market</stp>
        <stp>INDEX</stp>
        <stp>TSSM</stp>
        <stp>年初来安値</stp>
        <tr r="W7" s="1"/>
      </tp>
      <tp>
        <v>1776.65</v>
        <stp/>
        <stp>Market</stp>
        <stp>INDEX</stp>
        <stp>TSPM</stp>
        <stp>年初来安値</stp>
        <tr r="W6" s="1"/>
      </tp>
    </main>
    <main first="rtdsrv.dff54f4b11dd4e0d9cb19000fb943d8c">
      <tp t="s">
        <v/>
        <stp/>
        <stp>Market</stp>
        <stp>INDEX</stp>
        <stp>TSR20.FUT06.OS</stp>
        <stp>上場来安値</stp>
        <tr r="Y158" s="1"/>
      </tp>
      <tp t="s">
        <v>2008/07/02</v>
        <stp/>
        <stp>Market</stp>
        <stp>INDEX</stp>
        <stp>OSX</stp>
        <stp>上場来高値日付</stp>
        <tr r="Z53" s="1"/>
      </tp>
      <tp t="s">
        <v>2020/03/18</v>
        <stp/>
        <stp>Market</stp>
        <stp>INDEX</stp>
        <stp>OSX</stp>
        <stp>上場来安値日付</stp>
        <tr r="AA53" s="1"/>
      </tp>
      <tp t="s">
        <v/>
        <stp/>
        <stp>Market</stp>
        <stp>INDEX</stp>
        <stp>TSR20.FUT05.OS</stp>
        <stp>上場来安値</stp>
        <tr r="Y157" s="1"/>
      </tp>
    </main>
    <main first="rtdsrv.dff54f4b11dd4e0d9cb19000fb943d8c">
      <tp t="s">
        <v/>
        <stp/>
        <stp>Market</stp>
        <stp>INDEX</stp>
        <stp>TSR20.FUT04.OS</stp>
        <stp>上場来安値</stp>
        <tr r="Y156" s="1"/>
      </tp>
    </main>
    <main first="rtdsrv.dff54f4b11dd4e0d9cb19000fb943d8c">
      <tp t="s">
        <v/>
        <stp/>
        <stp>Market</stp>
        <stp>INDEX</stp>
        <stp>TSR20.FUT09.OS</stp>
        <stp>年初来安値</stp>
        <tr r="W161" s="1"/>
      </tp>
      <tp t="s">
        <v/>
        <stp/>
        <stp>Market</stp>
        <stp>INDEX</stp>
        <stp>TSR20.FUT08.OS</stp>
        <stp>年初来安値</stp>
        <tr r="W160" s="1"/>
      </tp>
      <tp t="s">
        <v/>
        <stp/>
        <stp>Market</stp>
        <stp>INDEX</stp>
        <stp>TSR20.FUT03.OS</stp>
        <stp>年初来安値</stp>
        <tr r="W155" s="1"/>
      </tp>
      <tp t="s">
        <v/>
        <stp/>
        <stp>Market</stp>
        <stp>INDEX</stp>
        <stp>TSR20.FUT02.OS</stp>
        <stp>年初来安値</stp>
        <tr r="W154" s="1"/>
      </tp>
      <tp t="s">
        <v/>
        <stp/>
        <stp>Market</stp>
        <stp>INDEX</stp>
        <stp>TSR20.FUT01.OS</stp>
        <stp>年初来安値</stp>
        <tr r="W153" s="1"/>
      </tp>
      <tp>
        <v>215.95</v>
        <stp/>
        <stp>Market</stp>
        <stp>INDEX</stp>
        <stp>SIXM</stp>
        <stp>上場来安値</stp>
        <tr r="Y29" s="1"/>
      </tp>
      <tp>
        <v>624.92999999999995</v>
        <stp/>
        <stp>Market</stp>
        <stp>INDEX</stp>
        <stp>TSGM</stp>
        <stp>上場来安値</stp>
        <tr r="Y8" s="1"/>
      </tp>
      <tp>
        <v>954.1</v>
        <stp/>
        <stp>Market</stp>
        <stp>INDEX</stp>
        <stp>TSSM</stp>
        <stp>上場来安値</stp>
        <tr r="Y7" s="1"/>
      </tp>
      <tp>
        <v>934.07</v>
        <stp/>
        <stp>Market</stp>
        <stp>INDEX</stp>
        <stp>TSPM</stp>
        <stp>上場来安値</stp>
        <tr r="Y6" s="1"/>
      </tp>
      <tp t="s">
        <v/>
        <stp/>
        <stp>Market</stp>
        <stp>INDEX</stp>
        <stp>TSR20.FUT07.OS</stp>
        <stp>年初来安値</stp>
        <tr r="W159" s="1"/>
      </tp>
      <tp t="s">
        <v/>
        <stp/>
        <stp>Market</stp>
        <stp>INDEX</stp>
        <stp>TSR20.FUT06.OS</stp>
        <stp>年初来安値</stp>
        <tr r="W158" s="1"/>
      </tp>
      <tp t="s">
        <v/>
        <stp/>
        <stp>Market</stp>
        <stp>INDEX</stp>
        <stp>TSR20.FUT05.OS</stp>
        <stp>年初来安値</stp>
        <tr r="W157" s="1"/>
      </tp>
    </main>
    <main first="rtdsrv.dff54f4b11dd4e0d9cb19000fb943d8c">
      <tp t="s">
        <v/>
        <stp/>
        <stp>Market</stp>
        <stp>INDEX</stp>
        <stp>TSR20.FUT04.OS</stp>
        <stp>年初来安値</stp>
        <tr r="W156" s="1"/>
      </tp>
      <tp t="s">
        <v/>
        <stp/>
        <stp>Market</stp>
        <stp>INDEX</stp>
        <stp>RSS3.FUT02.OS</stp>
        <stp>上場来高値日付</stp>
        <tr r="Z142" s="1"/>
      </tp>
      <tp t="s">
        <v/>
        <stp/>
        <stp>Market</stp>
        <stp>INDEX</stp>
        <stp>RSS3.FUT03.OS</stp>
        <stp>上場来高値日付</stp>
        <tr r="Z143" s="1"/>
      </tp>
      <tp t="s">
        <v/>
        <stp/>
        <stp>Market</stp>
        <stp>INDEX</stp>
        <stp>RSS3.FUT01.OS</stp>
        <stp>上場来高値日付</stp>
        <tr r="Z141" s="1"/>
      </tp>
      <tp t="s">
        <v/>
        <stp/>
        <stp>Market</stp>
        <stp>INDEX</stp>
        <stp>RSS3.FUT06.OS</stp>
        <stp>上場来高値日付</stp>
        <tr r="Z146" s="1"/>
      </tp>
      <tp t="s">
        <v/>
        <stp/>
        <stp>Market</stp>
        <stp>INDEX</stp>
        <stp>RSS3.FUT07.OS</stp>
        <stp>上場来高値日付</stp>
        <tr r="Z147" s="1"/>
      </tp>
      <tp t="s">
        <v/>
        <stp/>
        <stp>Market</stp>
        <stp>INDEX</stp>
        <stp>RSS3.FUT04.OS</stp>
        <stp>上場来高値日付</stp>
        <tr r="Z144" s="1"/>
      </tp>
      <tp t="s">
        <v/>
        <stp/>
        <stp>Market</stp>
        <stp>INDEX</stp>
        <stp>RSS3.FUT05.OS</stp>
        <stp>上場来高値日付</stp>
        <tr r="Z145" s="1"/>
      </tp>
      <tp t="s">
        <v/>
        <stp/>
        <stp>Market</stp>
        <stp>INDEX</stp>
        <stp>RSS3.FUT08.OS</stp>
        <stp>上場来高値日付</stp>
        <tr r="Z148" s="1"/>
      </tp>
      <tp t="s">
        <v/>
        <stp/>
        <stp>Market</stp>
        <stp>INDEX</stp>
        <stp>RSS3.FUT09.OS</stp>
        <stp>上場来高値日付</stp>
        <tr r="Z149" s="1"/>
      </tp>
      <tp t="s">
        <v/>
        <stp/>
        <stp>Market</stp>
        <stp>INDEX</stp>
        <stp>RSS3.FUT12.OS</stp>
        <stp>上場来高値日付</stp>
        <tr r="Z152" s="1"/>
      </tp>
      <tp t="s">
        <v/>
        <stp/>
        <stp>Market</stp>
        <stp>INDEX</stp>
        <stp>RSS3.FUT10.OS</stp>
        <stp>上場来高値日付</stp>
        <tr r="Z150" s="1"/>
      </tp>
      <tp t="s">
        <v/>
        <stp/>
        <stp>Market</stp>
        <stp>INDEX</stp>
        <stp>RSS3.FUT11.OS</stp>
        <stp>上場来高値日付</stp>
        <tr r="Z151" s="1"/>
      </tp>
      <tp>
        <v>0</v>
        <stp/>
        <stp>Market</stp>
        <stp>INDEX</stp>
        <stp>SILVER.FUT03.OS</stp>
        <stp>始値</stp>
        <tr r="K131" s="1"/>
      </tp>
      <tp t="s">
        <v/>
        <stp/>
        <stp>Market</stp>
        <stp>INDEX</stp>
        <stp>RSS3.FUT12.OS</stp>
        <stp>上場来安値日付</stp>
        <tr r="AA152" s="1"/>
      </tp>
      <tp t="s">
        <v/>
        <stp/>
        <stp>Market</stp>
        <stp>INDEX</stp>
        <stp>RSS3.FUT11.OS</stp>
        <stp>上場来安値日付</stp>
        <tr r="AA151" s="1"/>
      </tp>
      <tp t="s">
        <v/>
        <stp/>
        <stp>Market</stp>
        <stp>INDEX</stp>
        <stp>RSS3.FUT10.OS</stp>
        <stp>上場来安値日付</stp>
        <tr r="AA150" s="1"/>
      </tp>
      <tp t="s">
        <v/>
        <stp/>
        <stp>Market</stp>
        <stp>INDEX</stp>
        <stp>RSS3.FUT03.OS</stp>
        <stp>上場来安値日付</stp>
        <tr r="AA143" s="1"/>
      </tp>
      <tp t="s">
        <v/>
        <stp/>
        <stp>Market</stp>
        <stp>INDEX</stp>
        <stp>RSS3.FUT02.OS</stp>
        <stp>上場来安値日付</stp>
        <tr r="AA142" s="1"/>
      </tp>
      <tp t="s">
        <v/>
        <stp/>
        <stp>Market</stp>
        <stp>INDEX</stp>
        <stp>RSS3.FUT01.OS</stp>
        <stp>上場来安値日付</stp>
        <tr r="AA141" s="1"/>
      </tp>
      <tp t="s">
        <v/>
        <stp/>
        <stp>Market</stp>
        <stp>INDEX</stp>
        <stp>RSS3.FUT07.OS</stp>
        <stp>上場来安値日付</stp>
        <tr r="AA147" s="1"/>
      </tp>
      <tp t="s">
        <v/>
        <stp/>
        <stp>Market</stp>
        <stp>INDEX</stp>
        <stp>RSS3.FUT06.OS</stp>
        <stp>上場来安値日付</stp>
        <tr r="AA146" s="1"/>
      </tp>
      <tp t="s">
        <v/>
        <stp/>
        <stp>Market</stp>
        <stp>INDEX</stp>
        <stp>RSS3.FUT05.OS</stp>
        <stp>上場来安値日付</stp>
        <tr r="AA145" s="1"/>
      </tp>
      <tp t="s">
        <v/>
        <stp/>
        <stp>Market</stp>
        <stp>INDEX</stp>
        <stp>RSS3.FUT04.OS</stp>
        <stp>上場来安値日付</stp>
        <tr r="AA144" s="1"/>
      </tp>
      <tp t="s">
        <v/>
        <stp/>
        <stp>Market</stp>
        <stp>INDEX</stp>
        <stp>RSS3.FUT09.OS</stp>
        <stp>上場来安値日付</stp>
        <tr r="AA149" s="1"/>
      </tp>
      <tp t="s">
        <v/>
        <stp/>
        <stp>Market</stp>
        <stp>INDEX</stp>
        <stp>RSS3.FUT08.OS</stp>
        <stp>上場来安値日付</stp>
        <tr r="AA148" s="1"/>
      </tp>
    </main>
    <main first="rtdsrv.dff54f4b11dd4e0d9cb19000fb943d8c">
      <tp t="s">
        <v/>
        <stp/>
        <stp>Market</stp>
        <stp>INDEX</stp>
        <stp>CORN.FUT06.OS</stp>
        <stp>上場来高値日付</stp>
        <tr r="Z182" s="1"/>
      </tp>
      <tp t="s">
        <v/>
        <stp/>
        <stp>Market</stp>
        <stp>INDEX</stp>
        <stp>CORN.FUT04.OS</stp>
        <stp>上場来高値日付</stp>
        <tr r="Z180" s="1"/>
      </tp>
      <tp t="s">
        <v/>
        <stp/>
        <stp>Market</stp>
        <stp>INDEX</stp>
        <stp>CORN.FUT05.OS</stp>
        <stp>上場来高値日付</stp>
        <tr r="Z181" s="1"/>
      </tp>
      <tp t="s">
        <v/>
        <stp/>
        <stp>Market</stp>
        <stp>INDEX</stp>
        <stp>CORN.FUT02.OS</stp>
        <stp>上場来高値日付</stp>
        <tr r="Z178" s="1"/>
      </tp>
      <tp t="s">
        <v/>
        <stp/>
        <stp>Market</stp>
        <stp>INDEX</stp>
        <stp>CORN.FUT03.OS</stp>
        <stp>上場来高値日付</stp>
        <tr r="Z179" s="1"/>
      </tp>
      <tp t="s">
        <v/>
        <stp/>
        <stp>Market</stp>
        <stp>INDEX</stp>
        <stp>CORN.FUT01.OS</stp>
        <stp>上場来高値日付</stp>
        <tr r="Z177" s="1"/>
      </tp>
      <tp t="s">
        <v/>
        <stp/>
        <stp>Market</stp>
        <stp>INDEX</stp>
        <stp>CORN.FUT06.OS</stp>
        <stp>上場来安値日付</stp>
        <tr r="AA182" s="1"/>
      </tp>
      <tp t="s">
        <v/>
        <stp/>
        <stp>Market</stp>
        <stp>INDEX</stp>
        <stp>CORN.FUT05.OS</stp>
        <stp>上場来安値日付</stp>
        <tr r="AA181" s="1"/>
      </tp>
      <tp t="s">
        <v/>
        <stp/>
        <stp>Market</stp>
        <stp>INDEX</stp>
        <stp>CORN.FUT04.OS</stp>
        <stp>上場来安値日付</stp>
        <tr r="AA180" s="1"/>
      </tp>
      <tp t="s">
        <v/>
        <stp/>
        <stp>Market</stp>
        <stp>INDEX</stp>
        <stp>CORN.FUT03.OS</stp>
        <stp>上場来安値日付</stp>
        <tr r="AA179" s="1"/>
      </tp>
      <tp t="s">
        <v/>
        <stp/>
        <stp>Market</stp>
        <stp>INDEX</stp>
        <stp>CORN.FUT02.OS</stp>
        <stp>上場来安値日付</stp>
        <tr r="AA178" s="1"/>
      </tp>
      <tp t="s">
        <v/>
        <stp/>
        <stp>Market</stp>
        <stp>INDEX</stp>
        <stp>CORN.FUT01.OS</stp>
        <stp>上場来安値日付</stp>
        <tr r="AA177" s="1"/>
      </tp>
    </main>
    <main first="rtdsrv.dff54f4b11dd4e0d9cb19000fb943d8c">
      <tp>
        <v>46.35</v>
        <stp/>
        <stp>Market</stp>
        <stp>INDEX</stp>
        <stp>SP100</stp>
        <stp>上場来安値</stp>
        <tr r="Y23" s="1"/>
      </tp>
      <tp>
        <v>38.979999999999997</v>
        <stp/>
        <stp>Market</stp>
        <stp>INDEX</stp>
        <stp>SP500</stp>
        <stp>上場来安値</stp>
        <tr r="Y24" s="1"/>
      </tp>
      <tp>
        <v>6775.5</v>
        <stp/>
        <stp>Market</stp>
        <stp>INDEX</stp>
        <stp>SP500</stp>
        <stp>年初来安値</stp>
        <tr r="W24" s="1"/>
      </tp>
      <tp>
        <v>3307.05</v>
        <stp/>
        <stp>Market</stp>
        <stp>INDEX</stp>
        <stp>SP100</stp>
        <stp>年初来安値</stp>
        <tr r="W23" s="1"/>
      </tp>
    </main>
    <main first="rtdsrv.dff54f4b11dd4e0d9cb19000fb943d8c">
      <tp t="s">
        <v>2026/02/26</v>
        <stp/>
        <stp>Market</stp>
        <stp>INDEX</stp>
        <stp>N225</stp>
        <stp>上場来高値日付</stp>
        <tr r="Z2" s="1"/>
      </tp>
      <tp t="s">
        <v>1950/07/06</v>
        <stp/>
        <stp>Market</stp>
        <stp>INDEX</stp>
        <stp>N225</stp>
        <stp>上場来安値日付</stp>
        <tr r="AA2" s="1"/>
      </tp>
    </main>
    <main first="rtdsrv.dff54f4b11dd4e0d9cb19000fb943d8c">
      <tp t="s">
        <v>2024/08/05</v>
        <stp/>
        <stp>Market</stp>
        <stp>INDEX</stp>
        <stp>NVI</stp>
        <stp>上場来高値日付</stp>
        <tr r="Z14" s="1"/>
      </tp>
      <tp t="s">
        <v>2017/07/27</v>
        <stp/>
        <stp>Market</stp>
        <stp>INDEX</stp>
        <stp>NVI</stp>
        <stp>上場来安値日付</stp>
        <tr r="AA14" s="1"/>
      </tp>
      <tp t="s">
        <v/>
        <stp/>
        <stp>Market</stp>
        <stp>INDEX</stp>
        <stp>TSR20.FUT12.OS</stp>
        <stp>上場来安値</stp>
        <tr r="Y164" s="1"/>
      </tp>
    </main>
    <main first="rtdsrv.dff54f4b11dd4e0d9cb19000fb943d8c">
      <tp t="s">
        <v/>
        <stp/>
        <stp>Market</stp>
        <stp>INDEX</stp>
        <stp>TSR20.FUT11.OS</stp>
        <stp>上場来安値</stp>
        <tr r="Y163" s="1"/>
      </tp>
      <tp t="s">
        <v/>
        <stp/>
        <stp>Market</stp>
        <stp>INDEX</stp>
        <stp>TSR20.FUT10.OS</stp>
        <stp>上場来安値</stp>
        <tr r="Y162" s="1"/>
      </tp>
    </main>
    <main first="rtdsrv.dff54f4b11dd4e0d9cb19000fb943d8c">
      <tp t="s">
        <v/>
        <stp/>
        <stp>Market</stp>
        <stp>INDEX</stp>
        <stp>GOLD.SPOT.OS</stp>
        <stp>上場来高値日付</stp>
        <tr r="Z115" s="1"/>
      </tp>
      <tp t="s">
        <v/>
        <stp/>
        <stp>Market</stp>
        <stp>INDEX</stp>
        <stp>GOLD.SPOT.OS</stp>
        <stp>上場来安値日付</stp>
        <tr r="AA115" s="1"/>
      </tp>
      <tp t="s">
        <v>2026/01/22</v>
        <stp/>
        <stp>Market</stp>
        <stp>INDEX</stp>
        <stp>NGX</stp>
        <stp>上場来高値日付</stp>
        <tr r="Z63" s="1"/>
      </tp>
      <tp t="s">
        <v/>
        <stp/>
        <stp>Market</stp>
        <stp>INDEX</stp>
        <stp>TSR20.FUT12.OS</stp>
        <stp>年初来安値</stp>
        <tr r="W164" s="1"/>
      </tp>
      <tp t="s">
        <v>2022/10/13</v>
        <stp/>
        <stp>Market</stp>
        <stp>INDEX</stp>
        <stp>NGX</stp>
        <stp>上場来安値日付</stp>
        <tr r="AA63" s="1"/>
      </tp>
      <tp t="s">
        <v/>
        <stp/>
        <stp>Market</stp>
        <stp>INDEX</stp>
        <stp>TSR20.FUT11.OS</stp>
        <stp>年初来安値</stp>
        <tr r="W163" s="1"/>
      </tp>
      <tp t="s">
        <v/>
        <stp/>
        <stp>Market</stp>
        <stp>INDEX</stp>
        <stp>TSR20.FUT10.OS</stp>
        <stp>年初来安値</stp>
        <tr r="W162" s="1"/>
      </tp>
      <tp t="s">
        <v>2026/02/25</v>
        <stp/>
        <stp>Market</stp>
        <stp>INDEX</stp>
        <stp>NBI</stp>
        <stp>上場来高値日付</stp>
        <tr r="Z47" s="1"/>
      </tp>
      <tp t="s">
        <v>1994/06/24</v>
        <stp/>
        <stp>Market</stp>
        <stp>INDEX</stp>
        <stp>NBI</stp>
        <stp>上場来安値日付</stp>
        <tr r="AA47" s="1"/>
      </tp>
      <tp>
        <v>0</v>
        <stp/>
        <stp>Market</stp>
        <stp>INDEX</stp>
        <stp>SILVER.FUT02.OS</stp>
        <stp>始値</stp>
        <tr r="K130" s="1"/>
      </tp>
    </main>
    <main first="rtdsrv.dff54f4b11dd4e0d9cb19000fb943d8c">
      <tp>
        <v>0</v>
        <stp/>
        <stp>Market</stp>
        <stp>INDEX</stp>
        <stp>PLATINUM.FUT01.OS</stp>
        <stp>始値</stp>
        <tr r="K116" s="1"/>
      </tp>
    </main>
    <main first="rtdsrv.dff54f4b11dd4e0d9cb19000fb943d8c">
      <tp t="s">
        <v/>
        <stp/>
        <stp>Market</stp>
        <stp>INDEX</stp>
        <stp>EUR/JPY</stp>
        <stp>上場来安値</stp>
        <tr r="Y188" s="1"/>
      </tp>
      <tp t="s">
        <v/>
        <stp/>
        <stp>Market</stp>
        <stp>INDEX</stp>
        <stp>ZAR/JPY</stp>
        <stp>上場来安値</stp>
        <tr r="Y192" s="1"/>
      </tp>
    </main>
    <main first="rtdsrv.dff54f4b11dd4e0d9cb19000fb943d8c">
      <tp>
        <v>0</v>
        <stp/>
        <stp>Market</stp>
        <stp>INDEX</stp>
        <stp>JGB:FDI</stp>
        <stp>年初来安値</stp>
        <tr r="W19" s="1"/>
      </tp>
    </main>
    <main first="rtdsrv.dff54f4b11dd4e0d9cb19000fb943d8c">
      <tp t="s">
        <v/>
        <stp/>
        <stp>Market</stp>
        <stp>INDEX</stp>
        <stp>ZAR/JPY</stp>
        <stp>年初来安値</stp>
        <tr r="W192" s="1"/>
      </tp>
    </main>
    <main first="rtdsrv.dff54f4b11dd4e0d9cb19000fb943d8c">
      <tp t="s">
        <v/>
        <stp/>
        <stp>Market</stp>
        <stp>INDEX</stp>
        <stp>EUR/JPY</stp>
        <stp>年初来安値</stp>
        <tr r="W188" s="1"/>
      </tp>
    </main>
    <main first="rtdsrv.dff54f4b11dd4e0d9cb19000fb943d8c">
      <tp>
        <v>0</v>
        <stp/>
        <stp>Market</stp>
        <stp>INDEX</stp>
        <stp>JGB:FDI</stp>
        <stp>上場来安値</stp>
        <tr r="Y19" s="1"/>
      </tp>
      <tp>
        <v>26814</v>
        <stp/>
        <stp>Market</stp>
        <stp>INDEX</stp>
        <stp>GOLDMINI.FUT05.OS</stp>
        <stp>始値</stp>
        <tr r="K113" s="1"/>
      </tp>
    </main>
    <main first="rtdsrv.dff54f4b11dd4e0d9cb19000fb943d8c">
      <tp>
        <v>167.85</v>
        <stp/>
        <stp>Market</stp>
        <stp>INDEX</stp>
        <stp>IXHC</stp>
        <stp>上場来安値</stp>
        <tr r="Y48" s="1"/>
      </tp>
      <tp>
        <v>13.87</v>
        <stp/>
        <stp>Market</stp>
        <stp>INDEX</stp>
        <stp>IXTC</stp>
        <stp>上場来安値</stp>
        <tr r="Y44" s="1"/>
      </tp>
      <tp>
        <v>11424</v>
        <stp/>
        <stp>Market</stp>
        <stp>INDEX</stp>
        <stp>PLATINUM.FUT03.OS</stp>
        <stp>安値</stp>
        <tr r="M118" s="1"/>
      </tp>
      <tp>
        <v>591.39</v>
        <stp/>
        <stp>Market</stp>
        <stp>INDEX</stp>
        <stp>SIXC</stp>
        <stp>年初来安値</stp>
        <tr r="W33" s="1"/>
      </tp>
      <tp>
        <v>3983.5758999999998</v>
        <stp/>
        <stp>Market</stp>
        <stp>INDEX</stp>
        <stp>SSEC</stp>
        <stp>年初来安値</stp>
        <tr r="W68" s="1"/>
      </tp>
      <tp>
        <v>1162.32</v>
        <stp/>
        <stp>Market</stp>
        <stp>INDEX</stp>
        <stp>IXHC</stp>
        <stp>年初来安値</stp>
        <tr r="W48" s="1"/>
      </tp>
      <tp>
        <v>488.6</v>
        <stp/>
        <stp>Market</stp>
        <stp>INDEX</stp>
        <stp>IXTC</stp>
        <stp>年初来安値</stp>
        <tr r="W44" s="1"/>
      </tp>
      <tp>
        <v>325.92200000000003</v>
        <stp/>
        <stp>Market</stp>
        <stp>INDEX</stp>
        <stp>SSEC</stp>
        <stp>上場来安値</stp>
        <tr r="Y68" s="1"/>
      </tp>
      <tp>
        <v>202.22</v>
        <stp/>
        <stp>Market</stp>
        <stp>INDEX</stp>
        <stp>SIXC</stp>
        <stp>上場来安値</stp>
        <tr r="Y33" s="1"/>
      </tp>
    </main>
    <main first="rtdsrv.dff54f4b11dd4e0d9cb19000fb943d8c">
      <tp t="s">
        <v>S&amp;P100指数</v>
        <stp/>
        <stp>Market</stp>
        <stp>INDEX</stp>
        <stp>SP100</stp>
        <stp>指標名称</stp>
        <tr r="B23" s="1"/>
      </tp>
      <tp t="s">
        <v>S&amp;P500指数</v>
        <stp/>
        <stp>Market</stp>
        <stp>INDEX</stp>
        <stp>SP500</stp>
        <stp>指標名称</stp>
        <tr r="B24" s="1"/>
      </tp>
      <tp t="s">
        <v>NASDAQ100</v>
        <stp/>
        <stp>Market</stp>
        <stp>INDEX</stp>
        <stp>NQ100</stp>
        <stp>指標名称</stp>
        <tr r="B22" s="1"/>
      </tp>
      <tp t="s">
        <v>JPX日経400</v>
        <stp/>
        <stp>Market</stp>
        <stp>INDEX</stp>
        <stp>JN400</stp>
        <stp>指標名称</stp>
        <tr r="B5" s="1"/>
      </tp>
    </main>
    <main first="rtdsrv.dff54f4b11dd4e0d9cb19000fb943d8c">
      <tp t="s">
        <v/>
        <stp/>
        <stp>Market</stp>
        <stp>INDEX</stp>
        <stp>FTSECA50</stp>
        <stp>現在値ティック</stp>
        <tr r="F102" s="1"/>
      </tp>
    </main>
    <main first="rtdsrv.dff54f4b11dd4e0d9cb19000fb943d8c">
      <tp>
        <v>26523</v>
        <stp/>
        <stp>Market</stp>
        <stp>INDEX</stp>
        <stp>GOLDMINI.FUT04.OS</stp>
        <stp>始値</stp>
        <tr r="K112" s="1"/>
      </tp>
    </main>
    <main first="rtdsrv.dff54f4b11dd4e0d9cb19000fb943d8c">
      <tp>
        <v>0</v>
        <stp/>
        <stp>Market</stp>
        <stp>INDEX</stp>
        <stp>PLATINUM.FUT02.OS</stp>
        <stp>安値</stp>
        <tr r="M117" s="1"/>
      </tp>
      <tp>
        <v>962.36</v>
        <stp/>
        <stp>Market</stp>
        <stp>INDEX</stp>
        <stp>SIXB</stp>
        <stp>年初来安値</stp>
        <tr r="W27" s="1"/>
      </tp>
      <tp t="s">
        <v>2026/02/27</v>
        <stp/>
        <stp>Market</stp>
        <stp>INDEX</stp>
        <stp>JN400</stp>
        <stp>現在日付</stp>
        <tr r="C5" s="1"/>
      </tp>
      <tp t="s">
        <v>2026/02/28</v>
        <stp/>
        <stp>Market</stp>
        <stp>INDEX</stp>
        <stp>NQ100</stp>
        <stp>現在日付</stp>
        <tr r="C22" s="1"/>
      </tp>
      <tp t="s">
        <v>2026/02/28</v>
        <stp/>
        <stp>Market</stp>
        <stp>INDEX</stp>
        <stp>SP500</stp>
        <stp>現在日付</stp>
        <tr r="C24" s="1"/>
      </tp>
      <tp t="s">
        <v>2026/02/28</v>
        <stp/>
        <stp>Market</stp>
        <stp>INDEX</stp>
        <stp>SP100</stp>
        <stp>現在日付</stp>
        <tr r="C23" s="1"/>
      </tp>
      <tp>
        <v>404.71</v>
        <stp/>
        <stp>Market</stp>
        <stp>INDEX</stp>
        <stp>SIXB</stp>
        <stp>上場来安値</stp>
        <tr r="Y27" s="1"/>
      </tp>
      <tp>
        <v>27000</v>
        <stp/>
        <stp>Market</stp>
        <stp>INDEX</stp>
        <stp>GOLDMINI.FUT06.OS</stp>
        <stp>安値</stp>
        <tr r="M114" s="1"/>
      </tp>
    </main>
    <main first="rtdsrv.dff54f4b11dd4e0d9cb19000fb943d8c">
      <tp t="s">
        <v>NASDAQ米国小型株トータルリターン指数</v>
        <stp/>
        <stp>Market</stp>
        <stp>INDEX</stp>
        <stp>NQUSST</stp>
        <stp>指標名称</stp>
        <tr r="B58" s="1"/>
      </tp>
      <tp>
        <v>11424</v>
        <stp/>
        <stp>Market</stp>
        <stp>INDEX</stp>
        <stp>PLATINUM.FUT03.OS</stp>
        <stp>始値</stp>
        <tr r="K118" s="1"/>
      </tp>
      <tp t="s">
        <v/>
        <stp/>
        <stp>Market</stp>
        <stp>INDEX</stp>
        <stp>GBP/JPY</stp>
        <stp>上場来安値</stp>
        <tr r="Y189" s="1"/>
      </tp>
    </main>
    <main first="rtdsrv.dff54f4b11dd4e0d9cb19000fb943d8c">
      <tp t="s">
        <v/>
        <stp/>
        <stp>Market</stp>
        <stp>INDEX</stp>
        <stp>GBP/JPY</stp>
        <stp>年初来安値</stp>
        <tr r="W189" s="1"/>
      </tp>
    </main>
    <main first="rtdsrv.dff54f4b11dd4e0d9cb19000fb943d8c">
      <tp t="s">
        <v>2026/02/28</v>
        <stp/>
        <stp>Market</stp>
        <stp>INDEX</stp>
        <stp>NQUSST</stp>
        <stp>現在日付</stp>
        <tr r="C58" s="1"/>
      </tp>
      <tp>
        <v>0</v>
        <stp/>
        <stp>Market</stp>
        <stp>INDEX</stp>
        <stp>PLATINUM.FUT01.OS</stp>
        <stp>安値</stp>
        <tr r="M116" s="1"/>
      </tp>
      <tp>
        <v>4176.8195999999998</v>
        <stp/>
        <stp>Market</stp>
        <stp>INDEX</stp>
        <stp>SSEA</stp>
        <stp>年初来安値</stp>
        <tr r="W69" s="1"/>
      </tp>
      <tp>
        <v>28.48</v>
        <stp/>
        <stp>Market</stp>
        <stp>INDEX</stp>
        <stp>DJIA</stp>
        <stp>上場来安値</stp>
        <tr r="Y20" s="1"/>
      </tp>
      <tp t="s">
        <v>2025/11/03</v>
        <stp/>
        <stp>Market</stp>
        <stp>INDEX</stp>
        <stp>CPQ</stp>
        <stp>上場来高値日付</stp>
        <tr r="Z60" s="1"/>
      </tp>
      <tp t="s">
        <v>2011/08/19</v>
        <stp/>
        <stp>Market</stp>
        <stp>INDEX</stp>
        <stp>CPQ</stp>
        <stp>上場来安値日付</stp>
        <tr r="AA60" s="1"/>
      </tp>
      <tp>
        <v>1935.5909999999999</v>
        <stp/>
        <stp>Market</stp>
        <stp>INDEX</stp>
        <stp>SSEA</stp>
        <stp>上場来安値</stp>
        <tr r="Y69" s="1"/>
      </tp>
      <tp>
        <v>47853.04</v>
        <stp/>
        <stp>Market</stp>
        <stp>INDEX</stp>
        <stp>DJIA</stp>
        <stp>年初来安値</stp>
        <tr r="W20" s="1"/>
      </tp>
      <tp>
        <v>26755</v>
        <stp/>
        <stp>Market</stp>
        <stp>INDEX</stp>
        <stp>GOLDMINI.FUT05.OS</stp>
        <stp>安値</stp>
        <tr r="M113" s="1"/>
      </tp>
    </main>
    <main first="rtdsrv.dff54f4b11dd4e0d9cb19000fb943d8c">
      <tp t="s">
        <v>東証スタンダード市場TOP20</v>
        <stp/>
        <stp>Market</stp>
        <stp>INDEX</stp>
        <stp>TSM20</stp>
        <stp>指標名称</stp>
        <tr r="B11" s="1"/>
      </tp>
      <tp>
        <v>0</v>
        <stp/>
        <stp>Market</stp>
        <stp>INDEX</stp>
        <stp>PLATINUM.FUT02.OS</stp>
        <stp>始値</stp>
        <tr r="K117" s="1"/>
      </tp>
      <tp t="s">
        <v>↓</v>
        <stp/>
        <stp>Market</stp>
        <stp>INDEX</stp>
        <stp>N225M.FUT03.OS</stp>
        <stp>現在値ティック</stp>
        <tr r="F79" s="1"/>
      </tp>
      <tp t="s">
        <v>↓</v>
        <stp/>
        <stp>Market</stp>
        <stp>INDEX</stp>
        <stp>N225M.FUT02.OS</stp>
        <stp>現在値ティック</stp>
        <tr r="F78" s="1"/>
      </tp>
      <tp t="s">
        <v>↑</v>
        <stp/>
        <stp>Market</stp>
        <stp>INDEX</stp>
        <stp>N225M.FUT01.OS</stp>
        <stp>現在値ティック</stp>
        <tr r="F77" s="1"/>
      </tp>
      <tp t="s">
        <v>↑</v>
        <stp/>
        <stp>Market</stp>
        <stp>INDEX</stp>
        <stp>N225M.FUT05.OS</stp>
        <stp>現在値ティック</stp>
        <tr r="F81" s="1"/>
      </tp>
      <tp t="s">
        <v>↑</v>
        <stp/>
        <stp>Market</stp>
        <stp>INDEX</stp>
        <stp>N225M.FUT04.OS</stp>
        <stp>現在値ティック</stp>
        <tr r="F80" s="1"/>
      </tp>
    </main>
    <main first="rtdsrv.dff54f4b11dd4e0d9cb19000fb943d8c">
      <tp t="s">
        <v>↑</v>
        <stp/>
        <stp>Market</stp>
        <stp>INDEX</stp>
        <stp>N225U.FUT03.OS</stp>
        <stp>現在値ティック</stp>
        <tr r="F84" s="1"/>
      </tp>
      <tp t="s">
        <v>↑</v>
        <stp/>
        <stp>Market</stp>
        <stp>INDEX</stp>
        <stp>N225U.FUT02.OS</stp>
        <stp>現在値ティック</stp>
        <tr r="F83" s="1"/>
      </tp>
      <tp t="s">
        <v>↑</v>
        <stp/>
        <stp>Market</stp>
        <stp>INDEX</stp>
        <stp>N225U.FUT01.OS</stp>
        <stp>現在値ティック</stp>
        <tr r="F82" s="1"/>
      </tp>
      <tp t="s">
        <v>↓</v>
        <stp/>
        <stp>Market</stp>
        <stp>INDEX</stp>
        <stp>N225U.FUT04.OS</stp>
        <stp>現在値ティック</stp>
        <tr r="F85" s="1"/>
      </tp>
    </main>
    <main first="rtdsrv.dff54f4b11dd4e0d9cb19000fb943d8c">
      <tp>
        <v>27091.5</v>
        <stp/>
        <stp>Market</stp>
        <stp>INDEX</stp>
        <stp>GOLDMINI.FUT06.OS</stp>
        <stp>始値</stp>
        <tr r="K114" s="1"/>
      </tp>
    </main>
    <main first="rtdsrv.dff54f4b11dd4e0d9cb19000fb943d8c">
      <tp t="s">
        <v/>
        <stp/>
        <stp>Market</stp>
        <stp>INDEX</stp>
        <stp>GOLD.FUT01.OS</stp>
        <stp>前年最安値</stp>
        <tr r="T103" s="1"/>
      </tp>
      <tp t="s">
        <v/>
        <stp/>
        <stp>Market</stp>
        <stp>INDEX</stp>
        <stp>GOLD.FUT03.OS</stp>
        <stp>前年最安値</stp>
        <tr r="T105" s="1"/>
      </tp>
      <tp t="s">
        <v/>
        <stp/>
        <stp>Market</stp>
        <stp>INDEX</stp>
        <stp>GOLD.FUT02.OS</stp>
        <stp>前年最安値</stp>
        <tr r="T104" s="1"/>
      </tp>
      <tp t="s">
        <v/>
        <stp/>
        <stp>Market</stp>
        <stp>INDEX</stp>
        <stp>GOLD.FUT05.OS</stp>
        <stp>前年最安値</stp>
        <tr r="T107" s="1"/>
      </tp>
      <tp t="s">
        <v/>
        <stp/>
        <stp>Market</stp>
        <stp>INDEX</stp>
        <stp>GOLD.FUT04.OS</stp>
        <stp>前年最安値</stp>
        <tr r="T106" s="1"/>
      </tp>
      <tp t="s">
        <v>2026/02/27</v>
        <stp/>
        <stp>Market</stp>
        <stp>INDEX</stp>
        <stp>TSM20</stp>
        <stp>現在日付</stp>
        <tr r="C11" s="1"/>
      </tp>
      <tp t="s">
        <v/>
        <stp/>
        <stp>Market</stp>
        <stp>INDEX</stp>
        <stp>GOLD.FUT06.OS</stp>
        <stp>前年最安値</stp>
        <tr r="T108" s="1"/>
      </tp>
      <tp>
        <v>26447.5</v>
        <stp/>
        <stp>Market</stp>
        <stp>INDEX</stp>
        <stp>GOLDMINI.FUT04.OS</stp>
        <stp>安値</stp>
        <tr r="M112" s="1"/>
      </tp>
    </main>
    <main first="rtdsrv.dff54f4b11dd4e0d9cb19000fb943d8c">
      <tp t="s">
        <v xml:space="preserve">  :  </v>
        <stp/>
        <stp>Market</stp>
        <stp>INDEX</stp>
        <stp>JGB:F</stp>
        <stp>安値時刻</stp>
        <tr r="P16" s="1"/>
      </tp>
      <tp t="s">
        <v xml:space="preserve">  :  </v>
        <stp/>
        <stp>Market</stp>
        <stp>INDEX</stp>
        <stp>JGB:F</stp>
        <stp>始値時刻</stp>
        <tr r="N16" s="1"/>
      </tp>
      <tp t="s">
        <v xml:space="preserve">  :  </v>
        <stp/>
        <stp>Market</stp>
        <stp>INDEX</stp>
        <stp>JGB:F</stp>
        <stp>高値時刻</stp>
        <tr r="O16" s="1"/>
      </tp>
    </main>
    <main first="rtdsrv.dff54f4b11dd4e0d9cb19000fb943d8c">
      <tp>
        <v>11668</v>
        <stp/>
        <stp>Market</stp>
        <stp>INDEX</stp>
        <stp>PLATINUM.FUT05.OS</stp>
        <stp>始値</stp>
        <tr r="K120" s="1"/>
      </tp>
      <tp>
        <v>-45.83</v>
        <stp/>
        <stp>Market</stp>
        <stp>INDEX</stp>
        <stp>NQUSST</stp>
        <stp>前日比</stp>
        <tr r="G58" s="1"/>
      </tp>
    </main>
    <main first="rtdsrv.dff54f4b11dd4e0d9cb19000fb943d8c">
      <tp>
        <v>-25.06</v>
        <stp/>
        <stp>Market</stp>
        <stp>INDEX</stp>
        <stp>NQUSLT</stp>
        <stp>前日比</stp>
        <tr r="G56" s="1"/>
      </tp>
    </main>
    <main first="rtdsrv.dff54f4b11dd4e0d9cb19000fb943d8c">
      <tp>
        <v>-26.01</v>
        <stp/>
        <stp>Market</stp>
        <stp>INDEX</stp>
        <stp>NQUSMT</stp>
        <stp>前日比</stp>
        <tr r="G57" s="1"/>
      </tp>
    </main>
    <main first="rtdsrv.dff54f4b11dd4e0d9cb19000fb943d8c">
      <tp>
        <v>26060</v>
        <stp/>
        <stp>Market</stp>
        <stp>INDEX</stp>
        <stp>GOLDMINI.FUT01.OS</stp>
        <stp>始値</stp>
        <tr r="K109" s="1"/>
      </tp>
    </main>
    <main first="rtdsrv.dff54f4b11dd4e0d9cb19000fb943d8c">
      <tp>
        <v>26400</v>
        <stp/>
        <stp>Market</stp>
        <stp>INDEX</stp>
        <stp>GOLDMINI.FUT03.OS</stp>
        <stp>安値</stp>
        <tr r="M111" s="1"/>
      </tp>
    </main>
    <main first="rtdsrv.dff54f4b11dd4e0d9cb19000fb943d8c">
      <tp t="s">
        <v/>
        <stp/>
        <stp>Market</stp>
        <stp>INDEX</stp>
        <stp>TSR20.FUT12.OS</stp>
        <stp>現在値ティック</stp>
        <tr r="F164" s="1"/>
      </tp>
      <tp t="s">
        <v/>
        <stp/>
        <stp>Market</stp>
        <stp>INDEX</stp>
        <stp>TSR20.FUT11.OS</stp>
        <stp>現在値ティック</stp>
        <tr r="F163" s="1"/>
      </tp>
      <tp t="s">
        <v/>
        <stp/>
        <stp>Market</stp>
        <stp>INDEX</stp>
        <stp>TSR20.FUT10.OS</stp>
        <stp>現在値ティック</stp>
        <tr r="F162" s="1"/>
      </tp>
      <tp t="s">
        <v/>
        <stp/>
        <stp>Market</stp>
        <stp>INDEX</stp>
        <stp>TSR20.FUT09.OS</stp>
        <stp>現在値ティック</stp>
        <tr r="F161" s="1"/>
      </tp>
      <tp t="s">
        <v/>
        <stp/>
        <stp>Market</stp>
        <stp>INDEX</stp>
        <stp>TSR20.FUT08.OS</stp>
        <stp>現在値ティック</stp>
        <tr r="F160" s="1"/>
      </tp>
      <tp t="s">
        <v/>
        <stp/>
        <stp>Market</stp>
        <stp>INDEX</stp>
        <stp>TSR20.FUT03.OS</stp>
        <stp>現在値ティック</stp>
        <tr r="F155" s="1"/>
      </tp>
      <tp t="s">
        <v/>
        <stp/>
        <stp>Market</stp>
        <stp>INDEX</stp>
        <stp>TSR20.FUT02.OS</stp>
        <stp>現在値ティック</stp>
        <tr r="F154" s="1"/>
      </tp>
      <tp t="s">
        <v/>
        <stp/>
        <stp>Market</stp>
        <stp>INDEX</stp>
        <stp>TSR20.FUT01.OS</stp>
        <stp>現在値ティック</stp>
        <tr r="F153" s="1"/>
      </tp>
      <tp t="s">
        <v/>
        <stp/>
        <stp>Market</stp>
        <stp>INDEX</stp>
        <stp>TSR20.FUT07.OS</stp>
        <stp>現在値ティック</stp>
        <tr r="F159" s="1"/>
      </tp>
      <tp t="s">
        <v/>
        <stp/>
        <stp>Market</stp>
        <stp>INDEX</stp>
        <stp>TSR20.FUT06.OS</stp>
        <stp>現在値ティック</stp>
        <tr r="F158" s="1"/>
      </tp>
      <tp t="s">
        <v/>
        <stp/>
        <stp>Market</stp>
        <stp>INDEX</stp>
        <stp>TSR20.FUT05.OS</stp>
        <stp>現在値ティック</stp>
        <tr r="F157" s="1"/>
      </tp>
      <tp t="s">
        <v/>
        <stp/>
        <stp>Market</stp>
        <stp>INDEX</stp>
        <stp>TSR20.FUT04.OS</stp>
        <stp>現在値ティック</stp>
        <tr r="F156" s="1"/>
      </tp>
    </main>
    <main first="rtdsrv.dff54f4b11dd4e0d9cb19000fb943d8c">
      <tp>
        <v>11672</v>
        <stp/>
        <stp>Market</stp>
        <stp>INDEX</stp>
        <stp>PLATINUM.FUT04.OS</stp>
        <stp>始値</stp>
        <tr r="K119" s="1"/>
      </tp>
    </main>
    <main first="rtdsrv.dff54f4b11dd4e0d9cb19000fb943d8c">
      <tp>
        <v>0</v>
        <stp/>
        <stp>Market</stp>
        <stp>INDEX</stp>
        <stp>JGB:F</stp>
        <stp>前年最安値</stp>
        <tr r="T16" s="1"/>
      </tp>
    </main>
    <main first="rtdsrv.dff54f4b11dd4e0d9cb19000fb943d8c">
      <tp>
        <v>0</v>
        <stp/>
        <stp>Market</stp>
        <stp>INDEX</stp>
        <stp>TS1EX</stp>
        <stp>前年最安値</stp>
        <tr r="T10" s="1"/>
      </tp>
    </main>
    <main first="rtdsrv.dff54f4b11dd4e0d9cb19000fb943d8c">
      <tp>
        <v>11527</v>
        <stp/>
        <stp>Market</stp>
        <stp>INDEX</stp>
        <stp>PLATINUM.FUT06.OS</stp>
        <stp>安値</stp>
        <tr r="M121" s="1"/>
      </tp>
    </main>
    <main first="rtdsrv.dff54f4b11dd4e0d9cb19000fb943d8c">
      <tp>
        <v>26351</v>
        <stp/>
        <stp>Market</stp>
        <stp>INDEX</stp>
        <stp>GOLDMINI.FUT02.OS</stp>
        <stp>安値</stp>
        <tr r="M110" s="1"/>
      </tp>
    </main>
    <main first="rtdsrv.dff54f4b11dd4e0d9cb19000fb943d8c">
      <tp t="s">
        <v>↓</v>
        <stp/>
        <stp>Market</stp>
        <stp>INDEX</stp>
        <stp>SILVER.FUT04.OS</stp>
        <stp>現在値ティック</stp>
        <tr r="F132" s="1"/>
      </tp>
      <tp t="s">
        <v>↑</v>
        <stp/>
        <stp>Market</stp>
        <stp>INDEX</stp>
        <stp>SILVER.FUT05.OS</stp>
        <stp>現在値ティック</stp>
        <tr r="F133" s="1"/>
      </tp>
      <tp t="s">
        <v/>
        <stp/>
        <stp>Market</stp>
        <stp>INDEX</stp>
        <stp>SILVER.FUT06.OS</stp>
        <stp>現在値ティック</stp>
        <tr r="F134" s="1"/>
      </tp>
      <tp t="s">
        <v/>
        <stp/>
        <stp>Market</stp>
        <stp>INDEX</stp>
        <stp>SILVER.FUT01.OS</stp>
        <stp>現在値ティック</stp>
        <tr r="F129" s="1"/>
      </tp>
      <tp t="s">
        <v/>
        <stp/>
        <stp>Market</stp>
        <stp>INDEX</stp>
        <stp>SILVER.FUT02.OS</stp>
        <stp>現在値ティック</stp>
        <tr r="F130" s="1"/>
      </tp>
      <tp t="s">
        <v/>
        <stp/>
        <stp>Market</stp>
        <stp>INDEX</stp>
        <stp>SILVER.FUT03.OS</stp>
        <stp>現在値ティック</stp>
        <tr r="F131" s="1"/>
      </tp>
    </main>
    <main first="rtdsrv.dff54f4b11dd4e0d9cb19000fb943d8c">
      <tp>
        <v>26400</v>
        <stp/>
        <stp>Market</stp>
        <stp>INDEX</stp>
        <stp>GOLDMINI.FUT03.OS</stp>
        <stp>始値</stp>
        <tr r="K111" s="1"/>
      </tp>
    </main>
    <main first="rtdsrv.dff54f4b11dd4e0d9cb19000fb943d8c">
      <tp t="s">
        <v/>
        <stp/>
        <stp>Market</stp>
        <stp>INDEX</stp>
        <stp>MOT.FUT03.OS</stp>
        <stp>年初来安値</stp>
        <tr r="W93" s="1"/>
      </tp>
      <tp t="s">
        <v/>
        <stp/>
        <stp>Market</stp>
        <stp>INDEX</stp>
        <stp>MOT.FUT02.OS</stp>
        <stp>年初来安値</stp>
        <tr r="W92" s="1"/>
      </tp>
      <tp t="s">
        <v/>
        <stp/>
        <stp>Market</stp>
        <stp>INDEX</stp>
        <stp>MOT.FUT01.OS</stp>
        <stp>年初来安値</stp>
        <tr r="W91" s="1"/>
      </tp>
    </main>
    <main first="rtdsrv.dff54f4b11dd4e0d9cb19000fb943d8c">
      <tp t="s">
        <v/>
        <stp/>
        <stp>Market</stp>
        <stp>INDEX</stp>
        <stp>MOT.FUT05.OS</stp>
        <stp>年初来安値</stp>
        <tr r="W95" s="1"/>
      </tp>
      <tp t="s">
        <v/>
        <stp/>
        <stp>Market</stp>
        <stp>INDEX</stp>
        <stp>MOT.FUT04.OS</stp>
        <stp>年初来安値</stp>
        <tr r="W94" s="1"/>
      </tp>
      <tp t="s">
        <v/>
        <stp/>
        <stp>Market</stp>
        <stp>INDEX</stp>
        <stp>MOT.FUT03.OS</stp>
        <stp>上場来安値</stp>
        <tr r="Y93" s="1"/>
      </tp>
      <tp t="s">
        <v/>
        <stp/>
        <stp>Market</stp>
        <stp>INDEX</stp>
        <stp>MOT.FUT02.OS</stp>
        <stp>上場来安値</stp>
        <tr r="Y92" s="1"/>
      </tp>
      <tp t="s">
        <v/>
        <stp/>
        <stp>Market</stp>
        <stp>INDEX</stp>
        <stp>MOT.FUT01.OS</stp>
        <stp>上場来安値</stp>
        <tr r="Y91" s="1"/>
      </tp>
      <tp t="s">
        <v/>
        <stp/>
        <stp>Market</stp>
        <stp>INDEX</stp>
        <stp>MOT.FUT05.OS</stp>
        <stp>上場来安値</stp>
        <tr r="Y95" s="1"/>
      </tp>
      <tp t="s">
        <v/>
        <stp/>
        <stp>Market</stp>
        <stp>INDEX</stp>
        <stp>MOT.FUT04.OS</stp>
        <stp>上場来安値</stp>
        <tr r="Y94" s="1"/>
      </tp>
    </main>
    <main first="rtdsrv.dff54f4b11dd4e0d9cb19000fb943d8c">
      <tp>
        <v>11483</v>
        <stp/>
        <stp>Market</stp>
        <stp>INDEX</stp>
        <stp>PLATINUM.FUT05.OS</stp>
        <stp>安値</stp>
        <tr r="M120" s="1"/>
      </tp>
      <tp>
        <v>937.38</v>
        <stp/>
        <stp>Market</stp>
        <stp>INDEX</stp>
        <stp>SIXE</stp>
        <stp>年初来安値</stp>
        <tr r="W28" s="1"/>
      </tp>
    </main>
    <main first="rtdsrv.dff54f4b11dd4e0d9cb19000fb943d8c">
      <tp>
        <v>234.42</v>
        <stp/>
        <stp>Market</stp>
        <stp>INDEX</stp>
        <stp>SIXE</stp>
        <stp>上場来安値</stp>
        <tr r="Y28" s="1"/>
      </tp>
      <tp>
        <v>26060</v>
        <stp/>
        <stp>Market</stp>
        <stp>INDEX</stp>
        <stp>GOLDMINI.FUT01.OS</stp>
        <stp>安値</stp>
        <tr r="M109" s="1"/>
      </tp>
    </main>
    <main first="rtdsrv.dff54f4b11dd4e0d9cb19000fb943d8c">
      <tp t="s">
        <v/>
        <stp/>
        <stp>Market</stp>
        <stp>INDEX</stp>
        <stp>JN400.FUT05.OS</stp>
        <stp>現在値ティック</stp>
        <tr r="F100" s="1"/>
      </tp>
      <tp t="s">
        <v/>
        <stp/>
        <stp>Market</stp>
        <stp>INDEX</stp>
        <stp>JN400.FUT04.OS</stp>
        <stp>現在値ティック</stp>
        <tr r="F99" s="1"/>
      </tp>
      <tp t="s">
        <v>↑</v>
        <stp/>
        <stp>Market</stp>
        <stp>INDEX</stp>
        <stp>JN400.FUT01.OS</stp>
        <stp>現在値ティック</stp>
        <tr r="F96" s="1"/>
      </tp>
      <tp t="s">
        <v/>
        <stp/>
        <stp>Market</stp>
        <stp>INDEX</stp>
        <stp>JN400.FUT03.OS</stp>
        <stp>現在値ティック</stp>
        <tr r="F98" s="1"/>
      </tp>
      <tp t="s">
        <v/>
        <stp/>
        <stp>Market</stp>
        <stp>INDEX</stp>
        <stp>JN400.FUT02.OS</stp>
        <stp>現在値ティック</stp>
        <tr r="F97" s="1"/>
      </tp>
    </main>
    <main first="rtdsrv.dff54f4b11dd4e0d9cb19000fb943d8c">
      <tp t="s">
        <v/>
        <stp/>
        <stp>Market</stp>
        <stp>INDEX</stp>
        <stp>N225M.FUT04.OS</stp>
        <stp>指標名称</stp>
        <tr r="B80" s="1"/>
      </tp>
      <tp t="s">
        <v/>
        <stp/>
        <stp>Market</stp>
        <stp>INDEX</stp>
        <stp>N225M.FUT05.OS</stp>
        <stp>指標名称</stp>
        <tr r="B81" s="1"/>
      </tp>
      <tp t="s">
        <v/>
        <stp/>
        <stp>Market</stp>
        <stp>INDEX</stp>
        <stp>N225M.FUT02.OS</stp>
        <stp>指標名称</stp>
        <tr r="B78" s="1"/>
      </tp>
      <tp t="s">
        <v/>
        <stp/>
        <stp>Market</stp>
        <stp>INDEX</stp>
        <stp>N225M.FUT03.OS</stp>
        <stp>指標名称</stp>
        <tr r="B79" s="1"/>
      </tp>
      <tp t="s">
        <v/>
        <stp/>
        <stp>Market</stp>
        <stp>INDEX</stp>
        <stp>N225M.FUT01.OS</stp>
        <stp>指標名称</stp>
        <tr r="B77" s="1"/>
      </tp>
      <tp>
        <v>11720</v>
        <stp/>
        <stp>Market</stp>
        <stp>INDEX</stp>
        <stp>PLATINUM.FUT06.OS</stp>
        <stp>始値</stp>
        <tr r="K121" s="1"/>
      </tp>
    </main>
    <main first="rtdsrv.dff54f4b11dd4e0d9cb19000fb943d8c">
      <tp t="s">
        <v/>
        <stp/>
        <stp>Market</stp>
        <stp>INDEX</stp>
        <stp>PLATINUMMINI.FUT02.OS</stp>
        <stp>上場来高値日付</stp>
        <tr r="Z123" s="1"/>
      </tp>
      <tp t="s">
        <v/>
        <stp/>
        <stp>Market</stp>
        <stp>INDEX</stp>
        <stp>PLATINUMMINI.FUT03.OS</stp>
        <stp>上場来高値日付</stp>
        <tr r="Z124" s="1"/>
      </tp>
      <tp t="s">
        <v/>
        <stp/>
        <stp>Market</stp>
        <stp>INDEX</stp>
        <stp>PLATINUMMINI.FUT01.OS</stp>
        <stp>上場来高値日付</stp>
        <tr r="Z122" s="1"/>
      </tp>
      <tp t="s">
        <v/>
        <stp/>
        <stp>Market</stp>
        <stp>INDEX</stp>
        <stp>PLATINUMMINI.FUT06.OS</stp>
        <stp>上場来高値日付</stp>
        <tr r="Z127" s="1"/>
      </tp>
      <tp t="s">
        <v/>
        <stp/>
        <stp>Market</stp>
        <stp>INDEX</stp>
        <stp>PLATINUMMINI.FUT04.OS</stp>
        <stp>上場来高値日付</stp>
        <tr r="Z125" s="1"/>
      </tp>
      <tp t="s">
        <v/>
        <stp/>
        <stp>Market</stp>
        <stp>INDEX</stp>
        <stp>PLATINUMMINI.FUT05.OS</stp>
        <stp>上場来高値日付</stp>
        <tr r="Z126" s="1"/>
      </tp>
      <tp t="s">
        <v/>
        <stp/>
        <stp>Market</stp>
        <stp>INDEX</stp>
        <stp>PLATINUMMINI.FUT03.OS</stp>
        <stp>上場来安値日付</stp>
        <tr r="AA124" s="1"/>
      </tp>
      <tp t="s">
        <v/>
        <stp/>
        <stp>Market</stp>
        <stp>INDEX</stp>
        <stp>PLATINUMMINI.FUT02.OS</stp>
        <stp>上場来安値日付</stp>
        <tr r="AA123" s="1"/>
      </tp>
      <tp t="s">
        <v/>
        <stp/>
        <stp>Market</stp>
        <stp>INDEX</stp>
        <stp>PLATINUMMINI.FUT01.OS</stp>
        <stp>上場来安値日付</stp>
        <tr r="AA122" s="1"/>
      </tp>
      <tp t="s">
        <v/>
        <stp/>
        <stp>Market</stp>
        <stp>INDEX</stp>
        <stp>PLATINUMMINI.FUT06.OS</stp>
        <stp>上場来安値日付</stp>
        <tr r="AA127" s="1"/>
      </tp>
      <tp t="s">
        <v/>
        <stp/>
        <stp>Market</stp>
        <stp>INDEX</stp>
        <stp>PLATINUMMINI.FUT05.OS</stp>
        <stp>上場来安値日付</stp>
        <tr r="AA126" s="1"/>
      </tp>
      <tp t="s">
        <v/>
        <stp/>
        <stp>Market</stp>
        <stp>INDEX</stp>
        <stp>PLATINUMMINI.FUT04.OS</stp>
        <stp>上場来安値日付</stp>
        <tr r="AA125" s="1"/>
      </tp>
    </main>
    <main first="rtdsrv.dff54f4b11dd4e0d9cb19000fb943d8c">
      <tp>
        <v>26351</v>
        <stp/>
        <stp>Market</stp>
        <stp>INDEX</stp>
        <stp>GOLDMINI.FUT02.OS</stp>
        <stp>始値</stp>
        <tr r="K110" s="1"/>
      </tp>
    </main>
    <main first="rtdsrv.dff54f4b11dd4e0d9cb19000fb943d8c">
      <tp t="s">
        <v>2026/02/28</v>
        <stp/>
        <stp>Market</stp>
        <stp>INDEX</stp>
        <stp>N225M.FUT04.OS</stp>
        <stp>現在日付</stp>
        <tr r="C80" s="1"/>
      </tp>
      <tp t="s">
        <v>2026/02/28</v>
        <stp/>
        <stp>Market</stp>
        <stp>INDEX</stp>
        <stp>N225M.FUT05.OS</stp>
        <stp>現在日付</stp>
        <tr r="C81" s="1"/>
      </tp>
      <tp t="s">
        <v>2026/02/28</v>
        <stp/>
        <stp>Market</stp>
        <stp>INDEX</stp>
        <stp>N225M.FUT02.OS</stp>
        <stp>現在日付</stp>
        <tr r="C78" s="1"/>
      </tp>
      <tp t="s">
        <v>2026/02/28</v>
        <stp/>
        <stp>Market</stp>
        <stp>INDEX</stp>
        <stp>N225M.FUT03.OS</stp>
        <stp>現在日付</stp>
        <tr r="C79" s="1"/>
      </tp>
      <tp t="s">
        <v>2026/02/28</v>
        <stp/>
        <stp>Market</stp>
        <stp>INDEX</stp>
        <stp>N225M.FUT01.OS</stp>
        <stp>現在日付</stp>
        <tr r="C77" s="1"/>
      </tp>
      <tp>
        <v>11530</v>
        <stp/>
        <stp>Market</stp>
        <stp>INDEX</stp>
        <stp>PLATINUM.FUT04.OS</stp>
        <stp>安値</stp>
        <tr r="M119" s="1"/>
      </tp>
    </main>
    <main first="rtdsrv.dff54f4b11dd4e0d9cb19000fb943d8c">
      <tp t="s">
        <v/>
        <stp/>
        <stp>Market</stp>
        <stp>INDEX</stp>
        <stp>CORN.FUT01.OS</stp>
        <stp>前年最安値</stp>
        <tr r="T177" s="1"/>
      </tp>
      <tp t="s">
        <v/>
        <stp/>
        <stp>Market</stp>
        <stp>INDEX</stp>
        <stp>CORN.FUT03.OS</stp>
        <stp>前年最安値</stp>
        <tr r="T179" s="1"/>
      </tp>
      <tp t="s">
        <v/>
        <stp/>
        <stp>Market</stp>
        <stp>INDEX</stp>
        <stp>CORN.FUT02.OS</stp>
        <stp>前年最安値</stp>
        <tr r="T178" s="1"/>
      </tp>
      <tp t="s">
        <v/>
        <stp/>
        <stp>Market</stp>
        <stp>INDEX</stp>
        <stp>CORN.FUT05.OS</stp>
        <stp>前年最安値</stp>
        <tr r="T181" s="1"/>
      </tp>
      <tp t="s">
        <v/>
        <stp/>
        <stp>Market</stp>
        <stp>INDEX</stp>
        <stp>CORN.FUT04.OS</stp>
        <stp>前年最安値</stp>
        <tr r="T180" s="1"/>
      </tp>
      <tp t="s">
        <v/>
        <stp/>
        <stp>Market</stp>
        <stp>INDEX</stp>
        <stp>CORN.FUT06.OS</stp>
        <stp>前年最安値</stp>
        <tr r="T182" s="1"/>
      </tp>
    </main>
    <main first="rtdsrv.dff54f4b11dd4e0d9cb19000fb943d8c">
      <tp t="s">
        <v>17:30</v>
        <stp/>
        <stp>Market</stp>
        <stp>INDEX</stp>
        <stp>N225.FUT04.OS</stp>
        <stp>始値時刻</stp>
        <tr r="N75" s="1"/>
      </tp>
      <tp t="s">
        <v>17:00</v>
        <stp/>
        <stp>Market</stp>
        <stp>INDEX</stp>
        <stp>N225.FUT05.OS</stp>
        <stp>始値時刻</stp>
        <tr r="N76" s="1"/>
      </tp>
      <tp t="s">
        <v>23:58</v>
        <stp/>
        <stp>Market</stp>
        <stp>INDEX</stp>
        <stp>N225.FUT04.OS</stp>
        <stp>安値時刻</stp>
        <tr r="P75" s="1"/>
      </tp>
      <tp t="s">
        <v>17:00</v>
        <stp/>
        <stp>Market</stp>
        <stp>INDEX</stp>
        <stp>N225.FUT05.OS</stp>
        <stp>安値時刻</stp>
        <tr r="P76" s="1"/>
      </tp>
      <tp t="s">
        <v>23:42</v>
        <stp/>
        <stp>Market</stp>
        <stp>INDEX</stp>
        <stp>N225.FUT02.OS</stp>
        <stp>安値時刻</stp>
        <tr r="P73" s="1"/>
      </tp>
      <tp t="s">
        <v>17:00</v>
        <stp/>
        <stp>Market</stp>
        <stp>INDEX</stp>
        <stp>N225.FUT01.OS</stp>
        <stp>始値時刻</stp>
        <tr r="N72" s="1"/>
      </tp>
      <tp t="s">
        <v>22:34</v>
        <stp/>
        <stp>Market</stp>
        <stp>INDEX</stp>
        <stp>N225.FUT03.OS</stp>
        <stp>安値時刻</stp>
        <tr r="P74" s="1"/>
      </tp>
      <tp t="s">
        <v>17:00</v>
        <stp/>
        <stp>Market</stp>
        <stp>INDEX</stp>
        <stp>N225.FUT02.OS</stp>
        <stp>始値時刻</stp>
        <tr r="N73" s="1"/>
      </tp>
      <tp t="s">
        <v>17:02</v>
        <stp/>
        <stp>Market</stp>
        <stp>INDEX</stp>
        <stp>N225.FUT03.OS</stp>
        <stp>始値時刻</stp>
        <tr r="N74" s="1"/>
      </tp>
      <tp t="s">
        <v>23:42</v>
        <stp/>
        <stp>Market</stp>
        <stp>INDEX</stp>
        <stp>N225.FUT01.OS</stp>
        <stp>安値時刻</stp>
        <tr r="P72" s="1"/>
      </tp>
      <tp t="s">
        <v>17:00</v>
        <stp/>
        <stp>Market</stp>
        <stp>INDEX</stp>
        <stp>N225.FUT05.OS</stp>
        <stp>高値時刻</stp>
        <tr r="O76" s="1"/>
      </tp>
      <tp t="s">
        <v>17:30</v>
        <stp/>
        <stp>Market</stp>
        <stp>INDEX</stp>
        <stp>N225.FUT04.OS</stp>
        <stp>高値時刻</stp>
        <tr r="O75" s="1"/>
      </tp>
    </main>
    <main first="rtdsrv.dff54f4b11dd4e0d9cb19000fb943d8c">
      <tp t="s">
        <v>17:02</v>
        <stp/>
        <stp>Market</stp>
        <stp>INDEX</stp>
        <stp>N225.FUT03.OS</stp>
        <stp>高値時刻</stp>
        <tr r="O74" s="1"/>
      </tp>
      <tp t="s">
        <v>18:21</v>
        <stp/>
        <stp>Market</stp>
        <stp>INDEX</stp>
        <stp>N225.FUT02.OS</stp>
        <stp>高値時刻</stp>
        <tr r="O73" s="1"/>
      </tp>
      <tp t="s">
        <v>18:22</v>
        <stp/>
        <stp>Market</stp>
        <stp>INDEX</stp>
        <stp>N225.FUT01.OS</stp>
        <stp>高値時刻</stp>
        <tr r="O72" s="1"/>
      </tp>
    </main>
    <main first="rtdsrv.dff54f4b11dd4e0d9cb19000fb943d8c">
      <tp>
        <v>-25.28</v>
        <stp/>
        <stp>Market</stp>
        <stp>INDEX</stp>
        <stp>NQROBO</stp>
        <stp>前日比</stp>
        <tr r="G61" s="1"/>
      </tp>
    </main>
    <main first="rtdsrv.dff54f4b11dd4e0d9cb19000fb943d8c">
      <tp>
        <v>0</v>
        <stp/>
        <stp>Market</stp>
        <stp>INDEX</stp>
        <stp>PALLADIUM.FUT05.OS</stp>
        <stp>始値</stp>
        <tr r="K139" s="1"/>
      </tp>
    </main>
    <main first="rtdsrv.dff54f4b11dd4e0d9cb19000fb943d8c">
      <tp t="s">
        <v/>
        <stp/>
        <stp>Market</stp>
        <stp>INDEX</stp>
        <stp>NOK/JPY</stp>
        <stp>上場来安値</stp>
        <tr r="Y208" s="1"/>
      </tp>
      <tp>
        <v>0</v>
        <stp/>
        <stp>Market</stp>
        <stp>INDEX</stp>
        <stp>PALLADIUM.FUT06.OS</stp>
        <stp>安値</stp>
        <tr r="M140" s="1"/>
      </tp>
      <tp t="s">
        <v/>
        <stp/>
        <stp>Market</stp>
        <stp>INDEX</stp>
        <stp>NOK/JPY</stp>
        <stp>年初来安値</stp>
        <tr r="W208" s="1"/>
      </tp>
      <tp>
        <v>2807.4407999999999</v>
        <stp/>
        <stp>Market</stp>
        <stp>INDEX</stp>
        <stp>SHKSC</stp>
        <stp>前年最安値</stp>
        <tr r="T70" s="1"/>
      </tp>
    </main>
    <main first="rtdsrv.dff54f4b11dd4e0d9cb19000fb943d8c">
      <tp>
        <v>0</v>
        <stp/>
        <stp>Market</stp>
        <stp>INDEX</stp>
        <stp>PALLADIUM.FUT04.OS</stp>
        <stp>始値</stp>
        <tr r="K138" s="1"/>
      </tp>
      <tp t="s">
        <v>2008/09/22</v>
        <stp/>
        <stp>Market</stp>
        <stp>INDEX</stp>
        <stp>XAU</stp>
        <stp>上場来高値日付</stp>
        <tr r="Z50" s="1"/>
      </tp>
      <tp t="s">
        <v>2016/01/19</v>
        <stp/>
        <stp>Market</stp>
        <stp>INDEX</stp>
        <stp>XAU</stp>
        <stp>上場来安値日付</stp>
        <tr r="AA50" s="1"/>
      </tp>
    </main>
    <main first="rtdsrv.dff54f4b11dd4e0d9cb19000fb943d8c">
      <tp t="s">
        <v/>
        <stp/>
        <stp>Market</stp>
        <stp>INDEX</stp>
        <stp>CNH/JPY</stp>
        <stp>上場来安値</stp>
        <tr r="Y210" s="1"/>
      </tp>
    </main>
    <main first="rtdsrv.dff54f4b11dd4e0d9cb19000fb943d8c">
      <tp>
        <v>0</v>
        <stp/>
        <stp>Market</stp>
        <stp>INDEX</stp>
        <stp>PALLADIUM.FUT05.OS</stp>
        <stp>安値</stp>
        <tr r="M139" s="1"/>
      </tp>
      <tp t="s">
        <v/>
        <stp/>
        <stp>Market</stp>
        <stp>INDEX</stp>
        <stp>CNH/JPY</stp>
        <stp>年初来安値</stp>
        <tr r="W210" s="1"/>
      </tp>
    </main>
    <main first="rtdsrv.dff54f4b11dd4e0d9cb19000fb943d8c">
      <tp t="s">
        <v/>
        <stp/>
        <stp>Market</stp>
        <stp>INDEX</stp>
        <stp>PALLADIUM.FUT06.OS</stp>
        <stp>上場来高値日付</stp>
        <tr r="Z140" s="1"/>
      </tp>
      <tp t="s">
        <v/>
        <stp/>
        <stp>Market</stp>
        <stp>INDEX</stp>
        <stp>PALLADIUM.FUT05.OS</stp>
        <stp>上場来高値日付</stp>
        <tr r="Z139" s="1"/>
      </tp>
      <tp t="s">
        <v/>
        <stp/>
        <stp>Market</stp>
        <stp>INDEX</stp>
        <stp>PALLADIUM.FUT04.OS</stp>
        <stp>上場来高値日付</stp>
        <tr r="Z138" s="1"/>
      </tp>
      <tp t="s">
        <v/>
        <stp/>
        <stp>Market</stp>
        <stp>INDEX</stp>
        <stp>PALLADIUM.FUT03.OS</stp>
        <stp>上場来高値日付</stp>
        <tr r="Z137" s="1"/>
      </tp>
      <tp t="s">
        <v/>
        <stp/>
        <stp>Market</stp>
        <stp>INDEX</stp>
        <stp>PALLADIUM.FUT02.OS</stp>
        <stp>上場来高値日付</stp>
        <tr r="Z136" s="1"/>
      </tp>
      <tp t="s">
        <v/>
        <stp/>
        <stp>Market</stp>
        <stp>INDEX</stp>
        <stp>PALLADIUM.FUT01.OS</stp>
        <stp>上場来高値日付</stp>
        <tr r="Z135" s="1"/>
      </tp>
      <tp t="s">
        <v/>
        <stp/>
        <stp>Market</stp>
        <stp>INDEX</stp>
        <stp>PALLADIUM.FUT06.OS</stp>
        <stp>上場来安値日付</stp>
        <tr r="AA140" s="1"/>
      </tp>
      <tp t="s">
        <v/>
        <stp/>
        <stp>Market</stp>
        <stp>INDEX</stp>
        <stp>PALLADIUM.FUT04.OS</stp>
        <stp>上場来安値日付</stp>
        <tr r="AA138" s="1"/>
      </tp>
      <tp t="s">
        <v/>
        <stp/>
        <stp>Market</stp>
        <stp>INDEX</stp>
        <stp>PALLADIUM.FUT05.OS</stp>
        <stp>上場来安値日付</stp>
        <tr r="AA139" s="1"/>
      </tp>
      <tp t="s">
        <v/>
        <stp/>
        <stp>Market</stp>
        <stp>INDEX</stp>
        <stp>PALLADIUM.FUT02.OS</stp>
        <stp>上場来安値日付</stp>
        <tr r="AA136" s="1"/>
      </tp>
      <tp t="s">
        <v/>
        <stp/>
        <stp>Market</stp>
        <stp>INDEX</stp>
        <stp>PALLADIUM.FUT03.OS</stp>
        <stp>上場来安値日付</stp>
        <tr r="AA137" s="1"/>
      </tp>
      <tp t="s">
        <v/>
        <stp/>
        <stp>Market</stp>
        <stp>INDEX</stp>
        <stp>PALLADIUM.FUT01.OS</stp>
        <stp>上場来安値日付</stp>
        <tr r="AA135" s="1"/>
      </tp>
    </main>
    <main first="rtdsrv.dff54f4b11dd4e0d9cb19000fb943d8c">
      <tp>
        <v>2300.8200000000002</v>
        <stp/>
        <stp>Market</stp>
        <stp>INDEX</stp>
        <stp>SIXY</stp>
        <stp>年初来安値</stp>
        <tr r="W32" s="1"/>
      </tp>
      <tp>
        <v>822.26</v>
        <stp/>
        <stp>Market</stp>
        <stp>INDEX</stp>
        <stp>SIXY</stp>
        <stp>上場来安値</stp>
        <tr r="Y32" s="1"/>
      </tp>
    </main>
    <main first="rtdsrv.dff54f4b11dd4e0d9cb19000fb943d8c">
      <tp>
        <v>0</v>
        <stp/>
        <stp>Market</stp>
        <stp>INDEX</stp>
        <stp>PALLADIUM.FUT04.OS</stp>
        <stp>安値</stp>
        <tr r="M138" s="1"/>
      </tp>
      <tp>
        <v>0</v>
        <stp/>
        <stp>Market</stp>
        <stp>INDEX</stp>
        <stp>JGB:FL</stp>
        <stp>上場来安値</stp>
        <tr r="Y17" s="1"/>
      </tp>
    </main>
    <main first="rtdsrv.dff54f4b11dd4e0d9cb19000fb943d8c">
      <tp>
        <v>0</v>
        <stp/>
        <stp>Market</stp>
        <stp>INDEX</stp>
        <stp>JGB:FL</stp>
        <stp>年初来安値</stp>
        <tr r="W17" s="1"/>
      </tp>
      <tp>
        <v>3448.77</v>
        <stp/>
        <stp>Market</stp>
        <stp>INDEX</stp>
        <stp>TOPX</stp>
        <stp>年初来安値</stp>
        <tr r="W4" s="1"/>
      </tp>
      <tp>
        <v>86.7</v>
        <stp/>
        <stp>Market</stp>
        <stp>INDEX</stp>
        <stp>VVIX</stp>
        <stp>年初来安値</stp>
        <tr r="W26" s="1"/>
      </tp>
      <tp>
        <v>0</v>
        <stp/>
        <stp>Market</stp>
        <stp>INDEX</stp>
        <stp>PALLADIUM.FUT06.OS</stp>
        <stp>始値</stp>
        <tr r="K140" s="1"/>
      </tp>
      <tp>
        <v>99.17</v>
        <stp/>
        <stp>Market</stp>
        <stp>INDEX</stp>
        <stp>TOPX</stp>
        <stp>上場来安値</stp>
        <tr r="Y4" s="1"/>
      </tp>
      <tp>
        <v>14.69</v>
        <stp/>
        <stp>Market</stp>
        <stp>INDEX</stp>
        <stp>VVIX</stp>
        <stp>上場来安値</stp>
        <tr r="Y26" s="1"/>
      </tp>
    </main>
    <main first="rtdsrv.dff54f4b11dd4e0d9cb19000fb943d8c">
      <tp t="s">
        <v>NASDAQ米国中型株トータルリターン指数</v>
        <stp/>
        <stp>Market</stp>
        <stp>INDEX</stp>
        <stp>NQUSMT</stp>
        <stp>指標名称</stp>
        <tr r="B57" s="1"/>
      </tp>
    </main>
    <main first="rtdsrv.dff54f4b11dd4e0d9cb19000fb943d8c">
      <tp t="s">
        <v/>
        <stp/>
        <stp>Market</stp>
        <stp>INDEX</stp>
        <stp>PALLADIUM.FUT04.OS</stp>
        <stp>前年終値</stp>
        <tr r="U138" s="1"/>
      </tp>
      <tp t="s">
        <v/>
        <stp/>
        <stp>Market</stp>
        <stp>INDEX</stp>
        <stp>PALLADIUM.FUT05.OS</stp>
        <stp>前年終値</stp>
        <tr r="U139" s="1"/>
      </tp>
      <tp t="s">
        <v/>
        <stp/>
        <stp>Market</stp>
        <stp>INDEX</stp>
        <stp>PALLADIUM.FUT06.OS</stp>
        <stp>前年終値</stp>
        <tr r="U140" s="1"/>
      </tp>
      <tp t="s">
        <v/>
        <stp/>
        <stp>Market</stp>
        <stp>INDEX</stp>
        <stp>PALLADIUM.FUT01.OS</stp>
        <stp>前年終値</stp>
        <tr r="U135" s="1"/>
      </tp>
      <tp t="s">
        <v/>
        <stp/>
        <stp>Market</stp>
        <stp>INDEX</stp>
        <stp>PALLADIUM.FUT02.OS</stp>
        <stp>前年終値</stp>
        <tr r="U136" s="1"/>
      </tp>
      <tp t="s">
        <v/>
        <stp/>
        <stp>Market</stp>
        <stp>INDEX</stp>
        <stp>PALLADIUM.FUT03.OS</stp>
        <stp>前年終値</stp>
        <tr r="U137" s="1"/>
      </tp>
    </main>
    <main first="rtdsrv.dff54f4b11dd4e0d9cb19000fb943d8c">
      <tp t="s">
        <v>-</v>
        <stp/>
        <stp>Market</stp>
        <stp>INDEX</stp>
        <stp>NQROBO</stp>
        <stp>始値時刻</stp>
        <tr r="N61" s="1"/>
      </tp>
      <tp t="s">
        <v>-</v>
        <stp/>
        <stp>Market</stp>
        <stp>INDEX</stp>
        <stp>NQROBO</stp>
        <stp>安値時刻</stp>
        <tr r="P61" s="1"/>
      </tp>
      <tp t="s">
        <v>-</v>
        <stp/>
        <stp>Market</stp>
        <stp>INDEX</stp>
        <stp>NQROBO</stp>
        <stp>高値時刻</stp>
        <tr r="O61" s="1"/>
      </tp>
    </main>
    <main first="rtdsrv.dff54f4b11dd4e0d9cb19000fb943d8c">
      <tp t="s">
        <v>-</v>
        <stp/>
        <stp>Market</stp>
        <stp>INDEX</stp>
        <stp>NQCYBR</stp>
        <stp>始値時刻</stp>
        <tr r="N59" s="1"/>
      </tp>
      <tp t="s">
        <v>-</v>
        <stp/>
        <stp>Market</stp>
        <stp>INDEX</stp>
        <stp>NQCYBR</stp>
        <stp>安値時刻</stp>
        <tr r="P59" s="1"/>
      </tp>
      <tp t="s">
        <v>-</v>
        <stp/>
        <stp>Market</stp>
        <stp>INDEX</stp>
        <stp>NQCYBR</stp>
        <stp>高値時刻</stp>
        <tr r="O59" s="1"/>
      </tp>
      <tp t="s">
        <v xml:space="preserve">  :  </v>
        <stp/>
        <stp>Market</stp>
        <stp>INDEX</stp>
        <stp>JGB:FI</stp>
        <stp>始値時刻</stp>
        <tr r="N18" s="1"/>
      </tp>
      <tp t="s">
        <v xml:space="preserve">  :  </v>
        <stp/>
        <stp>Market</stp>
        <stp>INDEX</stp>
        <stp>JGB:FI</stp>
        <stp>安値時刻</stp>
        <tr r="P18" s="1"/>
      </tp>
    </main>
    <main first="rtdsrv.dff54f4b11dd4e0d9cb19000fb943d8c">
      <tp t="s">
        <v xml:space="preserve">  :  </v>
        <stp/>
        <stp>Market</stp>
        <stp>INDEX</stp>
        <stp>JGB:FI</stp>
        <stp>高値時刻</stp>
        <tr r="O18" s="1"/>
      </tp>
    </main>
    <main first="rtdsrv.dff54f4b11dd4e0d9cb19000fb943d8c">
      <tp t="s">
        <v xml:space="preserve">  :  </v>
        <stp/>
        <stp>Market</stp>
        <stp>INDEX</stp>
        <stp>JGB:FL</stp>
        <stp>始値時刻</stp>
        <tr r="N17" s="1"/>
      </tp>
      <tp t="s">
        <v xml:space="preserve">  :  </v>
        <stp/>
        <stp>Market</stp>
        <stp>INDEX</stp>
        <stp>JGB:FL</stp>
        <stp>安値時刻</stp>
        <tr r="P17" s="1"/>
      </tp>
    </main>
    <main first="rtdsrv.dff54f4b11dd4e0d9cb19000fb943d8c">
      <tp t="s">
        <v xml:space="preserve">  :  </v>
        <stp/>
        <stp>Market</stp>
        <stp>INDEX</stp>
        <stp>JGB:FL</stp>
        <stp>高値時刻</stp>
        <tr r="O17" s="1"/>
      </tp>
    </main>
    <main first="rtdsrv.dff54f4b11dd4e0d9cb19000fb943d8c">
      <tp t="s">
        <v/>
        <stp/>
        <stp>Market</stp>
        <stp>INDEX</stp>
        <stp>MXN/JPY</stp>
        <stp>上場来安値</stp>
        <tr r="Y211" s="1"/>
      </tp>
    </main>
    <main first="rtdsrv.dff54f4b11dd4e0d9cb19000fb943d8c">
      <tp>
        <v>0</v>
        <stp/>
        <stp>Market</stp>
        <stp>INDEX</stp>
        <stp>PALLADIUM.FUT03.OS</stp>
        <stp>安値</stp>
        <tr r="M137" s="1"/>
      </tp>
    </main>
    <main first="rtdsrv.dff54f4b11dd4e0d9cb19000fb943d8c">
      <tp t="s">
        <v/>
        <stp/>
        <stp>Market</stp>
        <stp>INDEX</stp>
        <stp>MXN/JPY</stp>
        <stp>年初来安値</stp>
        <tr r="W211" s="1"/>
      </tp>
      <tp t="s">
        <v>↑</v>
        <stp/>
        <stp>Market</stp>
        <stp>INDEX</stp>
        <stp>NQCYBR</stp>
        <stp>現在値ティック</stp>
        <tr r="F59" s="1"/>
      </tp>
    </main>
    <main first="rtdsrv.dff54f4b11dd4e0d9cb19000fb943d8c">
      <tp t="s">
        <v/>
        <stp/>
        <stp>Market</stp>
        <stp>INDEX</stp>
        <stp>N225.FUT01.S</stp>
        <stp>前年最安値</stp>
        <tr r="T185" s="1"/>
      </tp>
      <tp t="s">
        <v/>
        <stp/>
        <stp>Market</stp>
        <stp>INDEX</stp>
        <stp>N225.FUT02.S</stp>
        <stp>前年最安値</stp>
        <tr r="T186" s="1"/>
      </tp>
      <tp t="s">
        <v>2026/02/28</v>
        <stp/>
        <stp>Market</stp>
        <stp>INDEX</stp>
        <stp>NQUSMT</stp>
        <stp>現在日付</stp>
        <tr r="C57" s="1"/>
      </tp>
      <tp>
        <v>0</v>
        <stp/>
        <stp>Market</stp>
        <stp>INDEX</stp>
        <stp>PALLADIUM.FUT01.OS</stp>
        <stp>始値</stp>
        <tr r="K135" s="1"/>
      </tp>
    </main>
    <main first="rtdsrv.dff54f4b11dd4e0d9cb19000fb943d8c">
      <tp t="s">
        <v>NASDAQ米国大型株トータルリターン指数</v>
        <stp/>
        <stp>Market</stp>
        <stp>INDEX</stp>
        <stp>NQUSLT</stp>
        <stp>指標名称</stp>
        <tr r="B56" s="1"/>
      </tp>
    </main>
    <main first="rtdsrv.dff54f4b11dd4e0d9cb19000fb943d8c">
      <tp t="s">
        <v/>
        <stp/>
        <stp>Market</stp>
        <stp>INDEX</stp>
        <stp>EUR/AUD</stp>
        <stp>上場来安値</stp>
        <tr r="Y213" s="1"/>
      </tp>
      <tp t="s">
        <v/>
        <stp/>
        <stp>Market</stp>
        <stp>INDEX</stp>
        <stp>GBP/CHF</stp>
        <stp>上場来安値</stp>
        <tr r="Y202" s="1"/>
      </tp>
      <tp t="s">
        <v/>
        <stp/>
        <stp>Market</stp>
        <stp>INDEX</stp>
        <stp>EUR/USD</stp>
        <stp>上場来安値</stp>
        <tr r="Y197" s="1"/>
      </tp>
      <tp>
        <v>0</v>
        <stp/>
        <stp>Market</stp>
        <stp>INDEX</stp>
        <stp>PALLADIUM.FUT02.OS</stp>
        <stp>安値</stp>
        <tr r="M136" s="1"/>
      </tp>
      <tp t="s">
        <v/>
        <stp/>
        <stp>Market</stp>
        <stp>INDEX</stp>
        <stp>EUR/USD</stp>
        <stp>年初来安値</stp>
        <tr r="W197" s="1"/>
      </tp>
      <tp t="s">
        <v/>
        <stp/>
        <stp>Market</stp>
        <stp>INDEX</stp>
        <stp>GBP/CHF</stp>
        <stp>年初来安値</stp>
        <tr r="W202" s="1"/>
      </tp>
      <tp t="s">
        <v/>
        <stp/>
        <stp>Market</stp>
        <stp>INDEX</stp>
        <stp>EUR/AUD</stp>
        <stp>年初来安値</stp>
        <tr r="W213" s="1"/>
      </tp>
    </main>
    <main first="rtdsrv.dff54f4b11dd4e0d9cb19000fb943d8c">
      <tp>
        <v>421.04</v>
        <stp/>
        <stp>Market</stp>
        <stp>INDEX</stp>
        <stp>SPESG</stp>
        <stp>前年最安値</stp>
        <tr r="T38" s="1"/>
      </tp>
    </main>
    <main first="rtdsrv.dff54f4b11dd4e0d9cb19000fb943d8c">
      <tp t="s">
        <v>2026/02/28</v>
        <stp/>
        <stp>Market</stp>
        <stp>INDEX</stp>
        <stp>NQUSLT</stp>
        <stp>現在日付</stp>
        <tr r="C56" s="1"/>
      </tp>
      <tp>
        <v>0</v>
        <stp/>
        <stp>Market</stp>
        <stp>INDEX</stp>
        <stp>JGB:FDI</stp>
        <stp>安値</stp>
        <tr r="M19" s="1"/>
      </tp>
    </main>
    <main first="rtdsrv.dff54f4b11dd4e0d9cb19000fb943d8c">
      <tp t="s">
        <v xml:space="preserve">  :  </v>
        <stp/>
        <stp>Market</stp>
        <stp>INDEX</stp>
        <stp>RSS3.FUT11.OS</stp>
        <stp>始値時刻</stp>
        <tr r="N151" s="1"/>
      </tp>
      <tp t="s">
        <v xml:space="preserve">  :  </v>
        <stp/>
        <stp>Market</stp>
        <stp>INDEX</stp>
        <stp>RSS3.FUT12.OS</stp>
        <stp>安値時刻</stp>
        <tr r="P152" s="1"/>
      </tp>
      <tp t="s">
        <v xml:space="preserve">  :  </v>
        <stp/>
        <stp>Market</stp>
        <stp>INDEX</stp>
        <stp>RSS3.FUT10.OS</stp>
        <stp>始値時刻</stp>
        <tr r="N150" s="1"/>
      </tp>
      <tp t="s">
        <v xml:space="preserve">  :  </v>
        <stp/>
        <stp>Market</stp>
        <stp>INDEX</stp>
        <stp>RSS3.FUT11.OS</stp>
        <stp>安値時刻</stp>
        <tr r="P151" s="1"/>
      </tp>
      <tp t="s">
        <v xml:space="preserve">  :  </v>
        <stp/>
        <stp>Market</stp>
        <stp>INDEX</stp>
        <stp>RSS3.FUT10.OS</stp>
        <stp>安値時刻</stp>
        <tr r="P150" s="1"/>
      </tp>
      <tp t="s">
        <v xml:space="preserve">  :  </v>
        <stp/>
        <stp>Market</stp>
        <stp>INDEX</stp>
        <stp>RSS3.FUT12.OS</stp>
        <stp>始値時刻</stp>
        <tr r="N152" s="1"/>
      </tp>
      <tp t="s">
        <v xml:space="preserve">  :  </v>
        <stp/>
        <stp>Market</stp>
        <stp>INDEX</stp>
        <stp>RSS3.FUT12.OS</stp>
        <stp>高値時刻</stp>
        <tr r="O152" s="1"/>
      </tp>
      <tp t="s">
        <v xml:space="preserve">  :  </v>
        <stp/>
        <stp>Market</stp>
        <stp>INDEX</stp>
        <stp>RSS3.FUT10.OS</stp>
        <stp>高値時刻</stp>
        <tr r="O150" s="1"/>
      </tp>
      <tp t="s">
        <v xml:space="preserve">  :  </v>
        <stp/>
        <stp>Market</stp>
        <stp>INDEX</stp>
        <stp>RSS3.FUT11.OS</stp>
        <stp>高値時刻</stp>
        <tr r="O151" s="1"/>
      </tp>
      <tp t="s">
        <v xml:space="preserve">  :  </v>
        <stp/>
        <stp>Market</stp>
        <stp>INDEX</stp>
        <stp>RSS3.FUT07.OS</stp>
        <stp>安値時刻</stp>
        <tr r="P147" s="1"/>
      </tp>
      <tp t="s">
        <v>17:20</v>
        <stp/>
        <stp>Market</stp>
        <stp>INDEX</stp>
        <stp>RSS3.FUT05.OS</stp>
        <stp>始値時刻</stp>
        <tr r="N145" s="1"/>
      </tp>
      <tp t="s">
        <v>17:26</v>
        <stp/>
        <stp>Market</stp>
        <stp>INDEX</stp>
        <stp>RSS3.FUT06.OS</stp>
        <stp>安値時刻</stp>
        <tr r="P146" s="1"/>
      </tp>
      <tp t="s">
        <v>17:20</v>
        <stp/>
        <stp>Market</stp>
        <stp>INDEX</stp>
        <stp>RSS3.FUT04.OS</stp>
        <stp>始値時刻</stp>
        <tr r="N144" s="1"/>
      </tp>
      <tp t="s">
        <v>17:20</v>
        <stp/>
        <stp>Market</stp>
        <stp>INDEX</stp>
        <stp>RSS3.FUT05.OS</stp>
        <stp>安値時刻</stp>
        <tr r="P145" s="1"/>
      </tp>
      <tp t="s">
        <v xml:space="preserve">  :  </v>
        <stp/>
        <stp>Market</stp>
        <stp>INDEX</stp>
        <stp>RSS3.FUT07.OS</stp>
        <stp>始値時刻</stp>
        <tr r="N147" s="1"/>
      </tp>
      <tp t="s">
        <v>17:20</v>
        <stp/>
        <stp>Market</stp>
        <stp>INDEX</stp>
        <stp>RSS3.FUT04.OS</stp>
        <stp>安値時刻</stp>
        <tr r="P144" s="1"/>
      </tp>
      <tp t="s">
        <v>17:26</v>
        <stp/>
        <stp>Market</stp>
        <stp>INDEX</stp>
        <stp>RSS3.FUT06.OS</stp>
        <stp>始値時刻</stp>
        <tr r="N146" s="1"/>
      </tp>
      <tp t="s">
        <v xml:space="preserve">  :  </v>
        <stp/>
        <stp>Market</stp>
        <stp>INDEX</stp>
        <stp>RSS3.FUT03.OS</stp>
        <stp>安値時刻</stp>
        <tr r="P143" s="1"/>
      </tp>
      <tp t="s">
        <v xml:space="preserve">  :  </v>
        <stp/>
        <stp>Market</stp>
        <stp>INDEX</stp>
        <stp>RSS3.FUT01.OS</stp>
        <stp>始値時刻</stp>
        <tr r="N141" s="1"/>
      </tp>
      <tp t="s">
        <v xml:space="preserve">  :  </v>
        <stp/>
        <stp>Market</stp>
        <stp>INDEX</stp>
        <stp>RSS3.FUT02.OS</stp>
        <stp>安値時刻</stp>
        <tr r="P142" s="1"/>
      </tp>
      <tp t="s">
        <v xml:space="preserve">  :  </v>
        <stp/>
        <stp>Market</stp>
        <stp>INDEX</stp>
        <stp>RSS3.FUT01.OS</stp>
        <stp>安値時刻</stp>
        <tr r="P141" s="1"/>
      </tp>
      <tp t="s">
        <v xml:space="preserve">  :  </v>
        <stp/>
        <stp>Market</stp>
        <stp>INDEX</stp>
        <stp>RSS3.FUT03.OS</stp>
        <stp>始値時刻</stp>
        <tr r="N143" s="1"/>
      </tp>
      <tp t="s">
        <v xml:space="preserve">  :  </v>
        <stp/>
        <stp>Market</stp>
        <stp>INDEX</stp>
        <stp>RSS3.FUT02.OS</stp>
        <stp>始値時刻</stp>
        <tr r="N142" s="1"/>
      </tp>
      <tp t="s">
        <v xml:space="preserve">  :  </v>
        <stp/>
        <stp>Market</stp>
        <stp>INDEX</stp>
        <stp>RSS3.FUT09.OS</stp>
        <stp>始値時刻</stp>
        <tr r="N149" s="1"/>
      </tp>
      <tp t="s">
        <v xml:space="preserve">  :  </v>
        <stp/>
        <stp>Market</stp>
        <stp>INDEX</stp>
        <stp>RSS3.FUT08.OS</stp>
        <stp>始値時刻</stp>
        <tr r="N148" s="1"/>
      </tp>
      <tp t="s">
        <v xml:space="preserve">  :  </v>
        <stp/>
        <stp>Market</stp>
        <stp>INDEX</stp>
        <stp>RSS3.FUT09.OS</stp>
        <stp>安値時刻</stp>
        <tr r="P149" s="1"/>
      </tp>
      <tp t="s">
        <v xml:space="preserve">  :  </v>
        <stp/>
        <stp>Market</stp>
        <stp>INDEX</stp>
        <stp>RSS3.FUT08.OS</stp>
        <stp>安値時刻</stp>
        <tr r="P148" s="1"/>
      </tp>
      <tp t="s">
        <v>17:33</v>
        <stp/>
        <stp>Market</stp>
        <stp>INDEX</stp>
        <stp>RSS3.FUT06.OS</stp>
        <stp>高値時刻</stp>
        <tr r="O146" s="1"/>
      </tp>
      <tp t="s">
        <v xml:space="preserve">  :  </v>
        <stp/>
        <stp>Market</stp>
        <stp>INDEX</stp>
        <stp>RSS3.FUT07.OS</stp>
        <stp>高値時刻</stp>
        <tr r="O147" s="1"/>
      </tp>
      <tp t="s">
        <v>18:28</v>
        <stp/>
        <stp>Market</stp>
        <stp>INDEX</stp>
        <stp>RSS3.FUT04.OS</stp>
        <stp>高値時刻</stp>
        <tr r="O144" s="1"/>
      </tp>
      <tp t="s">
        <v>17:33</v>
        <stp/>
        <stp>Market</stp>
        <stp>INDEX</stp>
        <stp>RSS3.FUT05.OS</stp>
        <stp>高値時刻</stp>
        <tr r="O145" s="1"/>
      </tp>
      <tp t="s">
        <v xml:space="preserve">  :  </v>
        <stp/>
        <stp>Market</stp>
        <stp>INDEX</stp>
        <stp>RSS3.FUT02.OS</stp>
        <stp>高値時刻</stp>
        <tr r="O142" s="1"/>
      </tp>
      <tp t="s">
        <v xml:space="preserve">  :  </v>
        <stp/>
        <stp>Market</stp>
        <stp>INDEX</stp>
        <stp>RSS3.FUT03.OS</stp>
        <stp>高値時刻</stp>
        <tr r="O143" s="1"/>
      </tp>
      <tp t="s">
        <v xml:space="preserve">  :  </v>
        <stp/>
        <stp>Market</stp>
        <stp>INDEX</stp>
        <stp>RSS3.FUT01.OS</stp>
        <stp>高値時刻</stp>
        <tr r="O141" s="1"/>
      </tp>
      <tp t="s">
        <v xml:space="preserve">  :  </v>
        <stp/>
        <stp>Market</stp>
        <stp>INDEX</stp>
        <stp>RSS3.FUT08.OS</stp>
        <stp>高値時刻</stp>
        <tr r="O148" s="1"/>
      </tp>
      <tp t="s">
        <v xml:space="preserve">  :  </v>
        <stp/>
        <stp>Market</stp>
        <stp>INDEX</stp>
        <stp>RSS3.FUT09.OS</stp>
        <stp>高値時刻</stp>
        <tr r="O149" s="1"/>
      </tp>
    </main>
    <main first="rtdsrv.dff54f4b11dd4e0d9cb19000fb943d8c">
      <tp t="s">
        <v/>
        <stp/>
        <stp>Market</stp>
        <stp>INDEX</stp>
        <stp>FTSECA50</stp>
        <stp>指標名称</stp>
        <tr r="B102" s="1"/>
      </tp>
    </main>
    <main first="rtdsrv.dff54f4b11dd4e0d9cb19000fb943d8c">
      <tp>
        <v>0</v>
        <stp/>
        <stp>Market</stp>
        <stp>INDEX</stp>
        <stp>PALLADIUM.FUT01.OS</stp>
        <stp>安値</stp>
        <tr r="M135" s="1"/>
      </tp>
    </main>
    <main first="rtdsrv.dff54f4b11dd4e0d9cb19000fb943d8c">
      <tp>
        <v>0</v>
        <stp/>
        <stp>Market</stp>
        <stp>INDEX</stp>
        <stp>JGB:FI</stp>
        <stp>上場来安値</stp>
        <tr r="Y18" s="1"/>
      </tp>
    </main>
    <main first="rtdsrv.dff54f4b11dd4e0d9cb19000fb943d8c">
      <tp>
        <v>658.52</v>
        <stp/>
        <stp>Market</stp>
        <stp>INDEX</stp>
        <stp>TSGMC</stp>
        <stp>前年最安値</stp>
        <tr r="T12" s="1"/>
      </tp>
      <tp>
        <v>0</v>
        <stp/>
        <stp>Market</stp>
        <stp>INDEX</stp>
        <stp>JGB:FI</stp>
        <stp>年初来安値</stp>
        <tr r="W18" s="1"/>
      </tp>
    </main>
    <main first="rtdsrv.dff54f4b11dd4e0d9cb19000fb943d8c">
      <tp>
        <v>0</v>
        <stp/>
        <stp>Market</stp>
        <stp>INDEX</stp>
        <stp>PALLADIUM.FUT03.OS</stp>
        <stp>始値</stp>
        <tr r="K137" s="1"/>
      </tp>
      <tp t="s">
        <v/>
        <stp/>
        <stp>Market</stp>
        <stp>INDEX</stp>
        <stp>FTSECA50</stp>
        <stp>現在日付</stp>
        <tr r="C102" s="1"/>
      </tp>
    </main>
    <main first="rtdsrv.dff54f4b11dd4e0d9cb19000fb943d8c">
      <tp t="s">
        <v/>
        <stp/>
        <stp>Market</stp>
        <stp>INDEX</stp>
        <stp>N225U.FUT04.OS</stp>
        <stp>指標名称</stp>
        <tr r="B85" s="1"/>
      </tp>
      <tp t="s">
        <v/>
        <stp/>
        <stp>Market</stp>
        <stp>INDEX</stp>
        <stp>N225U.FUT02.OS</stp>
        <stp>指標名称</stp>
        <tr r="B83" s="1"/>
      </tp>
      <tp t="s">
        <v/>
        <stp/>
        <stp>Market</stp>
        <stp>INDEX</stp>
        <stp>N225U.FUT03.OS</stp>
        <stp>指標名称</stp>
        <tr r="B84" s="1"/>
      </tp>
      <tp t="s">
        <v/>
        <stp/>
        <stp>Market</stp>
        <stp>INDEX</stp>
        <stp>N225U.FUT01.OS</stp>
        <stp>指標名称</stp>
        <tr r="B82" s="1"/>
      </tp>
    </main>
    <main first="rtdsrv.dff54f4b11dd4e0d9cb19000fb943d8c">
      <tp t="s">
        <v/>
        <stp/>
        <stp>Market</stp>
        <stp>INDEX</stp>
        <stp>GBP/AUD</stp>
        <stp>上場来安値</stp>
        <tr r="Y214" s="1"/>
      </tp>
      <tp t="s">
        <v/>
        <stp/>
        <stp>Market</stp>
        <stp>INDEX</stp>
        <stp>EUR/CHF</stp>
        <stp>上場来安値</stp>
        <tr r="Y204" s="1"/>
      </tp>
      <tp t="s">
        <v/>
        <stp/>
        <stp>Market</stp>
        <stp>INDEX</stp>
        <stp>GBP/USD</stp>
        <stp>上場来安値</stp>
        <tr r="Y198" s="1"/>
      </tp>
      <tp>
        <v>0</v>
        <stp/>
        <stp>Market</stp>
        <stp>INDEX</stp>
        <stp>JGB:FDI</stp>
        <stp>始値</stp>
        <tr r="K19" s="1"/>
      </tp>
    </main>
    <main first="rtdsrv.dff54f4b11dd4e0d9cb19000fb943d8c">
      <tp t="s">
        <v/>
        <stp/>
        <stp>Market</stp>
        <stp>INDEX</stp>
        <stp>GBP/USD</stp>
        <stp>年初来安値</stp>
        <tr r="W198" s="1"/>
      </tp>
      <tp t="s">
        <v/>
        <stp/>
        <stp>Market</stp>
        <stp>INDEX</stp>
        <stp>EUR/CHF</stp>
        <stp>年初来安値</stp>
        <tr r="W204" s="1"/>
      </tp>
      <tp t="s">
        <v/>
        <stp/>
        <stp>Market</stp>
        <stp>INDEX</stp>
        <stp>GBP/AUD</stp>
        <stp>年初来安値</stp>
        <tr r="W214" s="1"/>
      </tp>
      <tp>
        <v>175.74</v>
        <stp/>
        <stp>Market</stp>
        <stp>INDEX</stp>
        <stp>SIXRE</stp>
        <stp>前年最安値</stp>
        <tr r="T30" s="1"/>
      </tp>
      <tp t="s">
        <v>2026/02/28</v>
        <stp/>
        <stp>Market</stp>
        <stp>INDEX</stp>
        <stp>N225U.FUT04.OS</stp>
        <stp>現在日付</stp>
        <tr r="C85" s="1"/>
      </tp>
      <tp t="s">
        <v>2026/02/28</v>
        <stp/>
        <stp>Market</stp>
        <stp>INDEX</stp>
        <stp>N225U.FUT02.OS</stp>
        <stp>現在日付</stp>
        <tr r="C83" s="1"/>
      </tp>
      <tp t="s">
        <v>2026/02/28</v>
        <stp/>
        <stp>Market</stp>
        <stp>INDEX</stp>
        <stp>N225U.FUT03.OS</stp>
        <stp>現在日付</stp>
        <tr r="C84" s="1"/>
      </tp>
      <tp t="s">
        <v>2026/02/28</v>
        <stp/>
        <stp>Market</stp>
        <stp>INDEX</stp>
        <stp>N225U.FUT01.OS</stp>
        <stp>現在日付</stp>
        <tr r="C82" s="1"/>
      </tp>
    </main>
    <main first="rtdsrv.dff54f4b11dd4e0d9cb19000fb943d8c">
      <tp>
        <v>0</v>
        <stp/>
        <stp>Market</stp>
        <stp>INDEX</stp>
        <stp>PALLADIUM.FUT02.OS</stp>
        <stp>始値</stp>
        <tr r="K136" s="1"/>
      </tp>
    </main>
    <main first="rtdsrv.dff54f4b11dd4e0d9cb19000fb943d8c">
      <tp t="s">
        <v>23:42</v>
        <stp/>
        <stp>Market</stp>
        <stp>INDEX</stp>
        <stp>N225U.FUT04.OS</stp>
        <stp>安値時刻</stp>
        <tr r="P85" s="1"/>
      </tp>
      <tp t="s">
        <v>17:00</v>
        <stp/>
        <stp>Market</stp>
        <stp>INDEX</stp>
        <stp>N225U.FUT04.OS</stp>
        <stp>始値時刻</stp>
        <tr r="N85" s="1"/>
      </tp>
      <tp t="s">
        <v>23:43</v>
        <stp/>
        <stp>Market</stp>
        <stp>INDEX</stp>
        <stp>N225U.FUT01.OS</stp>
        <stp>安値時刻</stp>
        <tr r="P82" s="1"/>
      </tp>
      <tp t="s">
        <v>17:00</v>
        <stp/>
        <stp>Market</stp>
        <stp>INDEX</stp>
        <stp>N225U.FUT03.OS</stp>
        <stp>始値時刻</stp>
        <tr r="N84" s="1"/>
      </tp>
      <tp t="s">
        <v>17:00</v>
        <stp/>
        <stp>Market</stp>
        <stp>INDEX</stp>
        <stp>N225U.FUT02.OS</stp>
        <stp>始値時刻</stp>
        <tr r="N83" s="1"/>
      </tp>
      <tp t="s">
        <v>00:00</v>
        <stp/>
        <stp>Market</stp>
        <stp>INDEX</stp>
        <stp>N225U.FUT03.OS</stp>
        <stp>安値時刻</stp>
        <tr r="P84" s="1"/>
      </tp>
      <tp t="s">
        <v>17:00</v>
        <stp/>
        <stp>Market</stp>
        <stp>INDEX</stp>
        <stp>N225U.FUT01.OS</stp>
        <stp>始値時刻</stp>
        <tr r="N82" s="1"/>
      </tp>
      <tp t="s">
        <v>23:43</v>
        <stp/>
        <stp>Market</stp>
        <stp>INDEX</stp>
        <stp>N225U.FUT02.OS</stp>
        <stp>安値時刻</stp>
        <tr r="P83" s="1"/>
      </tp>
      <tp t="s">
        <v>18:22</v>
        <stp/>
        <stp>Market</stp>
        <stp>INDEX</stp>
        <stp>N225U.FUT04.OS</stp>
        <stp>高値時刻</stp>
        <tr r="O85" s="1"/>
      </tp>
      <tp t="s">
        <v>18:22</v>
        <stp/>
        <stp>Market</stp>
        <stp>INDEX</stp>
        <stp>N225U.FUT01.OS</stp>
        <stp>高値時刻</stp>
        <tr r="O82" s="1"/>
      </tp>
      <tp t="s">
        <v>18:22</v>
        <stp/>
        <stp>Market</stp>
        <stp>INDEX</stp>
        <stp>N225U.FUT02.OS</stp>
        <stp>高値時刻</stp>
        <tr r="O83" s="1"/>
      </tp>
      <tp t="s">
        <v>18:21</v>
        <stp/>
        <stp>Market</stp>
        <stp>INDEX</stp>
        <stp>N225U.FUT03.OS</stp>
        <stp>高値時刻</stp>
        <tr r="O84" s="1"/>
      </tp>
      <tp>
        <v>277.5</v>
        <stp/>
        <stp>Market</stp>
        <stp>INDEX</stp>
        <stp>INDS</stp>
        <stp>上場来安値</stp>
        <tr r="Y39" s="1"/>
      </tp>
    </main>
    <main first="rtdsrv.dff54f4b11dd4e0d9cb19000fb943d8c">
      <tp t="s">
        <v/>
        <stp/>
        <stp>Market</stp>
        <stp>INDEX</stp>
        <stp>TOPX.FUT01.OS</stp>
        <stp>前年最安値</stp>
        <tr r="T86" s="1"/>
      </tp>
      <tp t="s">
        <v/>
        <stp/>
        <stp>Market</stp>
        <stp>INDEX</stp>
        <stp>PLATINUMMINI.FUT05.OS</stp>
        <stp>前年最安値</stp>
        <tr r="T126" s="1"/>
      </tp>
      <tp>
        <v>12081.15</v>
        <stp/>
        <stp>Market</stp>
        <stp>INDEX</stp>
        <stp>INDS</stp>
        <stp>年初来安値</stp>
        <tr r="W39" s="1"/>
      </tp>
      <tp t="s">
        <v/>
        <stp/>
        <stp>Market</stp>
        <stp>INDEX</stp>
        <stp>PLATINUMMINI.FUT04.OS</stp>
        <stp>前年最安値</stp>
        <tr r="T125" s="1"/>
      </tp>
      <tp t="s">
        <v/>
        <stp/>
        <stp>Market</stp>
        <stp>INDEX</stp>
        <stp>TOPX.FUT03.OS</stp>
        <stp>前年最安値</stp>
        <tr r="T88" s="1"/>
      </tp>
      <tp t="s">
        <v/>
        <stp/>
        <stp>Market</stp>
        <stp>INDEX</stp>
        <stp>TOPX.FUT02.OS</stp>
        <stp>前年最安値</stp>
        <tr r="T87" s="1"/>
      </tp>
      <tp t="s">
        <v/>
        <stp/>
        <stp>Market</stp>
        <stp>INDEX</stp>
        <stp>PLATINUMMINI.FUT06.OS</stp>
        <stp>前年最安値</stp>
        <tr r="T127" s="1"/>
      </tp>
      <tp t="s">
        <v/>
        <stp/>
        <stp>Market</stp>
        <stp>INDEX</stp>
        <stp>TOPX.FUT05.OS</stp>
        <stp>前年最安値</stp>
        <tr r="T90" s="1"/>
      </tp>
      <tp t="s">
        <v/>
        <stp/>
        <stp>Market</stp>
        <stp>INDEX</stp>
        <stp>PLATINUMMINI.FUT01.OS</stp>
        <stp>前年最安値</stp>
        <tr r="T122" s="1"/>
      </tp>
      <tp t="s">
        <v/>
        <stp/>
        <stp>Market</stp>
        <stp>INDEX</stp>
        <stp>TOPX.FUT04.OS</stp>
        <stp>前年最安値</stp>
        <tr r="T89" s="1"/>
      </tp>
      <tp t="s">
        <v/>
        <stp/>
        <stp>Market</stp>
        <stp>INDEX</stp>
        <stp>PLATINUMMINI.FUT03.OS</stp>
        <stp>前年最安値</stp>
        <tr r="T124" s="1"/>
      </tp>
      <tp t="s">
        <v/>
        <stp/>
        <stp>Market</stp>
        <stp>INDEX</stp>
        <stp>PLATINUMMINI.FUT02.OS</stp>
        <stp>前年最安値</stp>
        <tr r="T123" s="1"/>
      </tp>
    </main>
    <main first="rtdsrv.dff54f4b11dd4e0d9cb19000fb943d8c">
      <tp t="s">
        <v xml:space="preserve">  :  </v>
        <stp/>
        <stp>Market</stp>
        <stp>INDEX</stp>
        <stp>FTSECA50</stp>
        <stp>始値時刻</stp>
        <tr r="N102" s="1"/>
      </tp>
      <tp t="s">
        <v xml:space="preserve">  :  </v>
        <stp/>
        <stp>Market</stp>
        <stp>INDEX</stp>
        <stp>FTSECA50</stp>
        <stp>安値時刻</stp>
        <tr r="P102" s="1"/>
      </tp>
      <tp t="s">
        <v xml:space="preserve">  :  </v>
        <stp/>
        <stp>Market</stp>
        <stp>INDEX</stp>
        <stp>FTSECA50</stp>
        <stp>高値時刻</stp>
        <tr r="O102" s="1"/>
      </tp>
    </main>
    <main first="rtdsrv.dff54f4b11dd4e0d9cb19000fb943d8c">
      <tp t="s">
        <v/>
        <stp/>
        <stp>Market</stp>
        <stp>INDEX</stp>
        <stp>RSS3.FUT10.OS</stp>
        <stp>指標名称</stp>
        <tr r="B150" s="1"/>
      </tp>
      <tp t="s">
        <v/>
        <stp/>
        <stp>Market</stp>
        <stp>INDEX</stp>
        <stp>RSS3.FUT11.OS</stp>
        <stp>指標名称</stp>
        <tr r="B151" s="1"/>
      </tp>
      <tp t="s">
        <v/>
        <stp/>
        <stp>Market</stp>
        <stp>INDEX</stp>
        <stp>RSS3.FUT12.OS</stp>
        <stp>指標名称</stp>
        <tr r="B152" s="1"/>
      </tp>
      <tp t="s">
        <v/>
        <stp/>
        <stp>Market</stp>
        <stp>INDEX</stp>
        <stp>RSS3.FUT04.OS</stp>
        <stp>指標名称</stp>
        <tr r="B144" s="1"/>
      </tp>
      <tp t="s">
        <v/>
        <stp/>
        <stp>Market</stp>
        <stp>INDEX</stp>
        <stp>RSS3.FUT05.OS</stp>
        <stp>指標名称</stp>
        <tr r="B145" s="1"/>
      </tp>
      <tp t="s">
        <v/>
        <stp/>
        <stp>Market</stp>
        <stp>INDEX</stp>
        <stp>RSS3.FUT06.OS</stp>
        <stp>指標名称</stp>
        <tr r="B146" s="1"/>
      </tp>
      <tp t="s">
        <v/>
        <stp/>
        <stp>Market</stp>
        <stp>INDEX</stp>
        <stp>RSS3.FUT07.OS</stp>
        <stp>指標名称</stp>
        <tr r="B147" s="1"/>
      </tp>
      <tp t="s">
        <v/>
        <stp/>
        <stp>Market</stp>
        <stp>INDEX</stp>
        <stp>RSS3.FUT01.OS</stp>
        <stp>指標名称</stp>
        <tr r="B141" s="1"/>
      </tp>
      <tp t="s">
        <v/>
        <stp/>
        <stp>Market</stp>
        <stp>INDEX</stp>
        <stp>RSS3.FUT02.OS</stp>
        <stp>指標名称</stp>
        <tr r="B142" s="1"/>
      </tp>
      <tp t="s">
        <v/>
        <stp/>
        <stp>Market</stp>
        <stp>INDEX</stp>
        <stp>RSS3.FUT03.OS</stp>
        <stp>指標名称</stp>
        <tr r="B143" s="1"/>
      </tp>
      <tp t="s">
        <v/>
        <stp/>
        <stp>Market</stp>
        <stp>INDEX</stp>
        <stp>RSS3.FUT08.OS</stp>
        <stp>指標名称</stp>
        <tr r="B148" s="1"/>
      </tp>
      <tp t="s">
        <v/>
        <stp/>
        <stp>Market</stp>
        <stp>INDEX</stp>
        <stp>RSS3.FUT09.OS</stp>
        <stp>指標名称</stp>
        <tr r="B149" s="1"/>
      </tp>
    </main>
    <main first="rtdsrv.dff54f4b11dd4e0d9cb19000fb943d8c">
      <tp>
        <v>-415</v>
        <stp/>
        <stp>Market</stp>
        <stp>INDEX</stp>
        <stp>N225M.FUT01.OS</stp>
        <stp>前日比</stp>
        <tr r="G77" s="1"/>
      </tp>
      <tp>
        <v>-480</v>
        <stp/>
        <stp>Market</stp>
        <stp>INDEX</stp>
        <stp>N225M.FUT02.OS</stp>
        <stp>前日比</stp>
        <tr r="G78" s="1"/>
      </tp>
      <tp>
        <v>-255</v>
        <stp/>
        <stp>Market</stp>
        <stp>INDEX</stp>
        <stp>N225M.FUT03.OS</stp>
        <stp>前日比</stp>
        <tr r="G79" s="1"/>
      </tp>
      <tp>
        <v>-410</v>
        <stp/>
        <stp>Market</stp>
        <stp>INDEX</stp>
        <stp>N225M.FUT04.OS</stp>
        <stp>前日比</stp>
        <tr r="G80" s="1"/>
      </tp>
      <tp>
        <v>-165</v>
        <stp/>
        <stp>Market</stp>
        <stp>INDEX</stp>
        <stp>N225M.FUT05.OS</stp>
        <stp>前日比</stp>
        <tr r="G81" s="1"/>
      </tp>
    </main>
    <main first="rtdsrv.dff54f4b11dd4e0d9cb19000fb943d8c">
      <tp>
        <v>-465</v>
        <stp/>
        <stp>Market</stp>
        <stp>INDEX</stp>
        <stp>N225U.FUT01.OS</stp>
        <stp>前日比</stp>
        <tr r="G82" s="1"/>
      </tp>
      <tp>
        <v>-415</v>
        <stp/>
        <stp>Market</stp>
        <stp>INDEX</stp>
        <stp>N225U.FUT02.OS</stp>
        <stp>前日比</stp>
        <tr r="G83" s="1"/>
      </tp>
      <tp>
        <v>-205</v>
        <stp/>
        <stp>Market</stp>
        <stp>INDEX</stp>
        <stp>N225U.FUT03.OS</stp>
        <stp>前日比</stp>
        <tr r="G84" s="1"/>
      </tp>
      <tp>
        <v>-465</v>
        <stp/>
        <stp>Market</stp>
        <stp>INDEX</stp>
        <stp>N225U.FUT04.OS</stp>
        <stp>前日比</stp>
        <tr r="G85" s="1"/>
      </tp>
      <tp t="s">
        <v/>
        <stp/>
        <stp>Market</stp>
        <stp>INDEX</stp>
        <stp>GOLD.FUT06.OS</stp>
        <stp>上場来高値日付</stp>
        <tr r="Z108" s="1"/>
      </tp>
      <tp t="s">
        <v/>
        <stp/>
        <stp>Market</stp>
        <stp>INDEX</stp>
        <stp>GOLD.FUT04.OS</stp>
        <stp>上場来高値日付</stp>
        <tr r="Z106" s="1"/>
      </tp>
      <tp t="s">
        <v/>
        <stp/>
        <stp>Market</stp>
        <stp>INDEX</stp>
        <stp>GOLD.FUT05.OS</stp>
        <stp>上場来高値日付</stp>
        <tr r="Z107" s="1"/>
      </tp>
      <tp t="s">
        <v/>
        <stp/>
        <stp>Market</stp>
        <stp>INDEX</stp>
        <stp>GOLD.FUT02.OS</stp>
        <stp>上場来高値日付</stp>
        <tr r="Z104" s="1"/>
      </tp>
      <tp t="s">
        <v/>
        <stp/>
        <stp>Market</stp>
        <stp>INDEX</stp>
        <stp>GOLD.FUT03.OS</stp>
        <stp>上場来高値日付</stp>
        <tr r="Z105" s="1"/>
      </tp>
      <tp t="s">
        <v/>
        <stp/>
        <stp>Market</stp>
        <stp>INDEX</stp>
        <stp>GOLD.FUT01.OS</stp>
        <stp>上場来高値日付</stp>
        <tr r="Z103" s="1"/>
      </tp>
      <tp t="s">
        <v/>
        <stp/>
        <stp>Market</stp>
        <stp>INDEX</stp>
        <stp>GOLD.FUT06.OS</stp>
        <stp>上場来安値日付</stp>
        <tr r="AA108" s="1"/>
      </tp>
      <tp t="s">
        <v/>
        <stp/>
        <stp>Market</stp>
        <stp>INDEX</stp>
        <stp>GOLD.FUT05.OS</stp>
        <stp>上場来安値日付</stp>
        <tr r="AA107" s="1"/>
      </tp>
      <tp t="s">
        <v/>
        <stp/>
        <stp>Market</stp>
        <stp>INDEX</stp>
        <stp>GOLD.FUT04.OS</stp>
        <stp>上場来安値日付</stp>
        <tr r="AA106" s="1"/>
      </tp>
      <tp t="s">
        <v/>
        <stp/>
        <stp>Market</stp>
        <stp>INDEX</stp>
        <stp>GOLD.FUT03.OS</stp>
        <stp>上場来安値日付</stp>
        <tr r="AA105" s="1"/>
      </tp>
      <tp t="s">
        <v/>
        <stp/>
        <stp>Market</stp>
        <stp>INDEX</stp>
        <stp>GOLD.FUT02.OS</stp>
        <stp>上場来安値日付</stp>
        <tr r="AA104" s="1"/>
      </tp>
      <tp t="s">
        <v/>
        <stp/>
        <stp>Market</stp>
        <stp>INDEX</stp>
        <stp>GOLD.FUT01.OS</stp>
        <stp>上場来安値日付</stp>
        <tr r="AA103" s="1"/>
      </tp>
      <tp t="s">
        <v/>
        <stp/>
        <stp>Market</stp>
        <stp>INDEX</stp>
        <stp>RSS3.FUT08.OS</stp>
        <stp>現在日付</stp>
        <tr r="C148" s="1"/>
      </tp>
      <tp t="s">
        <v>2025/12/11</v>
        <stp/>
        <stp>Market</stp>
        <stp>INDEX</stp>
        <stp>RSS3.FUT09.OS</stp>
        <stp>現在日付</stp>
        <tr r="C149" s="1"/>
      </tp>
      <tp t="s">
        <v>2026/02/27</v>
        <stp/>
        <stp>Market</stp>
        <stp>INDEX</stp>
        <stp>RSS3.FUT04.OS</stp>
        <stp>現在日付</stp>
        <tr r="C144" s="1"/>
      </tp>
      <tp t="s">
        <v>2026/02/27</v>
        <stp/>
        <stp>Market</stp>
        <stp>INDEX</stp>
        <stp>RSS3.FUT05.OS</stp>
        <stp>現在日付</stp>
        <tr r="C145" s="1"/>
      </tp>
      <tp t="s">
        <v>2026/02/27</v>
        <stp/>
        <stp>Market</stp>
        <stp>INDEX</stp>
        <stp>RSS3.FUT06.OS</stp>
        <stp>現在日付</stp>
        <tr r="C146" s="1"/>
      </tp>
      <tp t="s">
        <v/>
        <stp/>
        <stp>Market</stp>
        <stp>INDEX</stp>
        <stp>RSS3.FUT07.OS</stp>
        <stp>現在日付</stp>
        <tr r="C147" s="1"/>
      </tp>
      <tp t="s">
        <v>2026/02/27</v>
        <stp/>
        <stp>Market</stp>
        <stp>INDEX</stp>
        <stp>RSS3.FUT01.OS</stp>
        <stp>現在日付</stp>
        <tr r="C141" s="1"/>
      </tp>
      <tp t="s">
        <v>2026/02/27</v>
        <stp/>
        <stp>Market</stp>
        <stp>INDEX</stp>
        <stp>RSS3.FUT02.OS</stp>
        <stp>現在日付</stp>
        <tr r="C142" s="1"/>
      </tp>
      <tp t="s">
        <v>2026/02/27</v>
        <stp/>
        <stp>Market</stp>
        <stp>INDEX</stp>
        <stp>RSS3.FUT03.OS</stp>
        <stp>現在日付</stp>
        <tr r="C143" s="1"/>
      </tp>
      <tp t="s">
        <v/>
        <stp/>
        <stp>Market</stp>
        <stp>INDEX</stp>
        <stp>RSS3.FUT10.OS</stp>
        <stp>現在日付</stp>
        <tr r="C150" s="1"/>
      </tp>
      <tp t="s">
        <v>2026/02/20</v>
        <stp/>
        <stp>Market</stp>
        <stp>INDEX</stp>
        <stp>RSS3.FUT11.OS</stp>
        <stp>現在日付</stp>
        <tr r="C151" s="1"/>
      </tp>
      <tp t="s">
        <v/>
        <stp/>
        <stp>Market</stp>
        <stp>INDEX</stp>
        <stp>RSS3.FUT12.OS</stp>
        <stp>現在日付</stp>
        <tr r="C152" s="1"/>
      </tp>
      <tp>
        <v>326</v>
        <stp/>
        <stp>Market</stp>
        <stp>INDEX</stp>
        <stp>INSR</stp>
        <stp>上場来安値</stp>
        <tr r="Y41" s="1"/>
      </tp>
      <tp>
        <v>255.95</v>
        <stp/>
        <stp>Market</stp>
        <stp>INDEX</stp>
        <stp>MTHR</stp>
        <stp>上場来安値</stp>
        <tr r="Y13" s="1"/>
      </tp>
      <tp>
        <v>774.64</v>
        <stp/>
        <stp>Market</stp>
        <stp>INDEX</stp>
        <stp>SIXR</stp>
        <stp>年初来安値</stp>
        <tr r="W35" s="1"/>
      </tp>
      <tp>
        <v>14555.35</v>
        <stp/>
        <stp>Market</stp>
        <stp>INDEX</stp>
        <stp>INSR</stp>
        <stp>年初来安値</stp>
        <tr r="W41" s="1"/>
      </tp>
      <tp>
        <v>675.15</v>
        <stp/>
        <stp>Market</stp>
        <stp>INDEX</stp>
        <stp>MTHR</stp>
        <stp>年初来安値</stp>
        <tr r="W13" s="1"/>
      </tp>
      <tp>
        <v>480.59</v>
        <stp/>
        <stp>Market</stp>
        <stp>INDEX</stp>
        <stp>SIXR</stp>
        <stp>上場来安値</stp>
        <tr r="Y35" s="1"/>
      </tp>
      <tp t="s">
        <v>-</v>
        <stp/>
        <stp>Market</stp>
        <stp>INDEX</stp>
        <stp>NQUSLT</stp>
        <stp>安値時刻</stp>
        <tr r="P56" s="1"/>
      </tp>
      <tp t="s">
        <v>-</v>
        <stp/>
        <stp>Market</stp>
        <stp>INDEX</stp>
        <stp>NQUSLT</stp>
        <stp>始値時刻</stp>
        <tr r="N56" s="1"/>
      </tp>
      <tp t="s">
        <v>-</v>
        <stp/>
        <stp>Market</stp>
        <stp>INDEX</stp>
        <stp>NQUSLT</stp>
        <stp>高値時刻</stp>
        <tr r="O56" s="1"/>
      </tp>
    </main>
    <main first="rtdsrv.dff54f4b11dd4e0d9cb19000fb943d8c">
      <tp>
        <v>106.75</v>
        <stp/>
        <stp>Market</stp>
        <stp>INDEX</stp>
        <stp>NQ100</stp>
        <stp>上場来安値</stp>
        <tr r="Y22" s="1"/>
      </tp>
    </main>
    <main first="rtdsrv.dff54f4b11dd4e0d9cb19000fb943d8c">
      <tp>
        <v>24387.469000000001</v>
        <stp/>
        <stp>Market</stp>
        <stp>INDEX</stp>
        <stp>NQ100</stp>
        <stp>年初来安値</stp>
        <tr r="W22" s="1"/>
      </tp>
    </main>
    <main first="rtdsrv.dff54f4b11dd4e0d9cb19000fb943d8c">
      <tp>
        <v>0</v>
        <stp/>
        <stp>Market</stp>
        <stp>INDEX</stp>
        <stp>VOLQ</stp>
        <stp>年初来安値</stp>
        <tr r="W64" s="1"/>
      </tp>
      <tp t="s">
        <v>2026/02/25</v>
        <stp/>
        <stp>Market</stp>
        <stp>INDEX</stp>
        <stp>SOX</stp>
        <stp>上場来高値日付</stp>
        <tr r="Z51" s="1"/>
      </tp>
      <tp t="s">
        <v>1994/05/17</v>
        <stp/>
        <stp>Market</stp>
        <stp>INDEX</stp>
        <stp>SOX</stp>
        <stp>上場来安値日付</stp>
        <tr r="AA51" s="1"/>
      </tp>
      <tp>
        <v>0</v>
        <stp/>
        <stp>Market</stp>
        <stp>INDEX</stp>
        <stp>VOLQ</stp>
        <stp>上場来安値</stp>
        <tr r="Y64" s="1"/>
      </tp>
      <tp t="s">
        <v>2026/02/26</v>
        <stp/>
        <stp>Market</stp>
        <stp>INDEX</stp>
        <stp>JN400</stp>
        <stp>上場来高値日付</stp>
        <tr r="Z5" s="1"/>
      </tp>
      <tp t="s">
        <v>2014/04/11</v>
        <stp/>
        <stp>Market</stp>
        <stp>INDEX</stp>
        <stp>JN400</stp>
        <stp>上場来安値日付</stp>
        <tr r="AA5" s="1"/>
      </tp>
      <tp t="s">
        <v>NASDAQ CTA AI&amp;ロボティクス指数</v>
        <stp/>
        <stp>Market</stp>
        <stp>INDEX</stp>
        <stp>NQROBO</stp>
        <stp>指標名称</stp>
        <tr r="B61" s="1"/>
      </tp>
      <tp t="s">
        <v>NASDAQ CTAサイバーセキュリティ指数</v>
        <stp/>
        <stp>Market</stp>
        <stp>INDEX</stp>
        <stp>NQCYBR</stp>
        <stp>指標名称</stp>
        <tr r="B59" s="1"/>
      </tp>
      <tp t="s">
        <v>JPX国債先物レバレッジ</v>
        <stp/>
        <stp>Market</stp>
        <stp>INDEX</stp>
        <stp>JGB:FL</stp>
        <stp>指標名称</stp>
        <tr r="B17" s="1"/>
      </tp>
      <tp t="s">
        <v>JPX国債先物インバース</v>
        <stp/>
        <stp>Market</stp>
        <stp>INDEX</stp>
        <stp>JGB:FI</stp>
        <stp>指標名称</stp>
        <tr r="B18" s="1"/>
      </tp>
    </main>
    <main first="rtdsrv.dff54f4b11dd4e0d9cb19000fb943d8c">
      <tp t="s">
        <v>-</v>
        <stp/>
        <stp>Market</stp>
        <stp>INDEX</stp>
        <stp>NQUSMT</stp>
        <stp>安値時刻</stp>
        <tr r="P57" s="1"/>
      </tp>
      <tp t="s">
        <v>-</v>
        <stp/>
        <stp>Market</stp>
        <stp>INDEX</stp>
        <stp>NQUSMT</stp>
        <stp>始値時刻</stp>
        <tr r="N57" s="1"/>
      </tp>
      <tp t="s">
        <v>-</v>
        <stp/>
        <stp>Market</stp>
        <stp>INDEX</stp>
        <stp>NQUSMT</stp>
        <stp>高値時刻</stp>
        <tr r="O57" s="1"/>
      </tp>
    </main>
    <main first="rtdsrv.dff54f4b11dd4e0d9cb19000fb943d8c">
      <tp>
        <v>0</v>
        <stp/>
        <stp>Market</stp>
        <stp>INDEX</stp>
        <stp>FTSECA50</stp>
        <stp>前日比</stp>
        <tr r="G102" s="1"/>
      </tp>
    </main>
    <main first="rtdsrv.dff54f4b11dd4e0d9cb19000fb943d8c">
      <tp t="s">
        <v/>
        <stp/>
        <stp>Market</stp>
        <stp>INDEX</stp>
        <stp>GOLD.SPOT.OS</stp>
        <stp>年初来安値</stp>
        <tr r="W115" s="1"/>
      </tp>
      <tp t="s">
        <v/>
        <stp/>
        <stp>Market</stp>
        <stp>INDEX</stp>
        <stp>JN400.FUT05.OS</stp>
        <stp>上場来安値</stp>
        <tr r="Y100" s="1"/>
      </tp>
      <tp t="s">
        <v/>
        <stp/>
        <stp>Market</stp>
        <stp>INDEX</stp>
        <stp>JN400.FUT04.OS</stp>
        <stp>上場来安値</stp>
        <tr r="Y99" s="1"/>
      </tp>
      <tp t="s">
        <v/>
        <stp/>
        <stp>Market</stp>
        <stp>INDEX</stp>
        <stp>JN400.FUT01.OS</stp>
        <stp>上場来安値</stp>
        <tr r="Y96" s="1"/>
      </tp>
      <tp>
        <v>646.21</v>
        <stp/>
        <stp>Market</stp>
        <stp>INDEX</stp>
        <stp>NQCYBR</stp>
        <stp>上場来安値</stp>
        <tr r="Y59" s="1"/>
      </tp>
      <tp t="s">
        <v/>
        <stp/>
        <stp>Market</stp>
        <stp>INDEX</stp>
        <stp>JN400.FUT03.OS</stp>
        <stp>上場来安値</stp>
        <tr r="Y98" s="1"/>
      </tp>
      <tp t="s">
        <v/>
        <stp/>
        <stp>Market</stp>
        <stp>INDEX</stp>
        <stp>JN400.FUT02.OS</stp>
        <stp>上場来安値</stp>
        <tr r="Y97" s="1"/>
      </tp>
    </main>
    <main first="rtdsrv.dff54f4b11dd4e0d9cb19000fb943d8c">
      <tp t="s">
        <v/>
        <stp/>
        <stp>Market</stp>
        <stp>INDEX</stp>
        <stp>GOLD.SPOT.OS</stp>
        <stp>上場来安値</stp>
        <tr r="Y115" s="1"/>
      </tp>
      <tp t="s">
        <v/>
        <stp/>
        <stp>Market</stp>
        <stp>INDEX</stp>
        <stp>JN400.FUT05.OS</stp>
        <stp>年初来安値</stp>
        <tr r="W100" s="1"/>
      </tp>
      <tp t="s">
        <v/>
        <stp/>
        <stp>Market</stp>
        <stp>INDEX</stp>
        <stp>JN400.FUT04.OS</stp>
        <stp>年初来安値</stp>
        <tr r="W99" s="1"/>
      </tp>
      <tp>
        <v>2906.13</v>
        <stp/>
        <stp>Market</stp>
        <stp>INDEX</stp>
        <stp>NQCYBR</stp>
        <stp>年初来安値</stp>
        <tr r="W59" s="1"/>
      </tp>
      <tp t="s">
        <v/>
        <stp/>
        <stp>Market</stp>
        <stp>INDEX</stp>
        <stp>JN400.FUT01.OS</stp>
        <stp>年初来安値</stp>
        <tr r="W96" s="1"/>
      </tp>
      <tp t="s">
        <v/>
        <stp/>
        <stp>Market</stp>
        <stp>INDEX</stp>
        <stp>JN400.FUT03.OS</stp>
        <stp>年初来安値</stp>
        <tr r="W98" s="1"/>
      </tp>
      <tp t="s">
        <v/>
        <stp/>
        <stp>Market</stp>
        <stp>INDEX</stp>
        <stp>JN400.FUT02.OS</stp>
        <stp>年初来安値</stp>
        <tr r="W97" s="1"/>
      </tp>
      <tp t="s">
        <v>2026/02/27</v>
        <stp/>
        <stp>Market</stp>
        <stp>INDEX</stp>
        <stp>JGB:FI</stp>
        <stp>現在日付</stp>
        <tr r="C18" s="1"/>
      </tp>
      <tp t="s">
        <v>2026/02/27</v>
        <stp/>
        <stp>Market</stp>
        <stp>INDEX</stp>
        <stp>JGB:FL</stp>
        <stp>現在日付</stp>
        <tr r="C17" s="1"/>
      </tp>
      <tp t="s">
        <v>2026/02/28</v>
        <stp/>
        <stp>Market</stp>
        <stp>INDEX</stp>
        <stp>NQCYBR</stp>
        <stp>現在日付</stp>
        <tr r="C59" s="1"/>
      </tp>
      <tp t="s">
        <v>2026/02/28</v>
        <stp/>
        <stp>Market</stp>
        <stp>INDEX</stp>
        <stp>NQROBO</stp>
        <stp>現在日付</stp>
        <tr r="C61" s="1"/>
      </tp>
      <tp>
        <v>30792.74</v>
        <stp/>
        <stp>Market</stp>
        <stp>INDEX</stp>
        <stp>N225</stp>
        <stp>前年最安値</stp>
        <tr r="T2" s="1"/>
      </tp>
    </main>
    <main first="rtdsrv.dff54f4b11dd4e0d9cb19000fb943d8c">
      <tp t="s">
        <v>2026/01/28</v>
        <stp/>
        <stp>Market</stp>
        <stp>INDEX</stp>
        <stp>SP500</stp>
        <stp>上場来高値日付</stp>
        <tr r="Z24" s="1"/>
      </tp>
      <tp t="s">
        <v>1957/10/22</v>
        <stp/>
        <stp>Market</stp>
        <stp>INDEX</stp>
        <stp>SP500</stp>
        <stp>上場来安値日付</stp>
        <tr r="AA24" s="1"/>
      </tp>
    </main>
    <main first="rtdsrv.dff54f4b11dd4e0d9cb19000fb943d8c">
      <tp t="s">
        <v/>
        <stp/>
        <stp>Market</stp>
        <stp>INDEX</stp>
        <stp>CHF/JPY</stp>
        <stp>上場来安値</stp>
        <tr r="Y194" s="1"/>
      </tp>
    </main>
    <main first="rtdsrv.dff54f4b11dd4e0d9cb19000fb943d8c">
      <tp t="s">
        <v/>
        <stp/>
        <stp>Market</stp>
        <stp>INDEX</stp>
        <stp>CHF/JPY</stp>
        <stp>年初来安値</stp>
        <tr r="W194" s="1"/>
      </tp>
      <tp t="s">
        <v/>
        <stp/>
        <stp>Market</stp>
        <stp>INDEX</stp>
        <stp>TCWSI</stp>
        <stp>前年最安値</stp>
        <tr r="T101" s="1"/>
      </tp>
    </main>
    <main first="rtdsrv.dff54f4b11dd4e0d9cb19000fb943d8c">
      <tp t="s">
        <v>2026/02/25</v>
        <stp/>
        <stp>Market</stp>
        <stp>INDEX</stp>
        <stp>UTY</stp>
        <stp>上場来高値日付</stp>
        <tr r="Z54" s="1"/>
      </tp>
      <tp t="s">
        <v>2009/03/09</v>
        <stp/>
        <stp>Market</stp>
        <stp>INDEX</stp>
        <stp>UTY</stp>
        <stp>上場来安値日付</stp>
        <tr r="AA54" s="1"/>
      </tp>
    </main>
    <main first="rtdsrv.dff54f4b11dd4e0d9cb19000fb943d8c">
      <tp>
        <v>0</v>
        <stp/>
        <stp>Market</stp>
        <stp>INDEX</stp>
        <stp>JN400.FUT04.OS</stp>
        <stp>前日比</stp>
        <tr r="G99" s="1"/>
      </tp>
      <tp>
        <v>0</v>
        <stp/>
        <stp>Market</stp>
        <stp>INDEX</stp>
        <stp>JN400.FUT05.OS</stp>
        <stp>前日比</stp>
        <tr r="G100" s="1"/>
      </tp>
      <tp>
        <v>0</v>
        <stp/>
        <stp>Market</stp>
        <stp>INDEX</stp>
        <stp>JN400.FUT02.OS</stp>
        <stp>前日比</stp>
        <tr r="G97" s="1"/>
      </tp>
      <tp>
        <v>0</v>
        <stp/>
        <stp>Market</stp>
        <stp>INDEX</stp>
        <stp>JN400.FUT03.OS</stp>
        <stp>前日比</stp>
        <tr r="G98" s="1"/>
      </tp>
      <tp>
        <v>-460</v>
        <stp/>
        <stp>Market</stp>
        <stp>INDEX</stp>
        <stp>JN400.FUT01.OS</stp>
        <stp>前日比</stp>
        <tr r="G96" s="1"/>
      </tp>
    </main>
    <main first="rtdsrv.dff54f4b11dd4e0d9cb19000fb943d8c">
      <tp>
        <v>23241.991000000002</v>
        <stp/>
        <stp>Market</stp>
        <stp>INDEX</stp>
        <stp>NQ</stp>
        <stp>前年終値</stp>
        <tr r="U21" s="1"/>
      </tp>
    </main>
    <main first="rtdsrv.dff54f4b11dd4e0d9cb19000fb943d8c">
      <tp>
        <v>5161.6400000000003</v>
        <stp/>
        <stp>Market</stp>
        <stp>INDEX</stp>
        <stp>NQUSLT</stp>
        <stp>年初来安値</stp>
        <tr r="W56" s="1"/>
      </tp>
      <tp>
        <v>3456.74</v>
        <stp/>
        <stp>Market</stp>
        <stp>INDEX</stp>
        <stp>NQUSMT</stp>
        <stp>年初来安値</stp>
        <tr r="W57" s="1"/>
      </tp>
      <tp>
        <v>3215.57</v>
        <stp/>
        <stp>Market</stp>
        <stp>INDEX</stp>
        <stp>NQUSST</stp>
        <stp>年初来安値</stp>
        <tr r="W58" s="1"/>
      </tp>
    </main>
    <main first="rtdsrv.dff54f4b11dd4e0d9cb19000fb943d8c">
      <tp>
        <v>729.64</v>
        <stp/>
        <stp>Market</stp>
        <stp>INDEX</stp>
        <stp>NQUSMT</stp>
        <stp>上場来安値</stp>
        <tr r="Y57" s="1"/>
      </tp>
      <tp>
        <v>808.64</v>
        <stp/>
        <stp>Market</stp>
        <stp>INDEX</stp>
        <stp>NQUSLT</stp>
        <stp>上場来安値</stp>
        <tr r="Y56" s="1"/>
      </tp>
      <tp>
        <v>714.78</v>
        <stp/>
        <stp>Market</stp>
        <stp>INDEX</stp>
        <stp>NQUSST</stp>
        <stp>上場来安値</stp>
        <tr r="Y58" s="1"/>
      </tp>
      <tp>
        <v>1547.45</v>
        <stp/>
        <stp>Market</stp>
        <stp>INDEX</stp>
        <stp>SIXV</stp>
        <stp>年初来安値</stp>
        <tr r="W37" s="1"/>
      </tp>
      <tp>
        <v>743.98</v>
        <stp/>
        <stp>Market</stp>
        <stp>INDEX</stp>
        <stp>SIXV</stp>
        <stp>上場来安値</stp>
        <tr r="Y37" s="1"/>
      </tp>
    </main>
    <main first="rtdsrv.dff54f4b11dd4e0d9cb19000fb943d8c">
      <tp t="s">
        <v/>
        <stp/>
        <stp>Market</stp>
        <stp>INDEX</stp>
        <stp>CAD/JPY</stp>
        <stp>上場来安値</stp>
        <tr r="Y193" s="1"/>
      </tp>
      <tp t="s">
        <v/>
        <stp/>
        <stp>Market</stp>
        <stp>INDEX</stp>
        <stp>AUD/JPY</stp>
        <stp>上場来安値</stp>
        <tr r="Y190" s="1"/>
      </tp>
      <tp t="s">
        <v/>
        <stp/>
        <stp>Market</stp>
        <stp>INDEX</stp>
        <stp>NZD/JPY</stp>
        <stp>上場来安値</stp>
        <tr r="Y191" s="1"/>
      </tp>
      <tp t="s">
        <v/>
        <stp/>
        <stp>Market</stp>
        <stp>INDEX</stp>
        <stp>HKD/JPY</stp>
        <stp>上場来安値</stp>
        <tr r="Y195" s="1"/>
      </tp>
      <tp t="s">
        <v/>
        <stp/>
        <stp>Market</stp>
        <stp>INDEX</stp>
        <stp>USD/JPY</stp>
        <stp>上場来安値</stp>
        <tr r="Y187" s="1"/>
      </tp>
      <tp t="s">
        <v/>
        <stp/>
        <stp>Market</stp>
        <stp>INDEX</stp>
        <stp>SGD/JPY</stp>
        <stp>上場来安値</stp>
        <tr r="Y196" s="1"/>
      </tp>
      <tp t="s">
        <v>↓</v>
        <stp/>
        <stp>Market</stp>
        <stp>INDEX</stp>
        <stp>NQUSST</stp>
        <stp>現在値ティック</stp>
        <tr r="F58" s="1"/>
      </tp>
      <tp t="s">
        <v>↑</v>
        <stp/>
        <stp>Market</stp>
        <stp>INDEX</stp>
        <stp>NQUSMT</stp>
        <stp>現在値ティック</stp>
        <tr r="F57" s="1"/>
      </tp>
      <tp t="s">
        <v>↑</v>
        <stp/>
        <stp>Market</stp>
        <stp>INDEX</stp>
        <stp>NQUSLT</stp>
        <stp>現在値ティック</stp>
        <tr r="F56" s="1"/>
      </tp>
      <tp t="s">
        <v/>
        <stp/>
        <stp>Market</stp>
        <stp>INDEX</stp>
        <stp>SGD/JPY</stp>
        <stp>年初来安値</stp>
        <tr r="W196" s="1"/>
      </tp>
      <tp t="s">
        <v/>
        <stp/>
        <stp>Market</stp>
        <stp>INDEX</stp>
        <stp>USD/JPY</stp>
        <stp>年初来安値</stp>
        <tr r="W187" s="1"/>
      </tp>
      <tp t="s">
        <v/>
        <stp/>
        <stp>Market</stp>
        <stp>INDEX</stp>
        <stp>CAD/JPY</stp>
        <stp>年初来安値</stp>
        <tr r="W193" s="1"/>
      </tp>
      <tp t="s">
        <v/>
        <stp/>
        <stp>Market</stp>
        <stp>INDEX</stp>
        <stp>AUD/JPY</stp>
        <stp>年初来安値</stp>
        <tr r="W190" s="1"/>
      </tp>
      <tp t="s">
        <v/>
        <stp/>
        <stp>Market</stp>
        <stp>INDEX</stp>
        <stp>HKD/JPY</stp>
        <stp>年初来安値</stp>
        <tr r="W195" s="1"/>
      </tp>
      <tp t="s">
        <v/>
        <stp/>
        <stp>Market</stp>
        <stp>INDEX</stp>
        <stp>NZD/JPY</stp>
        <stp>年初来安値</stp>
        <tr r="W191" s="1"/>
      </tp>
      <tp>
        <v>31075.63</v>
        <stp/>
        <stp>Market</stp>
        <stp>INDEX</stp>
        <stp>JN400</stp>
        <stp>年初来安値</stp>
        <tr r="W5" s="1"/>
      </tp>
      <tp>
        <v>0</v>
        <stp/>
        <stp>Market</stp>
        <stp>INDEX</stp>
        <stp>CSI300</stp>
        <stp>前年最安値</stp>
        <tr r="T71" s="1"/>
      </tp>
      <tp>
        <v>10219.18</v>
        <stp/>
        <stp>Market</stp>
        <stp>INDEX</stp>
        <stp>JN400</stp>
        <stp>上場来安値</stp>
        <tr r="Y5" s="1"/>
      </tp>
      <tp t="s">
        <v/>
        <stp/>
        <stp>Market</stp>
        <stp>INDEX</stp>
        <stp>RSS3.FUT09.OS</stp>
        <stp>前年最安値</stp>
        <tr r="T149" s="1"/>
      </tp>
      <tp t="s">
        <v/>
        <stp/>
        <stp>Market</stp>
        <stp>INDEX</stp>
        <stp>RSS3.FUT08.OS</stp>
        <stp>前年最安値</stp>
        <tr r="T148" s="1"/>
      </tp>
      <tp t="s">
        <v/>
        <stp/>
        <stp>Market</stp>
        <stp>INDEX</stp>
        <stp>RSS3.FUT05.OS</stp>
        <stp>前年最安値</stp>
        <tr r="T145" s="1"/>
      </tp>
      <tp t="s">
        <v/>
        <stp/>
        <stp>Market</stp>
        <stp>INDEX</stp>
        <stp>RSS3.FUT04.OS</stp>
        <stp>前年最安値</stp>
        <tr r="T144" s="1"/>
      </tp>
      <tp t="s">
        <v/>
        <stp/>
        <stp>Market</stp>
        <stp>INDEX</stp>
        <stp>RSS3.FUT07.OS</stp>
        <stp>前年最安値</stp>
        <tr r="T147" s="1"/>
      </tp>
      <tp>
        <v>845.59</v>
        <stp/>
        <stp>Market</stp>
        <stp>INDEX</stp>
        <stp>SIXU</stp>
        <stp>年初来安値</stp>
        <tr r="W31" s="1"/>
      </tp>
      <tp t="s">
        <v/>
        <stp/>
        <stp>Market</stp>
        <stp>INDEX</stp>
        <stp>RSS3.FUT06.OS</stp>
        <stp>前年最安値</stp>
        <tr r="T146" s="1"/>
      </tp>
      <tp t="s">
        <v/>
        <stp/>
        <stp>Market</stp>
        <stp>INDEX</stp>
        <stp>RSS3.FUT01.OS</stp>
        <stp>前年最安値</stp>
        <tr r="T141" s="1"/>
      </tp>
      <tp t="s">
        <v/>
        <stp/>
        <stp>Market</stp>
        <stp>INDEX</stp>
        <stp>RSS3.FUT03.OS</stp>
        <stp>前年最安値</stp>
        <tr r="T143" s="1"/>
      </tp>
      <tp t="s">
        <v/>
        <stp/>
        <stp>Market</stp>
        <stp>INDEX</stp>
        <stp>RSS3.FUT02.OS</stp>
        <stp>前年最安値</stp>
        <tr r="T142" s="1"/>
      </tp>
      <tp>
        <v>484.07</v>
        <stp/>
        <stp>Market</stp>
        <stp>INDEX</stp>
        <stp>N300</stp>
        <stp>前年最安値</stp>
        <tr r="T3" s="1"/>
      </tp>
      <tp>
        <v>2751.09</v>
        <stp/>
        <stp>Market</stp>
        <stp>INDEX</stp>
        <stp>N500</stp>
        <stp>前年最安値</stp>
        <tr r="T9" s="1"/>
      </tp>
      <tp>
        <v>440.22</v>
        <stp/>
        <stp>Market</stp>
        <stp>INDEX</stp>
        <stp>SIXU</stp>
        <stp>上場来安値</stp>
        <tr r="Y31" s="1"/>
      </tp>
      <tp>
        <v>0</v>
        <stp/>
        <stp>Market</stp>
        <stp>INDEX</stp>
        <stp>TSR20.FUT08.OS</stp>
        <stp>前日比</stp>
        <tr r="G160" s="1"/>
      </tp>
      <tp>
        <v>0</v>
        <stp/>
        <stp>Market</stp>
        <stp>INDEX</stp>
        <stp>TSR20.FUT09.OS</stp>
        <stp>前日比</stp>
        <tr r="G161" s="1"/>
      </tp>
      <tp>
        <v>0</v>
        <stp/>
        <stp>Market</stp>
        <stp>INDEX</stp>
        <stp>TSR20.FUT01.OS</stp>
        <stp>前日比</stp>
        <tr r="G153" s="1"/>
      </tp>
      <tp>
        <v>0</v>
        <stp/>
        <stp>Market</stp>
        <stp>INDEX</stp>
        <stp>TSR20.FUT02.OS</stp>
        <stp>前日比</stp>
        <tr r="G154" s="1"/>
      </tp>
      <tp>
        <v>0</v>
        <stp/>
        <stp>Market</stp>
        <stp>INDEX</stp>
        <stp>TSR20.FUT03.OS</stp>
        <stp>前日比</stp>
        <tr r="G155" s="1"/>
      </tp>
      <tp>
        <v>0</v>
        <stp/>
        <stp>Market</stp>
        <stp>INDEX</stp>
        <stp>TSR20.FUT04.OS</stp>
        <stp>前日比</stp>
        <tr r="G156" s="1"/>
      </tp>
      <tp>
        <v>0</v>
        <stp/>
        <stp>Market</stp>
        <stp>INDEX</stp>
        <stp>TSR20.FUT05.OS</stp>
        <stp>前日比</stp>
        <tr r="G157" s="1"/>
      </tp>
      <tp>
        <v>0</v>
        <stp/>
        <stp>Market</stp>
        <stp>INDEX</stp>
        <stp>TSR20.FUT06.OS</stp>
        <stp>前日比</stp>
        <tr r="G158" s="1"/>
      </tp>
      <tp>
        <v>0</v>
        <stp/>
        <stp>Market</stp>
        <stp>INDEX</stp>
        <stp>TSR20.FUT07.OS</stp>
        <stp>前日比</stp>
        <tr r="G159" s="1"/>
      </tp>
      <tp>
        <v>0</v>
        <stp/>
        <stp>Market</stp>
        <stp>INDEX</stp>
        <stp>TSR20.FUT10.OS</stp>
        <stp>前日比</stp>
        <tr r="G162" s="1"/>
      </tp>
      <tp>
        <v>0</v>
        <stp/>
        <stp>Market</stp>
        <stp>INDEX</stp>
        <stp>TSR20.FUT11.OS</stp>
        <stp>前日比</stp>
        <tr r="G163" s="1"/>
      </tp>
      <tp>
        <v>0</v>
        <stp/>
        <stp>Market</stp>
        <stp>INDEX</stp>
        <stp>TSR20.FUT12.OS</stp>
        <stp>前日比</stp>
        <tr r="G164" s="1"/>
      </tp>
    </main>
    <main first="rtdsrv.dff54f4b11dd4e0d9cb19000fb943d8c">
      <tp t="s">
        <v/>
        <stp/>
        <stp>Market</stp>
        <stp>INDEX</stp>
        <stp>N225.FUT05.OS</stp>
        <stp>指標名称</stp>
        <tr r="B76" s="1"/>
      </tp>
      <tp t="s">
        <v/>
        <stp/>
        <stp>Market</stp>
        <stp>INDEX</stp>
        <stp>N225.FUT04.OS</stp>
        <stp>指標名称</stp>
        <tr r="B75" s="1"/>
      </tp>
      <tp t="s">
        <v/>
        <stp/>
        <stp>Market</stp>
        <stp>INDEX</stp>
        <stp>N225.FUT01.OS</stp>
        <stp>指標名称</stp>
        <tr r="B72" s="1"/>
      </tp>
      <tp t="s">
        <v/>
        <stp/>
        <stp>Market</stp>
        <stp>INDEX</stp>
        <stp>N225.FUT03.OS</stp>
        <stp>指標名称</stp>
        <tr r="B74" s="1"/>
      </tp>
      <tp t="s">
        <v/>
        <stp/>
        <stp>Market</stp>
        <stp>INDEX</stp>
        <stp>N225.FUT02.OS</stp>
        <stp>指標名称</stp>
        <tr r="B73" s="1"/>
      </tp>
    </main>
    <main first="rtdsrv.dff54f4b11dd4e0d9cb19000fb943d8c">
      <tp t="s">
        <v/>
        <stp/>
        <stp>Market</stp>
        <stp>INDEX</stp>
        <stp>TS1EX</stp>
        <stp>上場来高値日付</stp>
        <tr r="Z10" s="1"/>
      </tp>
      <tp t="s">
        <v/>
        <stp/>
        <stp>Market</stp>
        <stp>INDEX</stp>
        <stp>TS1EX</stp>
        <stp>上場来安値日付</stp>
        <tr r="AA10" s="1"/>
      </tp>
    </main>
    <main first="rtdsrv.dff54f4b11dd4e0d9cb19000fb943d8c">
      <tp t="s">
        <v>2026/02/27</v>
        <stp/>
        <stp>Market</stp>
        <stp>INDEX</stp>
        <stp>N225.FUT05.OS</stp>
        <stp>現在日付</stp>
        <tr r="C76" s="1"/>
      </tp>
      <tp t="s">
        <v>2026/02/28</v>
        <stp/>
        <stp>Market</stp>
        <stp>INDEX</stp>
        <stp>N225.FUT04.OS</stp>
        <stp>現在日付</stp>
        <tr r="C75" s="1"/>
      </tp>
      <tp t="s">
        <v>2026/02/28</v>
        <stp/>
        <stp>Market</stp>
        <stp>INDEX</stp>
        <stp>N225.FUT01.OS</stp>
        <stp>現在日付</stp>
        <tr r="C72" s="1"/>
      </tp>
      <tp t="s">
        <v>2026/02/27</v>
        <stp/>
        <stp>Market</stp>
        <stp>INDEX</stp>
        <stp>N225.FUT03.OS</stp>
        <stp>現在日付</stp>
        <tr r="C74" s="1"/>
      </tp>
      <tp t="s">
        <v>2026/02/28</v>
        <stp/>
        <stp>Market</stp>
        <stp>INDEX</stp>
        <stp>N225.FUT02.OS</stp>
        <stp>現在日付</stp>
        <tr r="C73" s="1"/>
      </tp>
      <tp>
        <v>516.22</v>
        <stp/>
        <stp>Market</stp>
        <stp>INDEX</stp>
        <stp>NDXT</stp>
        <stp>上場来安値</stp>
        <tr r="Y49" s="1"/>
      </tp>
      <tp>
        <v>2721.19</v>
        <stp/>
        <stp>Market</stp>
        <stp>INDEX</stp>
        <stp>SIXT</stp>
        <stp>年初来安値</stp>
        <tr r="W36" s="1"/>
      </tp>
      <tp t="s">
        <v/>
        <stp/>
        <stp>Market</stp>
        <stp>INDEX</stp>
        <stp>RSS3.FUT11.OS</stp>
        <stp>前年最安値</stp>
        <tr r="T151" s="1"/>
      </tp>
      <tp t="s">
        <v/>
        <stp/>
        <stp>Market</stp>
        <stp>INDEX</stp>
        <stp>RSS3.FUT10.OS</stp>
        <stp>前年最安値</stp>
        <tr r="T150" s="1"/>
      </tp>
      <tp t="s">
        <v/>
        <stp/>
        <stp>Market</stp>
        <stp>INDEX</stp>
        <stp>RSS3.FUT12.OS</stp>
        <stp>前年最安値</stp>
        <tr r="T152" s="1"/>
      </tp>
      <tp>
        <v>11962.49</v>
        <stp/>
        <stp>Market</stp>
        <stp>INDEX</stp>
        <stp>NDXT</stp>
        <stp>年初来安値</stp>
        <tr r="W49" s="1"/>
      </tp>
      <tp t="s">
        <v>2008/10/24</v>
        <stp/>
        <stp>Market</stp>
        <stp>INDEX</stp>
        <stp>VIX</stp>
        <stp>上場来高値日付</stp>
        <tr r="Z25" s="1"/>
      </tp>
      <tp t="s">
        <v>2017/11/24</v>
        <stp/>
        <stp>Market</stp>
        <stp>INDEX</stp>
        <stp>VIX</stp>
        <stp>上場来安値日付</stp>
        <tr r="AA25" s="1"/>
      </tp>
      <tp>
        <v>665.86</v>
        <stp/>
        <stp>Market</stp>
        <stp>INDEX</stp>
        <stp>SIXT</stp>
        <stp>上場来安値</stp>
        <tr r="Y36" s="1"/>
      </tp>
      <tp>
        <v>0</v>
        <stp/>
        <stp>Market</stp>
        <stp>INDEX</stp>
        <stp>SILVER.FUT06.OS</stp>
        <stp>前日比</stp>
        <tr r="G134" s="1"/>
      </tp>
      <tp>
        <v>7.8</v>
        <stp/>
        <stp>Market</stp>
        <stp>INDEX</stp>
        <stp>SILVER.FUT05.OS</stp>
        <stp>前日比</stp>
        <tr r="G133" s="1"/>
      </tp>
      <tp>
        <v>0</v>
        <stp/>
        <stp>Market</stp>
        <stp>INDEX</stp>
        <stp>SILVER.FUT04.OS</stp>
        <stp>前日比</stp>
        <tr r="G132" s="1"/>
      </tp>
      <tp>
        <v>0</v>
        <stp/>
        <stp>Market</stp>
        <stp>INDEX</stp>
        <stp>SILVER.FUT03.OS</stp>
        <stp>前日比</stp>
        <tr r="G131" s="1"/>
      </tp>
      <tp>
        <v>0</v>
        <stp/>
        <stp>Market</stp>
        <stp>INDEX</stp>
        <stp>SILVER.FUT02.OS</stp>
        <stp>前日比</stp>
        <tr r="G130" s="1"/>
      </tp>
      <tp>
        <v>0</v>
        <stp/>
        <stp>Market</stp>
        <stp>INDEX</stp>
        <stp>SILVER.FUT01.OS</stp>
        <stp>前日比</stp>
        <tr r="G129" s="1"/>
      </tp>
    </main>
    <main first="rtdsrv.dff54f4b11dd4e0d9cb19000fb943d8c">
      <tp t="s">
        <v>2025/10/29</v>
        <stp/>
        <stp>Market</stp>
        <stp>INDEX</stp>
        <stp>NQ100</stp>
        <stp>上場来高値日付</stp>
        <tr r="Z22" s="1"/>
      </tp>
      <tp t="s">
        <v>2025/10/29</v>
        <stp/>
        <stp>Market</stp>
        <stp>INDEX</stp>
        <stp>SP100</stp>
        <stp>上場来高値日付</stp>
        <tr r="Z23" s="1"/>
      </tp>
      <tp t="s">
        <v>1985/10/01</v>
        <stp/>
        <stp>Market</stp>
        <stp>INDEX</stp>
        <stp>NQ100</stp>
        <stp>上場来安値日付</stp>
        <tr r="AA22" s="1"/>
      </tp>
      <tp t="s">
        <v>1978/03/06</v>
        <stp/>
        <stp>Market</stp>
        <stp>INDEX</stp>
        <stp>SP100</stp>
        <stp>上場来安値日付</stp>
        <tr r="AA23" s="1"/>
      </tp>
      <tp t="s">
        <v/>
        <stp/>
        <stp>Market</stp>
        <stp>INDEX</stp>
        <stp>CORN.FUT05.OS</stp>
        <stp>前年終値</stp>
        <tr r="U181" s="1"/>
      </tp>
      <tp t="s">
        <v/>
        <stp/>
        <stp>Market</stp>
        <stp>INDEX</stp>
        <stp>CORN.FUT04.OS</stp>
        <stp>前年終値</stp>
        <tr r="U180" s="1"/>
      </tp>
      <tp t="s">
        <v/>
        <stp/>
        <stp>Market</stp>
        <stp>INDEX</stp>
        <stp>CORN.FUT06.OS</stp>
        <stp>前年終値</stp>
        <tr r="U182" s="1"/>
      </tp>
      <tp t="s">
        <v/>
        <stp/>
        <stp>Market</stp>
        <stp>INDEX</stp>
        <stp>CORN.FUT01.OS</stp>
        <stp>前年終値</stp>
        <tr r="U177" s="1"/>
      </tp>
      <tp t="s">
        <v/>
        <stp/>
        <stp>Market</stp>
        <stp>INDEX</stp>
        <stp>CORN.FUT03.OS</stp>
        <stp>前年終値</stp>
        <tr r="U179" s="1"/>
      </tp>
      <tp t="s">
        <v/>
        <stp/>
        <stp>Market</stp>
        <stp>INDEX</stp>
        <stp>CORN.FUT02.OS</stp>
        <stp>前年終値</stp>
        <tr r="U178" s="1"/>
      </tp>
      <tp t="s">
        <v>東証プライム市場指数</v>
        <stp/>
        <stp>Market</stp>
        <stp>INDEX</stp>
        <stp>TSPM</stp>
        <stp>指標名称</stp>
        <tr r="B6" s="1"/>
      </tp>
      <tp>
        <v>4629.9395000000004</v>
        <stp/>
        <stp>Market</stp>
        <stp>INDEX</stp>
        <stp>CSI300</stp>
        <stp>前年終値</stp>
        <tr r="U71" s="1"/>
      </tp>
      <tp t="s">
        <v>TOPIX</v>
        <stp/>
        <stp>Market</stp>
        <stp>INDEX</stp>
        <stp>TOPX</stp>
        <stp>指標名称</stp>
        <tr r="B4" s="1"/>
      </tp>
    </main>
    <main first="rtdsrv.dff54f4b11dd4e0d9cb19000fb943d8c">
      <tp t="s">
        <v>17:05</v>
        <stp/>
        <stp>Market</stp>
        <stp>INDEX</stp>
        <stp>PLATINUM.FUT04.OS</stp>
        <stp>始値時刻</stp>
        <tr r="N119" s="1"/>
      </tp>
      <tp t="s">
        <v>19:12</v>
        <stp/>
        <stp>Market</stp>
        <stp>INDEX</stp>
        <stp>PLATINUM.FUT06.OS</stp>
        <stp>安値時刻</stp>
        <tr r="P121" s="1"/>
      </tp>
      <tp t="s">
        <v>17:00</v>
        <stp/>
        <stp>Market</stp>
        <stp>INDEX</stp>
        <stp>PLATINUM.FUT05.OS</stp>
        <stp>始値時刻</stp>
        <tr r="N120" s="1"/>
      </tp>
      <tp t="s">
        <v>17:00</v>
        <stp/>
        <stp>Market</stp>
        <stp>INDEX</stp>
        <stp>PLATINUM.FUT06.OS</stp>
        <stp>始値時刻</stp>
        <tr r="N121" s="1"/>
      </tp>
      <tp t="s">
        <v>18:01</v>
        <stp/>
        <stp>Market</stp>
        <stp>INDEX</stp>
        <stp>PLATINUM.FUT04.OS</stp>
        <stp>安値時刻</stp>
        <tr r="P119" s="1"/>
      </tp>
      <tp t="s">
        <v>19:12</v>
        <stp/>
        <stp>Market</stp>
        <stp>INDEX</stp>
        <stp>PLATINUM.FUT05.OS</stp>
        <stp>安値時刻</stp>
        <tr r="P120" s="1"/>
      </tp>
      <tp t="s">
        <v xml:space="preserve">  :  </v>
        <stp/>
        <stp>Market</stp>
        <stp>INDEX</stp>
        <stp>PLATINUM.FUT02.OS</stp>
        <stp>安値時刻</stp>
        <tr r="P117" s="1"/>
      </tp>
      <tp t="s">
        <v xml:space="preserve">  :  </v>
        <stp/>
        <stp>Market</stp>
        <stp>INDEX</stp>
        <stp>PLATINUM.FUT01.OS</stp>
        <stp>始値時刻</stp>
        <tr r="N116" s="1"/>
      </tp>
      <tp t="s">
        <v>19:09</v>
        <stp/>
        <stp>Market</stp>
        <stp>INDEX</stp>
        <stp>PLATINUM.FUT03.OS</stp>
        <stp>安値時刻</stp>
        <tr r="P118" s="1"/>
      </tp>
      <tp t="s">
        <v xml:space="preserve">  :  </v>
        <stp/>
        <stp>Market</stp>
        <stp>INDEX</stp>
        <stp>PLATINUM.FUT02.OS</stp>
        <stp>始値時刻</stp>
        <tr r="N117" s="1"/>
      </tp>
      <tp t="s">
        <v>19:09</v>
        <stp/>
        <stp>Market</stp>
        <stp>INDEX</stp>
        <stp>PLATINUM.FUT03.OS</stp>
        <stp>始値時刻</stp>
        <tr r="N118" s="1"/>
      </tp>
      <tp t="s">
        <v xml:space="preserve">  :  </v>
        <stp/>
        <stp>Market</stp>
        <stp>INDEX</stp>
        <stp>PLATINUM.FUT01.OS</stp>
        <stp>安値時刻</stp>
        <tr r="P116" s="1"/>
      </tp>
      <tp t="s">
        <v>22:26</v>
        <stp/>
        <stp>Market</stp>
        <stp>INDEX</stp>
        <stp>PLATINUM.FUT06.OS</stp>
        <stp>高値時刻</stp>
        <tr r="O121" s="1"/>
      </tp>
      <tp t="s">
        <v>17:04</v>
        <stp/>
        <stp>Market</stp>
        <stp>INDEX</stp>
        <stp>PLATINUM.FUT05.OS</stp>
        <stp>高値時刻</stp>
        <tr r="O120" s="1"/>
      </tp>
      <tp t="s">
        <v>17:05</v>
        <stp/>
        <stp>Market</stp>
        <stp>INDEX</stp>
        <stp>PLATINUM.FUT04.OS</stp>
        <stp>高値時刻</stp>
        <tr r="O119" s="1"/>
      </tp>
      <tp t="s">
        <v>00:57</v>
        <stp/>
        <stp>Market</stp>
        <stp>INDEX</stp>
        <stp>PLATINUM.FUT03.OS</stp>
        <stp>高値時刻</stp>
        <tr r="O118" s="1"/>
      </tp>
      <tp t="s">
        <v xml:space="preserve">  :  </v>
        <stp/>
        <stp>Market</stp>
        <stp>INDEX</stp>
        <stp>PLATINUM.FUT02.OS</stp>
        <stp>高値時刻</stp>
        <tr r="O117" s="1"/>
      </tp>
      <tp t="s">
        <v xml:space="preserve">  :  </v>
        <stp/>
        <stp>Market</stp>
        <stp>INDEX</stp>
        <stp>PLATINUM.FUT01.OS</stp>
        <stp>高値時刻</stp>
        <tr r="O116" s="1"/>
      </tp>
      <tp t="s">
        <v/>
        <stp/>
        <stp>Market</stp>
        <stp>INDEX</stp>
        <stp>AUD/NZD</stp>
        <stp>前年終値</stp>
        <tr r="U207" s="1"/>
      </tp>
    </main>
    <main first="rtdsrv.dff54f4b11dd4e0d9cb19000fb943d8c">
      <tp>
        <v>-29.98</v>
        <stp/>
        <stp>Market</stp>
        <stp>INDEX</stp>
        <stp>SP500</stp>
        <stp>前日比</stp>
        <tr r="G24" s="1"/>
      </tp>
    </main>
    <main first="rtdsrv.dff54f4b11dd4e0d9cb19000fb943d8c">
      <tp>
        <v>5341.99</v>
        <stp/>
        <stp>Market</stp>
        <stp>INDEX</stp>
        <stp>IXF</stp>
        <stp>前年最安値</stp>
        <tr r="T46" s="1"/>
      </tp>
    </main>
    <main first="rtdsrv.dff54f4b11dd4e0d9cb19000fb943d8c">
      <tp t="s">
        <v>2026/02/27</v>
        <stp/>
        <stp>Market</stp>
        <stp>INDEX</stp>
        <stp>TOPX</stp>
        <stp>現在日付</stp>
        <tr r="C4" s="1"/>
      </tp>
      <tp t="s">
        <v>2026/02/27</v>
        <stp/>
        <stp>Market</stp>
        <stp>INDEX</stp>
        <stp>TSPM</stp>
        <stp>現在日付</stp>
        <tr r="C6" s="1"/>
      </tp>
      <tp t="s">
        <v/>
        <stp/>
        <stp>Market</stp>
        <stp>INDEX</stp>
        <stp>FTSECA50</stp>
        <stp>上場来高値日付</stp>
        <tr r="Z102" s="1"/>
      </tp>
      <tp t="s">
        <v/>
        <stp/>
        <stp>Market</stp>
        <stp>INDEX</stp>
        <stp>FTSECA50</stp>
        <stp>上場来安値日付</stp>
        <tr r="AA102" s="1"/>
      </tp>
    </main>
    <main first="rtdsrv.dff54f4b11dd4e0d9cb19000fb943d8c">
      <tp>
        <v>58860</v>
        <stp/>
        <stp>Market</stp>
        <stp>INDEX</stp>
        <stp>N225M.FUT02.OS</stp>
        <stp>始値</stp>
        <tr r="K78" s="1"/>
      </tp>
      <tp>
        <v>58880</v>
        <stp/>
        <stp>Market</stp>
        <stp>INDEX</stp>
        <stp>N225U.FUT02.OS</stp>
        <stp>始値</stp>
        <tr r="K83" s="1"/>
      </tp>
      <tp>
        <v>0</v>
        <stp/>
        <stp>Market</stp>
        <stp>INDEX</stp>
        <stp>JN400.FUT04.OS</stp>
        <stp>始値</stp>
        <tr r="K99" s="1"/>
      </tp>
    </main>
    <main first="rtdsrv.dff54f4b11dd4e0d9cb19000fb943d8c">
      <tp>
        <v>461.84</v>
        <stp/>
        <stp>Market</stp>
        <stp>INDEX</stp>
        <stp>JN400</stp>
        <stp>前日比</stp>
        <tr r="G5" s="1"/>
      </tp>
    </main>
    <main first="rtdsrv.dff54f4b11dd4e0d9cb19000fb943d8c">
      <tp>
        <v>-98.888999999999996</v>
        <stp/>
        <stp>Market</stp>
        <stp>INDEX</stp>
        <stp>SOX</stp>
        <stp>前日比</stp>
        <tr r="G51" s="1"/>
      </tp>
      <tp>
        <v>58355</v>
        <stp/>
        <stp>Market</stp>
        <stp>INDEX</stp>
        <stp>N225M.FUT01.OS</stp>
        <stp>安値</stp>
        <tr r="M77" s="1"/>
      </tp>
      <tp>
        <v>58385</v>
        <stp/>
        <stp>Market</stp>
        <stp>INDEX</stp>
        <stp>N225U.FUT01.OS</stp>
        <stp>安値</stp>
        <tr r="M82" s="1"/>
      </tp>
    </main>
    <main first="rtdsrv.dff54f4b11dd4e0d9cb19000fb943d8c">
      <tp>
        <v>59005</v>
        <stp/>
        <stp>Market</stp>
        <stp>INDEX</stp>
        <stp>N225M.FUT03.OS</stp>
        <stp>始値</stp>
        <tr r="K79" s="1"/>
      </tp>
      <tp>
        <v>58920</v>
        <stp/>
        <stp>Market</stp>
        <stp>INDEX</stp>
        <stp>N225U.FUT03.OS</stp>
        <stp>始値</stp>
        <tr r="K84" s="1"/>
      </tp>
      <tp>
        <v>0</v>
        <stp/>
        <stp>Market</stp>
        <stp>INDEX</stp>
        <stp>JN400.FUT05.OS</stp>
        <stp>始値</stp>
        <tr r="K100" s="1"/>
      </tp>
    </main>
    <main first="rtdsrv.dff54f4b11dd4e0d9cb19000fb943d8c">
      <tp t="s">
        <v>VIX指数</v>
        <stp/>
        <stp>Market</stp>
        <stp>INDEX</stp>
        <stp>VIX</stp>
        <stp>指標名称</stp>
        <tr r="B25" s="1"/>
      </tp>
    </main>
    <main first="rtdsrv.dff54f4b11dd4e0d9cb19000fb943d8c">
      <tp t="s">
        <v>2026/02/28</v>
        <stp/>
        <stp>Market</stp>
        <stp>INDEX</stp>
        <stp>VIX</stp>
        <stp>現在日付</stp>
        <tr r="C25" s="1"/>
      </tp>
    </main>
    <main first="rtdsrv.dff54f4b11dd4e0d9cb19000fb943d8c">
      <tp>
        <v>58075</v>
        <stp/>
        <stp>Market</stp>
        <stp>INDEX</stp>
        <stp>N225M.FUT02.OS</stp>
        <stp>安値</stp>
        <tr r="M78" s="1"/>
      </tp>
    </main>
    <main first="rtdsrv.dff54f4b11dd4e0d9cb19000fb943d8c">
      <tp>
        <v>58075</v>
        <stp/>
        <stp>Market</stp>
        <stp>INDEX</stp>
        <stp>N225U.FUT02.OS</stp>
        <stp>安値</stp>
        <tr r="M83" s="1"/>
      </tp>
      <tp>
        <v>0</v>
        <stp/>
        <stp>Market</stp>
        <stp>INDEX</stp>
        <stp>JN400.FUT04.OS</stp>
        <stp>安値</stp>
        <tr r="M99" s="1"/>
      </tp>
    </main>
    <main first="rtdsrv.dff54f4b11dd4e0d9cb19000fb943d8c">
      <tp t="s">
        <v/>
        <stp/>
        <stp>Market</stp>
        <stp>INDEX</stp>
        <stp>N225U.FUT01.OS</stp>
        <stp>上場来高値日付</stp>
        <tr r="Z82" s="1"/>
      </tp>
      <tp t="s">
        <v/>
        <stp/>
        <stp>Market</stp>
        <stp>INDEX</stp>
        <stp>N225U.FUT02.OS</stp>
        <stp>上場来高値日付</stp>
        <tr r="Z83" s="1"/>
      </tp>
      <tp t="s">
        <v/>
        <stp/>
        <stp>Market</stp>
        <stp>INDEX</stp>
        <stp>N225U.FUT03.OS</stp>
        <stp>上場来高値日付</stp>
        <tr r="Z84" s="1"/>
      </tp>
      <tp t="s">
        <v/>
        <stp/>
        <stp>Market</stp>
        <stp>INDEX</stp>
        <stp>N225U.FUT04.OS</stp>
        <stp>上場来高値日付</stp>
        <tr r="Z85" s="1"/>
      </tp>
      <tp t="s">
        <v/>
        <stp/>
        <stp>Market</stp>
        <stp>INDEX</stp>
        <stp>N225U.FUT01.OS</stp>
        <stp>上場来安値日付</stp>
        <tr r="AA82" s="1"/>
      </tp>
      <tp t="s">
        <v/>
        <stp/>
        <stp>Market</stp>
        <stp>INDEX</stp>
        <stp>N225U.FUT03.OS</stp>
        <stp>上場来安値日付</stp>
        <tr r="AA84" s="1"/>
      </tp>
      <tp t="s">
        <v/>
        <stp/>
        <stp>Market</stp>
        <stp>INDEX</stp>
        <stp>N225U.FUT02.OS</stp>
        <stp>上場来安値日付</stp>
        <tr r="AA83" s="1"/>
      </tp>
      <tp t="s">
        <v/>
        <stp/>
        <stp>Market</stp>
        <stp>INDEX</stp>
        <stp>N225U.FUT04.OS</stp>
        <stp>上場来安値日付</stp>
        <tr r="AA85" s="1"/>
      </tp>
    </main>
    <main first="rtdsrv.dff54f4b11dd4e0d9cb19000fb943d8c">
      <tp>
        <v>290</v>
        <stp/>
        <stp>Market</stp>
        <stp>INDEX</stp>
        <stp>GOLD.FUT06.OS</stp>
        <stp>前日比</stp>
        <tr r="G108" s="1"/>
      </tp>
      <tp>
        <v>387</v>
        <stp/>
        <stp>Market</stp>
        <stp>INDEX</stp>
        <stp>GOLD.FUT04.OS</stp>
        <stp>前日比</stp>
        <tr r="G106" s="1"/>
      </tp>
      <tp>
        <v>296</v>
        <stp/>
        <stp>Market</stp>
        <stp>INDEX</stp>
        <stp>GOLD.FUT05.OS</stp>
        <stp>前日比</stp>
        <tr r="G107" s="1"/>
      </tp>
      <tp>
        <v>442</v>
        <stp/>
        <stp>Market</stp>
        <stp>INDEX</stp>
        <stp>GOLD.FUT02.OS</stp>
        <stp>前日比</stp>
        <tr r="G104" s="1"/>
      </tp>
      <tp>
        <v>300</v>
        <stp/>
        <stp>Market</stp>
        <stp>INDEX</stp>
        <stp>GOLD.FUT03.OS</stp>
        <stp>前日比</stp>
        <tr r="G105" s="1"/>
      </tp>
      <tp>
        <v>375</v>
        <stp/>
        <stp>Market</stp>
        <stp>INDEX</stp>
        <stp>GOLD.FUT01.OS</stp>
        <stp>前日比</stp>
        <tr r="G103" s="1"/>
      </tp>
    </main>
    <main first="rtdsrv.dff54f4b11dd4e0d9cb19000fb943d8c">
      <tp t="s">
        <v/>
        <stp/>
        <stp>Market</stp>
        <stp>INDEX</stp>
        <stp>N225M.FUT01.OS</stp>
        <stp>上場来高値日付</stp>
        <tr r="Z77" s="1"/>
      </tp>
      <tp t="s">
        <v/>
        <stp/>
        <stp>Market</stp>
        <stp>INDEX</stp>
        <stp>N225M.FUT02.OS</stp>
        <stp>上場来高値日付</stp>
        <tr r="Z78" s="1"/>
      </tp>
      <tp t="s">
        <v/>
        <stp/>
        <stp>Market</stp>
        <stp>INDEX</stp>
        <stp>N225M.FUT03.OS</stp>
        <stp>上場来高値日付</stp>
        <tr r="Z79" s="1"/>
      </tp>
      <tp t="s">
        <v/>
        <stp/>
        <stp>Market</stp>
        <stp>INDEX</stp>
        <stp>N225M.FUT04.OS</stp>
        <stp>上場来高値日付</stp>
        <tr r="Z80" s="1"/>
      </tp>
      <tp t="s">
        <v/>
        <stp/>
        <stp>Market</stp>
        <stp>INDEX</stp>
        <stp>N225M.FUT05.OS</stp>
        <stp>上場来高値日付</stp>
        <tr r="Z81" s="1"/>
      </tp>
      <tp t="s">
        <v/>
        <stp/>
        <stp>Market</stp>
        <stp>INDEX</stp>
        <stp>N225M.FUT01.OS</stp>
        <stp>上場来安値日付</stp>
        <tr r="AA77" s="1"/>
      </tp>
      <tp t="s">
        <v/>
        <stp/>
        <stp>Market</stp>
        <stp>INDEX</stp>
        <stp>N225M.FUT03.OS</stp>
        <stp>上場来安値日付</stp>
        <tr r="AA79" s="1"/>
      </tp>
      <tp t="s">
        <v/>
        <stp/>
        <stp>Market</stp>
        <stp>INDEX</stp>
        <stp>N225M.FUT02.OS</stp>
        <stp>上場来安値日付</stp>
        <tr r="AA78" s="1"/>
      </tp>
      <tp t="s">
        <v/>
        <stp/>
        <stp>Market</stp>
        <stp>INDEX</stp>
        <stp>N225M.FUT05.OS</stp>
        <stp>上場来安値日付</stp>
        <tr r="AA81" s="1"/>
      </tp>
      <tp t="s">
        <v/>
        <stp/>
        <stp>Market</stp>
        <stp>INDEX</stp>
        <stp>N225M.FUT04.OS</stp>
        <stp>上場来安値日付</stp>
        <tr r="AA80" s="1"/>
      </tp>
    </main>
    <main first="rtdsrv.dff54f4b11dd4e0d9cb19000fb943d8c">
      <tp t="s">
        <v>東証スタンダード市場指数</v>
        <stp/>
        <stp>Market</stp>
        <stp>INDEX</stp>
        <stp>TSSM</stp>
        <stp>指標名称</stp>
        <tr r="B7" s="1"/>
      </tp>
      <tp t="s">
        <v/>
        <stp/>
        <stp>Market</stp>
        <stp>INDEX</stp>
        <stp>GOLD.SPOT.OS</stp>
        <stp>指標名称</stp>
        <tr r="B115" s="1"/>
      </tp>
      <tp t="s">
        <v>NASDAQ保険株指数</v>
        <stp/>
        <stp>Market</stp>
        <stp>INDEX</stp>
        <stp>INSR</stp>
        <stp>指標名称</stp>
        <tr r="B41" s="1"/>
      </tp>
    </main>
    <main first="rtdsrv.dff54f4b11dd4e0d9cb19000fb943d8c">
      <tp t="s">
        <v>-</v>
        <stp/>
        <stp>Market</stp>
        <stp>INDEX</stp>
        <stp>HGX</stp>
        <stp>始値時刻</stp>
        <tr r="N52" s="1"/>
      </tp>
      <tp t="s">
        <v>-</v>
        <stp/>
        <stp>Market</stp>
        <stp>INDEX</stp>
        <stp>NGX</stp>
        <stp>始値時刻</stp>
        <tr r="N63" s="1"/>
      </tp>
      <tp t="s">
        <v>-</v>
        <stp/>
        <stp>Market</stp>
        <stp>INDEX</stp>
        <stp>HGX</stp>
        <stp>安値時刻</stp>
        <tr r="P52" s="1"/>
      </tp>
      <tp t="s">
        <v>-</v>
        <stp/>
        <stp>Market</stp>
        <stp>INDEX</stp>
        <stp>NGX</stp>
        <stp>安値時刻</stp>
        <tr r="P63" s="1"/>
      </tp>
      <tp t="s">
        <v>-</v>
        <stp/>
        <stp>Market</stp>
        <stp>INDEX</stp>
        <stp>HGX</stp>
        <stp>高値時刻</stp>
        <tr r="O52" s="1"/>
      </tp>
      <tp t="s">
        <v>-</v>
        <stp/>
        <stp>Market</stp>
        <stp>INDEX</stp>
        <stp>NGX</stp>
        <stp>高値時刻</stp>
        <tr r="O63" s="1"/>
      </tp>
    </main>
    <main first="rtdsrv.dff54f4b11dd4e0d9cb19000fb943d8c">
      <tp t="s">
        <v/>
        <stp/>
        <stp>Market</stp>
        <stp>INDEX</stp>
        <stp>GOLDMINI.FUT04.OS</stp>
        <stp>上場来安値</stp>
        <tr r="Y112" s="1"/>
      </tp>
      <tp t="s">
        <v/>
        <stp/>
        <stp>Market</stp>
        <stp>INDEX</stp>
        <stp>GOLDMINI.FUT05.OS</stp>
        <stp>上場来安値</stp>
        <tr r="Y113" s="1"/>
      </tp>
    </main>
    <main first="rtdsrv.dff54f4b11dd4e0d9cb19000fb943d8c">
      <tp t="s">
        <v/>
        <stp/>
        <stp>Market</stp>
        <stp>INDEX</stp>
        <stp>GOLDMINI.FUT06.OS</stp>
        <stp>上場来安値</stp>
        <tr r="Y114" s="1"/>
      </tp>
      <tp t="s">
        <v/>
        <stp/>
        <stp>Market</stp>
        <stp>INDEX</stp>
        <stp>GOLDMINI.FUT01.OS</stp>
        <stp>上場来安値</stp>
        <tr r="Y109" s="1"/>
      </tp>
    </main>
    <main first="rtdsrv.dff54f4b11dd4e0d9cb19000fb943d8c">
      <tp t="s">
        <v/>
        <stp/>
        <stp>Market</stp>
        <stp>INDEX</stp>
        <stp>GOLDMINI.FUT02.OS</stp>
        <stp>上場来安値</stp>
        <tr r="Y110" s="1"/>
      </tp>
      <tp t="s">
        <v/>
        <stp/>
        <stp>Market</stp>
        <stp>INDEX</stp>
        <stp>GOLDMINI.FUT03.OS</stp>
        <stp>上場来安値</stp>
        <tr r="Y111" s="1"/>
      </tp>
      <tp t="s">
        <v/>
        <stp/>
        <stp>Market</stp>
        <stp>INDEX</stp>
        <stp>GOLDMINI.FUT04.OS</stp>
        <stp>年初来安値</stp>
        <tr r="W112" s="1"/>
      </tp>
      <tp t="s">
        <v/>
        <stp/>
        <stp>Market</stp>
        <stp>INDEX</stp>
        <stp>GOLDMINI.FUT05.OS</stp>
        <stp>年初来安値</stp>
        <tr r="W113" s="1"/>
      </tp>
      <tp t="s">
        <v/>
        <stp/>
        <stp>Market</stp>
        <stp>INDEX</stp>
        <stp>GOLDMINI.FUT06.OS</stp>
        <stp>年初来安値</stp>
        <tr r="W114" s="1"/>
      </tp>
      <tp t="s">
        <v/>
        <stp/>
        <stp>Market</stp>
        <stp>INDEX</stp>
        <stp>GOLDMINI.FUT01.OS</stp>
        <stp>年初来安値</stp>
        <tr r="W109" s="1"/>
      </tp>
      <tp t="s">
        <v/>
        <stp/>
        <stp>Market</stp>
        <stp>INDEX</stp>
        <stp>GOLDMINI.FUT02.OS</stp>
        <stp>年初来安値</stp>
        <tr r="W110" s="1"/>
      </tp>
      <tp t="s">
        <v/>
        <stp/>
        <stp>Market</stp>
        <stp>INDEX</stp>
        <stp>GOLDMINI.FUT03.OS</stp>
        <stp>年初来安値</stp>
        <tr r="W111" s="1"/>
      </tp>
    </main>
    <main first="rtdsrv.dff54f4b11dd4e0d9cb19000fb943d8c">
      <tp>
        <v>58210</v>
        <stp/>
        <stp>Market</stp>
        <stp>INDEX</stp>
        <stp>N225M.FUT03.OS</stp>
        <stp>安値</stp>
        <tr r="M79" s="1"/>
      </tp>
      <tp>
        <v>58195</v>
        <stp/>
        <stp>Market</stp>
        <stp>INDEX</stp>
        <stp>N225U.FUT03.OS</stp>
        <stp>安値</stp>
        <tr r="M84" s="1"/>
      </tp>
      <tp>
        <v>0</v>
        <stp/>
        <stp>Market</stp>
        <stp>INDEX</stp>
        <stp>JN400.FUT05.OS</stp>
        <stp>安値</stp>
        <tr r="M100" s="1"/>
      </tp>
    </main>
    <main first="rtdsrv.dff54f4b11dd4e0d9cb19000fb943d8c">
      <tp t="s">
        <v>↑</v>
        <stp/>
        <stp>Market</stp>
        <stp>INDEX</stp>
        <stp>CPQ</stp>
        <stp>現在値ティック</stp>
        <tr r="F60" s="1"/>
      </tp>
    </main>
    <main first="rtdsrv.dff54f4b11dd4e0d9cb19000fb943d8c">
      <tp t="s">
        <v>2026/02/28</v>
        <stp/>
        <stp>Market</stp>
        <stp>INDEX</stp>
        <stp>INSR</stp>
        <stp>現在日付</stp>
        <tr r="C41" s="1"/>
      </tp>
    </main>
    <main first="rtdsrv.dff54f4b11dd4e0d9cb19000fb943d8c">
      <tp t="s">
        <v>2026/02/28</v>
        <stp/>
        <stp>Market</stp>
        <stp>INDEX</stp>
        <stp>GOLD.SPOT.OS</stp>
        <stp>現在日付</stp>
        <tr r="C115" s="1"/>
      </tp>
    </main>
    <main first="rtdsrv.dff54f4b11dd4e0d9cb19000fb943d8c">
      <tp t="s">
        <v>2026/02/27</v>
        <stp/>
        <stp>Market</stp>
        <stp>INDEX</stp>
        <stp>TSSM</stp>
        <stp>現在日付</stp>
        <tr r="C7" s="1"/>
      </tp>
    </main>
    <main first="rtdsrv.dff54f4b11dd4e0d9cb19000fb943d8c">
      <tp>
        <v>59220</v>
        <stp/>
        <stp>Market</stp>
        <stp>INDEX</stp>
        <stp>N225M.FUT01.OS</stp>
        <stp>始値</stp>
        <tr r="K77" s="1"/>
      </tp>
      <tp>
        <v>59210</v>
        <stp/>
        <stp>Market</stp>
        <stp>INDEX</stp>
        <stp>N225U.FUT01.OS</stp>
        <stp>始値</stp>
        <tr r="K82" s="1"/>
      </tp>
    </main>
    <main first="rtdsrv.dff54f4b11dd4e0d9cb19000fb943d8c">
      <tp t="s">
        <v>NASDAQ通信株指数</v>
        <stp/>
        <stp>Market</stp>
        <stp>INDEX</stp>
        <stp>IXTC</stp>
        <stp>指標名称</stp>
        <tr r="B44" s="1"/>
      </tp>
    </main>
    <main first="rtdsrv.dff54f4b11dd4e0d9cb19000fb943d8c">
      <tp t="s">
        <v>PHLX半導体・セクター指数</v>
        <stp/>
        <stp>Market</stp>
        <stp>INDEX</stp>
        <stp>SOX</stp>
        <stp>指標名称</stp>
        <tr r="B51" s="1"/>
      </tp>
    </main>
    <main first="rtdsrv.dff54f4b11dd4e0d9cb19000fb943d8c">
      <tp>
        <v>-20.02</v>
        <stp/>
        <stp>Market</stp>
        <stp>INDEX</stp>
        <stp>SP100</stp>
        <stp>前日比</stp>
        <tr r="G23" s="1"/>
      </tp>
      <tp>
        <v>-74.334999999999994</v>
        <stp/>
        <stp>Market</stp>
        <stp>INDEX</stp>
        <stp>NQ100</stp>
        <stp>前日比</stp>
        <tr r="G22" s="1"/>
      </tp>
      <tp t="s">
        <v>2026/02/28</v>
        <stp/>
        <stp>Market</stp>
        <stp>INDEX</stp>
        <stp>SOX</stp>
        <stp>現在日付</stp>
        <tr r="C51" s="1"/>
      </tp>
      <tp>
        <v>0</v>
        <stp/>
        <stp>Market</stp>
        <stp>INDEX</stp>
        <stp>JGB:FI</stp>
        <stp>始値</stp>
        <tr r="K18" s="1"/>
      </tp>
      <tp>
        <v>0</v>
        <stp/>
        <stp>Market</stp>
        <stp>INDEX</stp>
        <stp>JGB:FL</stp>
        <stp>始値</stp>
        <tr r="K17" s="1"/>
      </tp>
    </main>
    <main first="rtdsrv.dff54f4b11dd4e0d9cb19000fb943d8c">
      <tp t="s">
        <v/>
        <stp/>
        <stp>Market</stp>
        <stp>INDEX</stp>
        <stp>SILVER.FUT06.OS</stp>
        <stp>上場来高値日付</stp>
        <tr r="Z134" s="1"/>
      </tp>
      <tp t="s">
        <v/>
        <stp/>
        <stp>Market</stp>
        <stp>INDEX</stp>
        <stp>SILVER.FUT05.OS</stp>
        <stp>上場来高値日付</stp>
        <tr r="Z133" s="1"/>
      </tp>
      <tp t="s">
        <v/>
        <stp/>
        <stp>Market</stp>
        <stp>INDEX</stp>
        <stp>SILVER.FUT04.OS</stp>
        <stp>上場来高値日付</stp>
        <tr r="Z132" s="1"/>
      </tp>
      <tp t="s">
        <v/>
        <stp/>
        <stp>Market</stp>
        <stp>INDEX</stp>
        <stp>SILVER.FUT03.OS</stp>
        <stp>上場来高値日付</stp>
        <tr r="Z131" s="1"/>
      </tp>
      <tp t="s">
        <v/>
        <stp/>
        <stp>Market</stp>
        <stp>INDEX</stp>
        <stp>SILVER.FUT02.OS</stp>
        <stp>上場来高値日付</stp>
        <tr r="Z130" s="1"/>
      </tp>
      <tp t="s">
        <v/>
        <stp/>
        <stp>Market</stp>
        <stp>INDEX</stp>
        <stp>SILVER.FUT01.OS</stp>
        <stp>上場来高値日付</stp>
        <tr r="Z129" s="1"/>
      </tp>
      <tp t="s">
        <v/>
        <stp/>
        <stp>Market</stp>
        <stp>INDEX</stp>
        <stp>SILVER.FUT06.OS</stp>
        <stp>上場来安値日付</stp>
        <tr r="AA134" s="1"/>
      </tp>
      <tp t="s">
        <v/>
        <stp/>
        <stp>Market</stp>
        <stp>INDEX</stp>
        <stp>SILVER.FUT04.OS</stp>
        <stp>上場来安値日付</stp>
        <tr r="AA132" s="1"/>
      </tp>
      <tp t="s">
        <v/>
        <stp/>
        <stp>Market</stp>
        <stp>INDEX</stp>
        <stp>SILVER.FUT05.OS</stp>
        <stp>上場来安値日付</stp>
        <tr r="AA133" s="1"/>
      </tp>
      <tp t="s">
        <v/>
        <stp/>
        <stp>Market</stp>
        <stp>INDEX</stp>
        <stp>SILVER.FUT02.OS</stp>
        <stp>上場来安値日付</stp>
        <tr r="AA130" s="1"/>
      </tp>
      <tp t="s">
        <v/>
        <stp/>
        <stp>Market</stp>
        <stp>INDEX</stp>
        <stp>SILVER.FUT03.OS</stp>
        <stp>上場来安値日付</stp>
        <tr r="AA131" s="1"/>
      </tp>
      <tp t="s">
        <v/>
        <stp/>
        <stp>Market</stp>
        <stp>INDEX</stp>
        <stp>SILVER.FUT01.OS</stp>
        <stp>上場来安値日付</stp>
        <tr r="AA129" s="1"/>
      </tp>
      <tp>
        <v>1.23</v>
        <stp/>
        <stp>Market</stp>
        <stp>INDEX</stp>
        <stp>VIX</stp>
        <stp>前日比</stp>
        <tr r="G25" s="1"/>
      </tp>
      <tp>
        <v>58190</v>
        <stp/>
        <stp>Market</stp>
        <stp>INDEX</stp>
        <stp>N225M.FUT04.OS</stp>
        <stp>安値</stp>
        <tr r="M80" s="1"/>
      </tp>
      <tp>
        <v>58190</v>
        <stp/>
        <stp>Market</stp>
        <stp>INDEX</stp>
        <stp>N225U.FUT04.OS</stp>
        <stp>安値</stp>
        <tr r="M85" s="1"/>
      </tp>
      <tp>
        <v>0</v>
        <stp/>
        <stp>Market</stp>
        <stp>INDEX</stp>
        <stp>JN400.FUT02.OS</stp>
        <stp>安値</stp>
        <tr r="M97" s="1"/>
      </tp>
    </main>
    <main first="rtdsrv.dff54f4b11dd4e0d9cb19000fb943d8c">
      <tp t="s">
        <v>2026/02/28</v>
        <stp/>
        <stp>Market</stp>
        <stp>INDEX</stp>
        <stp>IXTC</stp>
        <stp>現在日付</stp>
        <tr r="C44" s="1"/>
      </tp>
    </main>
    <main first="rtdsrv.dff54f4b11dd4e0d9cb19000fb943d8c">
      <tp>
        <v>0</v>
        <stp/>
        <stp>Market</stp>
        <stp>INDEX</stp>
        <stp>TS1EX</stp>
        <stp>前日比</stp>
        <tr r="G10" s="1"/>
      </tp>
    </main>
    <main first="rtdsrv.dff54f4b11dd4e0d9cb19000fb943d8c">
      <tp t="s">
        <v>-</v>
        <stp/>
        <stp>Market</stp>
        <stp>INDEX</stp>
        <stp>XAU</stp>
        <stp>始値時刻</stp>
        <tr r="N50" s="1"/>
      </tp>
      <tp t="s">
        <v>-</v>
        <stp/>
        <stp>Market</stp>
        <stp>INDEX</stp>
        <stp>XAU</stp>
        <stp>安値時刻</stp>
        <tr r="P50" s="1"/>
      </tp>
      <tp t="s">
        <v>-</v>
        <stp/>
        <stp>Market</stp>
        <stp>INDEX</stp>
        <stp>XAU</stp>
        <stp>高値時刻</stp>
        <tr r="O50" s="1"/>
      </tp>
      <tp t="s">
        <v/>
        <stp/>
        <stp>Market</stp>
        <stp>INDEX</stp>
        <stp>REDBEAN.FUT01.OS</stp>
        <stp>前年終値</stp>
        <tr r="U165" s="1"/>
      </tp>
      <tp t="s">
        <v/>
        <stp/>
        <stp>Market</stp>
        <stp>INDEX</stp>
        <stp>REDBEAN.FUT03.OS</stp>
        <stp>前年終値</stp>
        <tr r="U167" s="1"/>
      </tp>
      <tp t="s">
        <v/>
        <stp/>
        <stp>Market</stp>
        <stp>INDEX</stp>
        <stp>REDBEAN.FUT02.OS</stp>
        <stp>前年終値</stp>
        <tr r="U166" s="1"/>
      </tp>
      <tp t="s">
        <v/>
        <stp/>
        <stp>Market</stp>
        <stp>INDEX</stp>
        <stp>REDBEAN.FUT05.OS</stp>
        <stp>前年終値</stp>
        <tr r="U169" s="1"/>
      </tp>
      <tp t="s">
        <v/>
        <stp/>
        <stp>Market</stp>
        <stp>INDEX</stp>
        <stp>REDBEAN.FUT04.OS</stp>
        <stp>前年終値</stp>
        <tr r="U168" s="1"/>
      </tp>
      <tp t="s">
        <v/>
        <stp/>
        <stp>Market</stp>
        <stp>INDEX</stp>
        <stp>REDBEAN.FUT06.OS</stp>
        <stp>前年終値</stp>
        <tr r="U170" s="1"/>
      </tp>
    </main>
    <main first="rtdsrv.dff54f4b11dd4e0d9cb19000fb943d8c">
      <tp t="s">
        <v/>
        <stp/>
        <stp>Market</stp>
        <stp>INDEX</stp>
        <stp>NZD/JPY</stp>
        <stp>前年終値</stp>
        <tr r="U191" s="1"/>
      </tp>
      <tp t="s">
        <v/>
        <stp/>
        <stp>Market</stp>
        <stp>INDEX</stp>
        <stp>GBP/CHF</stp>
        <stp>前年終値</stp>
        <tr r="U202" s="1"/>
      </tp>
    </main>
    <main first="rtdsrv.dff54f4b11dd4e0d9cb19000fb943d8c">
      <tp t="s">
        <v/>
        <stp/>
        <stp>Market</stp>
        <stp>INDEX</stp>
        <stp>TSR20.FUT10.OS</stp>
        <stp>上場来高値日付</stp>
        <tr r="Z162" s="1"/>
      </tp>
      <tp t="s">
        <v/>
        <stp/>
        <stp>Market</stp>
        <stp>INDEX</stp>
        <stp>TSR20.FUT11.OS</stp>
        <stp>上場来高値日付</stp>
        <tr r="Z163" s="1"/>
      </tp>
      <tp t="s">
        <v/>
        <stp/>
        <stp>Market</stp>
        <stp>INDEX</stp>
        <stp>TSR20.FUT12.OS</stp>
        <stp>上場来高値日付</stp>
        <tr r="Z164" s="1"/>
      </tp>
      <tp t="s">
        <v/>
        <stp/>
        <stp>Market</stp>
        <stp>INDEX</stp>
        <stp>TSR20.FUT08.OS</stp>
        <stp>上場来高値日付</stp>
        <tr r="Z160" s="1"/>
      </tp>
      <tp t="s">
        <v/>
        <stp/>
        <stp>Market</stp>
        <stp>INDEX</stp>
        <stp>TSR20.FUT09.OS</stp>
        <stp>上場来高値日付</stp>
        <tr r="Z161" s="1"/>
      </tp>
      <tp t="s">
        <v/>
        <stp/>
        <stp>Market</stp>
        <stp>INDEX</stp>
        <stp>TSR20.FUT01.OS</stp>
        <stp>上場来高値日付</stp>
        <tr r="Z153" s="1"/>
      </tp>
      <tp t="s">
        <v/>
        <stp/>
        <stp>Market</stp>
        <stp>INDEX</stp>
        <stp>TSR20.FUT02.OS</stp>
        <stp>上場来高値日付</stp>
        <tr r="Z154" s="1"/>
      </tp>
      <tp t="s">
        <v/>
        <stp/>
        <stp>Market</stp>
        <stp>INDEX</stp>
        <stp>TSR20.FUT03.OS</stp>
        <stp>上場来高値日付</stp>
        <tr r="Z155" s="1"/>
      </tp>
      <tp t="s">
        <v/>
        <stp/>
        <stp>Market</stp>
        <stp>INDEX</stp>
        <stp>TSR20.FUT04.OS</stp>
        <stp>上場来高値日付</stp>
        <tr r="Z156" s="1"/>
      </tp>
      <tp t="s">
        <v/>
        <stp/>
        <stp>Market</stp>
        <stp>INDEX</stp>
        <stp>TSR20.FUT05.OS</stp>
        <stp>上場来高値日付</stp>
        <tr r="Z157" s="1"/>
      </tp>
      <tp t="s">
        <v/>
        <stp/>
        <stp>Market</stp>
        <stp>INDEX</stp>
        <stp>TSR20.FUT06.OS</stp>
        <stp>上場来高値日付</stp>
        <tr r="Z158" s="1"/>
      </tp>
      <tp t="s">
        <v/>
        <stp/>
        <stp>Market</stp>
        <stp>INDEX</stp>
        <stp>TSR20.FUT07.OS</stp>
        <stp>上場来高値日付</stp>
        <tr r="Z159" s="1"/>
      </tp>
      <tp t="s">
        <v/>
        <stp/>
        <stp>Market</stp>
        <stp>INDEX</stp>
        <stp>TSR20.FUT09.OS</stp>
        <stp>上場来安値日付</stp>
        <tr r="AA161" s="1"/>
      </tp>
      <tp t="s">
        <v/>
        <stp/>
        <stp>Market</stp>
        <stp>INDEX</stp>
        <stp>TSR20.FUT08.OS</stp>
        <stp>上場来安値日付</stp>
        <tr r="AA160" s="1"/>
      </tp>
      <tp t="s">
        <v/>
        <stp/>
        <stp>Market</stp>
        <stp>INDEX</stp>
        <stp>TSR20.FUT01.OS</stp>
        <stp>上場来安値日付</stp>
        <tr r="AA153" s="1"/>
      </tp>
      <tp t="s">
        <v/>
        <stp/>
        <stp>Market</stp>
        <stp>INDEX</stp>
        <stp>TSR20.FUT03.OS</stp>
        <stp>上場来安値日付</stp>
        <tr r="AA155" s="1"/>
      </tp>
      <tp t="s">
        <v/>
        <stp/>
        <stp>Market</stp>
        <stp>INDEX</stp>
        <stp>TSR20.FUT02.OS</stp>
        <stp>上場来安値日付</stp>
        <tr r="AA154" s="1"/>
      </tp>
      <tp t="s">
        <v/>
        <stp/>
        <stp>Market</stp>
        <stp>INDEX</stp>
        <stp>TSR20.FUT05.OS</stp>
        <stp>上場来安値日付</stp>
        <tr r="AA157" s="1"/>
      </tp>
      <tp t="s">
        <v/>
        <stp/>
        <stp>Market</stp>
        <stp>INDEX</stp>
        <stp>TSR20.FUT04.OS</stp>
        <stp>上場来安値日付</stp>
        <tr r="AA156" s="1"/>
      </tp>
      <tp t="s">
        <v/>
        <stp/>
        <stp>Market</stp>
        <stp>INDEX</stp>
        <stp>TSR20.FUT07.OS</stp>
        <stp>上場来安値日付</stp>
        <tr r="AA159" s="1"/>
      </tp>
      <tp t="s">
        <v/>
        <stp/>
        <stp>Market</stp>
        <stp>INDEX</stp>
        <stp>TSR20.FUT06.OS</stp>
        <stp>上場来安値日付</stp>
        <tr r="AA158" s="1"/>
      </tp>
      <tp t="s">
        <v/>
        <stp/>
        <stp>Market</stp>
        <stp>INDEX</stp>
        <stp>TSR20.FUT11.OS</stp>
        <stp>上場来安値日付</stp>
        <tr r="AA163" s="1"/>
      </tp>
      <tp t="s">
        <v/>
        <stp/>
        <stp>Market</stp>
        <stp>INDEX</stp>
        <stp>TSR20.FUT10.OS</stp>
        <stp>上場来安値日付</stp>
        <tr r="AA162" s="1"/>
      </tp>
      <tp t="s">
        <v/>
        <stp/>
        <stp>Market</stp>
        <stp>INDEX</stp>
        <stp>TSR20.FUT12.OS</stp>
        <stp>上場来安値日付</stp>
        <tr r="AA164" s="1"/>
      </tp>
    </main>
    <main first="rtdsrv.dff54f4b11dd4e0d9cb19000fb943d8c">
      <tp>
        <v>58455</v>
        <stp/>
        <stp>Market</stp>
        <stp>INDEX</stp>
        <stp>N225M.FUT05.OS</stp>
        <stp>安値</stp>
        <tr r="M81" s="1"/>
      </tp>
      <tp>
        <v>0</v>
        <stp/>
        <stp>Market</stp>
        <stp>INDEX</stp>
        <stp>JN400.FUT03.OS</stp>
        <stp>安値</stp>
        <tr r="M98" s="1"/>
      </tp>
    </main>
    <main first="rtdsrv.dff54f4b11dd4e0d9cb19000fb943d8c">
      <tp>
        <v>6079.54</v>
        <stp/>
        <stp>Market</stp>
        <stp>INDEX</stp>
        <stp>HXC</stp>
        <stp>前年最安値</stp>
        <tr r="T55" s="1"/>
      </tp>
    </main>
    <main first="rtdsrv.dff54f4b11dd4e0d9cb19000fb943d8c">
      <tp>
        <v>35825</v>
        <stp/>
        <stp>Market</stp>
        <stp>INDEX</stp>
        <stp>JN400.FUT01.OS</stp>
        <stp>始値</stp>
        <tr r="K96" s="1"/>
      </tp>
    </main>
    <main first="rtdsrv.dff54f4b11dd4e0d9cb19000fb943d8c">
      <tp>
        <v>3060.44</v>
        <stp/>
        <stp>Market</stp>
        <stp>INDEX</stp>
        <stp>NQCYBR</stp>
        <stp>始値</stp>
        <tr r="K59" s="1"/>
      </tp>
      <tp t="s">
        <v/>
        <stp/>
        <stp>Market</stp>
        <stp>INDEX</stp>
        <stp>PLATINUMMINI.FUT01.OS</stp>
        <stp>前年終値</stp>
        <tr r="U122" s="1"/>
      </tp>
      <tp t="s">
        <v/>
        <stp/>
        <stp>Market</stp>
        <stp>INDEX</stp>
        <stp>PLATINUMMINI.FUT03.OS</stp>
        <stp>前年終値</stp>
        <tr r="U124" s="1"/>
      </tp>
      <tp t="s">
        <v/>
        <stp/>
        <stp>Market</stp>
        <stp>INDEX</stp>
        <stp>PLATINUMMINI.FUT02.OS</stp>
        <stp>前年終値</stp>
        <tr r="U123" s="1"/>
      </tp>
      <tp t="s">
        <v/>
        <stp/>
        <stp>Market</stp>
        <stp>INDEX</stp>
        <stp>PLATINUMMINI.FUT05.OS</stp>
        <stp>前年終値</stp>
        <tr r="U126" s="1"/>
      </tp>
      <tp t="s">
        <v/>
        <stp/>
        <stp>Market</stp>
        <stp>INDEX</stp>
        <stp>PLATINUMMINI.FUT04.OS</stp>
        <stp>前年終値</stp>
        <tr r="U125" s="1"/>
      </tp>
      <tp t="s">
        <v/>
        <stp/>
        <stp>Market</stp>
        <stp>INDEX</stp>
        <stp>PLATINUMMINI.FUT06.OS</stp>
        <stp>前年終値</stp>
        <tr r="U127" s="1"/>
      </tp>
      <tp t="s">
        <v>-</v>
        <stp/>
        <stp>Market</stp>
        <stp>INDEX</stp>
        <stp>NBI</stp>
        <stp>始値時刻</stp>
        <tr r="N47" s="1"/>
      </tp>
      <tp t="s">
        <v>-</v>
        <stp/>
        <stp>Market</stp>
        <stp>INDEX</stp>
        <stp>NBI</stp>
        <stp>安値時刻</stp>
        <tr r="P47" s="1"/>
      </tp>
      <tp t="s">
        <v>-</v>
        <stp/>
        <stp>Market</stp>
        <stp>INDEX</stp>
        <stp>NBI</stp>
        <stp>高値時刻</stp>
        <tr r="O47" s="1"/>
      </tp>
    </main>
    <main first="rtdsrv.dff54f4b11dd4e0d9cb19000fb943d8c">
      <tp t="s">
        <v/>
        <stp/>
        <stp>Market</stp>
        <stp>INDEX</stp>
        <stp>NZD/USD</stp>
        <stp>前年終値</stp>
        <tr r="U200" s="1"/>
      </tp>
    </main>
    <main first="rtdsrv.dff54f4b11dd4e0d9cb19000fb943d8c">
      <tp>
        <v>0</v>
        <stp/>
        <stp>Market</stp>
        <stp>INDEX</stp>
        <stp>JGB:FI</stp>
        <stp>安値</stp>
        <tr r="M18" s="1"/>
      </tp>
      <tp>
        <v>0</v>
        <stp/>
        <stp>Market</stp>
        <stp>INDEX</stp>
        <stp>JGB:FL</stp>
        <stp>安値</stp>
        <tr r="M17" s="1"/>
      </tp>
    </main>
    <main first="rtdsrv.dff54f4b11dd4e0d9cb19000fb943d8c">
      <tp t="s">
        <v/>
        <stp/>
        <stp>Market</stp>
        <stp>INDEX</stp>
        <stp>PLATINUMMINI.FUT01.OS</stp>
        <stp>現在値ティック</stp>
        <tr r="F122" s="1"/>
      </tp>
      <tp t="s">
        <v/>
        <stp/>
        <stp>Market</stp>
        <stp>INDEX</stp>
        <stp>PLATINUMMINI.FUT03.OS</stp>
        <stp>現在値ティック</stp>
        <tr r="F124" s="1"/>
      </tp>
      <tp t="s">
        <v/>
        <stp/>
        <stp>Market</stp>
        <stp>INDEX</stp>
        <stp>PLATINUMMINI.FUT02.OS</stp>
        <stp>現在値ティック</stp>
        <tr r="F123" s="1"/>
      </tp>
      <tp t="s">
        <v>↑</v>
        <stp/>
        <stp>Market</stp>
        <stp>INDEX</stp>
        <stp>PLATINUMMINI.FUT05.OS</stp>
        <stp>現在値ティック</stp>
        <tr r="F126" s="1"/>
      </tp>
      <tp t="s">
        <v/>
        <stp/>
        <stp>Market</stp>
        <stp>INDEX</stp>
        <stp>PLATINUMMINI.FUT04.OS</stp>
        <stp>現在値ティック</stp>
        <tr r="F125" s="1"/>
      </tp>
      <tp t="s">
        <v>↑</v>
        <stp/>
        <stp>Market</stp>
        <stp>INDEX</stp>
        <stp>PLATINUMMINI.FUT06.OS</stp>
        <stp>現在値ティック</stp>
        <tr r="F127" s="1"/>
      </tp>
      <tp>
        <v>59005</v>
        <stp/>
        <stp>Market</stp>
        <stp>INDEX</stp>
        <stp>N225M.FUT04.OS</stp>
        <stp>始値</stp>
        <tr r="K80" s="1"/>
      </tp>
      <tp>
        <v>59000</v>
        <stp/>
        <stp>Market</stp>
        <stp>INDEX</stp>
        <stp>N225U.FUT04.OS</stp>
        <stp>始値</stp>
        <tr r="K85" s="1"/>
      </tp>
      <tp>
        <v>0</v>
        <stp/>
        <stp>Market</stp>
        <stp>INDEX</stp>
        <stp>JN400.FUT02.OS</stp>
        <stp>始値</stp>
        <tr r="K97" s="1"/>
      </tp>
    </main>
    <main first="rtdsrv.dff54f4b11dd4e0d9cb19000fb943d8c">
      <tp t="s">
        <v>-</v>
        <stp/>
        <stp>Market</stp>
        <stp>INDEX</stp>
        <stp>SIXE</stp>
        <stp>安値時刻</stp>
        <tr r="P28" s="1"/>
      </tp>
      <tp t="s">
        <v>-</v>
        <stp/>
        <stp>Market</stp>
        <stp>INDEX</stp>
        <stp>SIXE</stp>
        <stp>始値時刻</stp>
        <tr r="N28" s="1"/>
      </tp>
      <tp t="s">
        <v>-</v>
        <stp/>
        <stp>Market</stp>
        <stp>INDEX</stp>
        <stp>SIXE</stp>
        <stp>高値時刻</stp>
        <tr r="O28" s="1"/>
      </tp>
      <tp t="s">
        <v>-</v>
        <stp/>
        <stp>Market</stp>
        <stp>INDEX</stp>
        <stp>SIXC</stp>
        <stp>安値時刻</stp>
        <tr r="P33" s="1"/>
      </tp>
      <tp t="s">
        <v>-</v>
        <stp/>
        <stp>Market</stp>
        <stp>INDEX</stp>
        <stp>SIXC</stp>
        <stp>始値時刻</stp>
        <tr r="N33" s="1"/>
      </tp>
      <tp t="s">
        <v>-</v>
        <stp/>
        <stp>Market</stp>
        <stp>INDEX</stp>
        <stp>SIXC</stp>
        <stp>高値時刻</stp>
        <tr r="O33" s="1"/>
      </tp>
      <tp t="s">
        <v>-</v>
        <stp/>
        <stp>Market</stp>
        <stp>INDEX</stp>
        <stp>SIXB</stp>
        <stp>安値時刻</stp>
        <tr r="P27" s="1"/>
      </tp>
      <tp t="s">
        <v>-</v>
        <stp/>
        <stp>Market</stp>
        <stp>INDEX</stp>
        <stp>SIXB</stp>
        <stp>始値時刻</stp>
        <tr r="N27" s="1"/>
      </tp>
      <tp t="s">
        <v>-</v>
        <stp/>
        <stp>Market</stp>
        <stp>INDEX</stp>
        <stp>SIXB</stp>
        <stp>高値時刻</stp>
        <tr r="O27" s="1"/>
      </tp>
      <tp t="s">
        <v>-</v>
        <stp/>
        <stp>Market</stp>
        <stp>INDEX</stp>
        <stp>SIXM</stp>
        <stp>安値時刻</stp>
        <tr r="P29" s="1"/>
      </tp>
      <tp t="s">
        <v>-</v>
        <stp/>
        <stp>Market</stp>
        <stp>INDEX</stp>
        <stp>SIXM</stp>
        <stp>始値時刻</stp>
        <tr r="N29" s="1"/>
      </tp>
      <tp t="s">
        <v>-</v>
        <stp/>
        <stp>Market</stp>
        <stp>INDEX</stp>
        <stp>SIXM</stp>
        <stp>高値時刻</stp>
        <tr r="O29" s="1"/>
      </tp>
      <tp t="s">
        <v>-</v>
        <stp/>
        <stp>Market</stp>
        <stp>INDEX</stp>
        <stp>SIXI</stp>
        <stp>安値時刻</stp>
        <tr r="P34" s="1"/>
      </tp>
      <tp t="s">
        <v>-</v>
        <stp/>
        <stp>Market</stp>
        <stp>INDEX</stp>
        <stp>SIXI</stp>
        <stp>始値時刻</stp>
        <tr r="N34" s="1"/>
      </tp>
      <tp t="s">
        <v>-</v>
        <stp/>
        <stp>Market</stp>
        <stp>INDEX</stp>
        <stp>SIXI</stp>
        <stp>高値時刻</stp>
        <tr r="O34" s="1"/>
      </tp>
      <tp t="s">
        <v>-</v>
        <stp/>
        <stp>Market</stp>
        <stp>INDEX</stp>
        <stp>SIXU</stp>
        <stp>安値時刻</stp>
        <tr r="P31" s="1"/>
      </tp>
      <tp t="s">
        <v>-</v>
        <stp/>
        <stp>Market</stp>
        <stp>INDEX</stp>
        <stp>SIXU</stp>
        <stp>始値時刻</stp>
        <tr r="N31" s="1"/>
      </tp>
      <tp t="s">
        <v>-</v>
        <stp/>
        <stp>Market</stp>
        <stp>INDEX</stp>
        <stp>SIXU</stp>
        <stp>高値時刻</stp>
        <tr r="O31" s="1"/>
      </tp>
      <tp t="s">
        <v>-</v>
        <stp/>
        <stp>Market</stp>
        <stp>INDEX</stp>
        <stp>SIXT</stp>
        <stp>安値時刻</stp>
        <tr r="P36" s="1"/>
      </tp>
      <tp t="s">
        <v>-</v>
        <stp/>
        <stp>Market</stp>
        <stp>INDEX</stp>
        <stp>SIXT</stp>
        <stp>始値時刻</stp>
        <tr r="N36" s="1"/>
      </tp>
      <tp t="s">
        <v>-</v>
        <stp/>
        <stp>Market</stp>
        <stp>INDEX</stp>
        <stp>NDXT</stp>
        <stp>安値時刻</stp>
        <tr r="P49" s="1"/>
      </tp>
      <tp t="s">
        <v>-</v>
        <stp/>
        <stp>Market</stp>
        <stp>INDEX</stp>
        <stp>NDXT</stp>
        <stp>始値時刻</stp>
        <tr r="N49" s="1"/>
      </tp>
      <tp t="s">
        <v>-</v>
        <stp/>
        <stp>Market</stp>
        <stp>INDEX</stp>
        <stp>SIXT</stp>
        <stp>高値時刻</stp>
        <tr r="O36" s="1"/>
      </tp>
      <tp t="s">
        <v>-</v>
        <stp/>
        <stp>Market</stp>
        <stp>INDEX</stp>
        <stp>NDXT</stp>
        <stp>高値時刻</stp>
        <tr r="O49" s="1"/>
      </tp>
      <tp t="s">
        <v>-</v>
        <stp/>
        <stp>Market</stp>
        <stp>INDEX</stp>
        <stp>SIXV</stp>
        <stp>安値時刻</stp>
        <tr r="P37" s="1"/>
      </tp>
      <tp t="s">
        <v>-</v>
        <stp/>
        <stp>Market</stp>
        <stp>INDEX</stp>
        <stp>SIXV</stp>
        <stp>始値時刻</stp>
        <tr r="N37" s="1"/>
      </tp>
      <tp t="s">
        <v>-</v>
        <stp/>
        <stp>Market</stp>
        <stp>INDEX</stp>
        <stp>SIXV</stp>
        <stp>高値時刻</stp>
        <tr r="O37" s="1"/>
      </tp>
      <tp t="s">
        <v>-</v>
        <stp/>
        <stp>Market</stp>
        <stp>INDEX</stp>
        <stp>SIXR</stp>
        <stp>安値時刻</stp>
        <tr r="P35" s="1"/>
      </tp>
      <tp t="s">
        <v>-</v>
        <stp/>
        <stp>Market</stp>
        <stp>INDEX</stp>
        <stp>SIXR</stp>
        <stp>始値時刻</stp>
        <tr r="N35" s="1"/>
      </tp>
      <tp t="s">
        <v>-</v>
        <stp/>
        <stp>Market</stp>
        <stp>INDEX</stp>
        <stp>SIXR</stp>
        <stp>高値時刻</stp>
        <tr r="O35" s="1"/>
      </tp>
      <tp t="s">
        <v/>
        <stp/>
        <stp>Market</stp>
        <stp>INDEX</stp>
        <stp>MXN/JPY</stp>
        <stp>前年終値</stp>
        <tr r="U211" s="1"/>
      </tp>
      <tp t="s">
        <v>-</v>
        <stp/>
        <stp>Market</stp>
        <stp>INDEX</stp>
        <stp>SIXY</stp>
        <stp>安値時刻</stp>
        <tr r="P32" s="1"/>
      </tp>
      <tp t="s">
        <v>-</v>
        <stp/>
        <stp>Market</stp>
        <stp>INDEX</stp>
        <stp>SIXY</stp>
        <stp>始値時刻</stp>
        <tr r="N32" s="1"/>
      </tp>
      <tp t="s">
        <v>-</v>
        <stp/>
        <stp>Market</stp>
        <stp>INDEX</stp>
        <stp>SIXY</stp>
        <stp>高値時刻</stp>
        <tr r="O32" s="1"/>
      </tp>
    </main>
    <main first="rtdsrv.dff54f4b11dd4e0d9cb19000fb943d8c">
      <tp t="s">
        <v/>
        <stp/>
        <stp>Market</stp>
        <stp>INDEX</stp>
        <stp>JN400.FUT04.OS</stp>
        <stp>上場来高値日付</stp>
        <tr r="Z99" s="1"/>
      </tp>
      <tp t="s">
        <v/>
        <stp/>
        <stp>Market</stp>
        <stp>INDEX</stp>
        <stp>JN400.FUT05.OS</stp>
        <stp>上場来高値日付</stp>
        <tr r="Z100" s="1"/>
      </tp>
      <tp t="s">
        <v/>
        <stp/>
        <stp>Market</stp>
        <stp>INDEX</stp>
        <stp>JN400.FUT02.OS</stp>
        <stp>上場来高値日付</stp>
        <tr r="Z97" s="1"/>
      </tp>
      <tp t="s">
        <v/>
        <stp/>
        <stp>Market</stp>
        <stp>INDEX</stp>
        <stp>JN400.FUT03.OS</stp>
        <stp>上場来高値日付</stp>
        <tr r="Z98" s="1"/>
      </tp>
      <tp t="s">
        <v/>
        <stp/>
        <stp>Market</stp>
        <stp>INDEX</stp>
        <stp>JN400.FUT01.OS</stp>
        <stp>上場来高値日付</stp>
        <tr r="Z96" s="1"/>
      </tp>
      <tp t="s">
        <v/>
        <stp/>
        <stp>Market</stp>
        <stp>INDEX</stp>
        <stp>JN400.FUT05.OS</stp>
        <stp>上場来安値日付</stp>
        <tr r="AA100" s="1"/>
      </tp>
      <tp t="s">
        <v/>
        <stp/>
        <stp>Market</stp>
        <stp>INDEX</stp>
        <stp>JN400.FUT04.OS</stp>
        <stp>上場来安値日付</stp>
        <tr r="AA99" s="1"/>
      </tp>
      <tp t="s">
        <v/>
        <stp/>
        <stp>Market</stp>
        <stp>INDEX</stp>
        <stp>JN400.FUT03.OS</stp>
        <stp>上場来安値日付</stp>
        <tr r="AA98" s="1"/>
      </tp>
      <tp t="s">
        <v/>
        <stp/>
        <stp>Market</stp>
        <stp>INDEX</stp>
        <stp>JN400.FUT02.OS</stp>
        <stp>上場来安値日付</stp>
        <tr r="AA97" s="1"/>
      </tp>
      <tp t="s">
        <v/>
        <stp/>
        <stp>Market</stp>
        <stp>INDEX</stp>
        <stp>JN400.FUT01.OS</stp>
        <stp>上場来安値日付</stp>
        <tr r="AA96" s="1"/>
      </tp>
    </main>
    <main first="rtdsrv.dff54f4b11dd4e0d9cb19000fb943d8c">
      <tp>
        <v>35320</v>
        <stp/>
        <stp>Market</stp>
        <stp>INDEX</stp>
        <stp>JN400.FUT01.OS</stp>
        <stp>安値</stp>
        <tr r="M96" s="1"/>
      </tp>
    </main>
    <main first="rtdsrv.dff54f4b11dd4e0d9cb19000fb943d8c">
      <tp>
        <v>2966.56</v>
        <stp/>
        <stp>Market</stp>
        <stp>INDEX</stp>
        <stp>NQCYBR</stp>
        <stp>安値</stp>
        <tr r="M59" s="1"/>
      </tp>
    </main>
    <main first="rtdsrv.dff54f4b11dd4e0d9cb19000fb943d8c">
      <tp>
        <v>15.07</v>
        <stp/>
        <stp>Market</stp>
        <stp>INDEX</stp>
        <stp>UTY</stp>
        <stp>前日比</stp>
        <tr r="G54" s="1"/>
      </tp>
    </main>
    <main first="rtdsrv.dff54f4b11dd4e0d9cb19000fb943d8c">
      <tp>
        <v>58950</v>
        <stp/>
        <stp>Market</stp>
        <stp>INDEX</stp>
        <stp>N225M.FUT05.OS</stp>
        <stp>始値</stp>
        <tr r="K81" s="1"/>
      </tp>
      <tp>
        <v>0</v>
        <stp/>
        <stp>Market</stp>
        <stp>INDEX</stp>
        <stp>JN400.FUT03.OS</stp>
        <stp>始値</stp>
        <tr r="K98" s="1"/>
      </tp>
      <tp t="s">
        <v>S&amp;P通信サービスセレクト・セクター指数</v>
        <stp/>
        <stp>Market</stp>
        <stp>INDEX</stp>
        <stp>SIXC</stp>
        <stp>指標名称</stp>
        <tr r="B33" s="1"/>
      </tp>
      <tp t="s">
        <v>S&amp;P素材セレクト・セクター指数</v>
        <stp/>
        <stp>Market</stp>
        <stp>INDEX</stp>
        <stp>SIXB</stp>
        <stp>指標名称</stp>
        <tr r="B27" s="1"/>
      </tp>
      <tp t="s">
        <v>S&amp;Pエナジー・セレクト・セクター指数</v>
        <stp/>
        <stp>Market</stp>
        <stp>INDEX</stp>
        <stp>SIXE</stp>
        <stp>指標名称</stp>
        <tr r="B28" s="1"/>
      </tp>
      <tp t="s">
        <v>S&amp;P資本財セレクト・セクター指数</v>
        <stp/>
        <stp>Market</stp>
        <stp>INDEX</stp>
        <stp>SIXI</stp>
        <stp>指標名称</stp>
        <tr r="B34" s="1"/>
      </tp>
      <tp t="s">
        <v>S&amp;P金融セレクト・セクター指数</v>
        <stp/>
        <stp>Market</stp>
        <stp>INDEX</stp>
        <stp>SIXM</stp>
        <stp>指標名称</stp>
        <tr r="B29" s="1"/>
      </tp>
      <tp t="s">
        <v>S&amp;P生活必需品セレクト・セクター指数</v>
        <stp/>
        <stp>Market</stp>
        <stp>INDEX</stp>
        <stp>SIXR</stp>
        <stp>指標名称</stp>
        <tr r="B35" s="1"/>
      </tp>
      <tp t="s">
        <v>S&amp;P公益事業セレクト・セクター指数</v>
        <stp/>
        <stp>Market</stp>
        <stp>INDEX</stp>
        <stp>SIXU</stp>
        <stp>指標名称</stp>
        <tr r="B31" s="1"/>
      </tp>
      <tp t="s">
        <v>NASDAQ100テクノロジー・セクター指数</v>
        <stp/>
        <stp>Market</stp>
        <stp>INDEX</stp>
        <stp>NDXT</stp>
        <stp>指標名称</stp>
        <tr r="B49" s="1"/>
      </tp>
      <tp t="s">
        <v>S&amp;Pテクノロジー・セレクト・セクター指数</v>
        <stp/>
        <stp>Market</stp>
        <stp>INDEX</stp>
        <stp>SIXT</stp>
        <stp>指標名称</stp>
        <tr r="B36" s="1"/>
      </tp>
      <tp t="s">
        <v>S&amp;Pヘルスケア・セレクト・セクター指数</v>
        <stp/>
        <stp>Market</stp>
        <stp>INDEX</stp>
        <stp>SIXV</stp>
        <stp>指標名称</stp>
        <tr r="B37" s="1"/>
      </tp>
      <tp t="s">
        <v>S&amp;P一般消費財セレクト・セクター指数</v>
        <stp/>
        <stp>Market</stp>
        <stp>INDEX</stp>
        <stp>SIXY</stp>
        <stp>指標名称</stp>
        <tr r="B32" s="1"/>
      </tp>
    </main>
    <main first="rtdsrv.dff54f4b11dd4e0d9cb19000fb943d8c">
      <tp t="s">
        <v>↑</v>
        <stp/>
        <stp>Market</stp>
        <stp>INDEX</stp>
        <stp>HGX</stp>
        <stp>現在値ティック</stp>
        <tr r="F52" s="1"/>
      </tp>
      <tp t="s">
        <v>↓</v>
        <stp/>
        <stp>Market</stp>
        <stp>INDEX</stp>
        <stp>HXC</stp>
        <stp>現在値ティック</stp>
        <tr r="F55" s="1"/>
      </tp>
      <tp t="s">
        <v>↓</v>
        <stp/>
        <stp>Market</stp>
        <stp>INDEX</stp>
        <stp>MOT.FUT03.OS</stp>
        <stp>現在値ティック</stp>
        <tr r="F93" s="1"/>
      </tp>
      <tp t="s">
        <v>↓</v>
        <stp/>
        <stp>Market</stp>
        <stp>INDEX</stp>
        <stp>MOT.FUT02.OS</stp>
        <stp>現在値ティック</stp>
        <tr r="F92" s="1"/>
      </tp>
      <tp t="s">
        <v>↑</v>
        <stp/>
        <stp>Market</stp>
        <stp>INDEX</stp>
        <stp>MOT.FUT01.OS</stp>
        <stp>現在値ティック</stp>
        <tr r="F91" s="1"/>
      </tp>
      <tp t="s">
        <v/>
        <stp/>
        <stp>Market</stp>
        <stp>INDEX</stp>
        <stp>MOT.FUT05.OS</stp>
        <stp>現在値ティック</stp>
        <tr r="F95" s="1"/>
      </tp>
      <tp t="s">
        <v/>
        <stp/>
        <stp>Market</stp>
        <stp>INDEX</stp>
        <stp>MOT.FUT04.OS</stp>
        <stp>現在値ティック</stp>
        <tr r="F94" s="1"/>
      </tp>
      <tp t="s">
        <v>↓</v>
        <stp/>
        <stp>Market</stp>
        <stp>INDEX</stp>
        <stp>HSI</stp>
        <stp>現在値ティック</stp>
        <tr r="F65" s="1"/>
      </tp>
      <tp t="s">
        <v>2026/02/28</v>
        <stp/>
        <stp>Market</stp>
        <stp>INDEX</stp>
        <stp>SIXY</stp>
        <stp>現在日付</stp>
        <tr r="C32" s="1"/>
      </tp>
      <tp t="s">
        <v>2026/02/28</v>
        <stp/>
        <stp>Market</stp>
        <stp>INDEX</stp>
        <stp>SIXV</stp>
        <stp>現在日付</stp>
        <tr r="C37" s="1"/>
      </tp>
      <tp t="s">
        <v>2026/02/28</v>
        <stp/>
        <stp>Market</stp>
        <stp>INDEX</stp>
        <stp>SIXT</stp>
        <stp>現在日付</stp>
        <tr r="C36" s="1"/>
      </tp>
      <tp t="s">
        <v>2026/02/28</v>
        <stp/>
        <stp>Market</stp>
        <stp>INDEX</stp>
        <stp>NDXT</stp>
        <stp>現在日付</stp>
        <tr r="C49" s="1"/>
      </tp>
      <tp t="s">
        <v>2026/02/28</v>
        <stp/>
        <stp>Market</stp>
        <stp>INDEX</stp>
        <stp>SIXU</stp>
        <stp>現在日付</stp>
        <tr r="C31" s="1"/>
      </tp>
      <tp t="s">
        <v>2026/02/28</v>
        <stp/>
        <stp>Market</stp>
        <stp>INDEX</stp>
        <stp>SIXR</stp>
        <stp>現在日付</stp>
        <tr r="C35" s="1"/>
      </tp>
      <tp t="s">
        <v>2026/02/28</v>
        <stp/>
        <stp>Market</stp>
        <stp>INDEX</stp>
        <stp>SIXM</stp>
        <stp>現在日付</stp>
        <tr r="C29" s="1"/>
      </tp>
      <tp t="s">
        <v>2026/02/28</v>
        <stp/>
        <stp>Market</stp>
        <stp>INDEX</stp>
        <stp>SIXI</stp>
        <stp>現在日付</stp>
        <tr r="C34" s="1"/>
      </tp>
      <tp t="s">
        <v>2026/02/28</v>
        <stp/>
        <stp>Market</stp>
        <stp>INDEX</stp>
        <stp>SIXE</stp>
        <stp>現在日付</stp>
        <tr r="C28" s="1"/>
      </tp>
      <tp t="s">
        <v>2026/02/28</v>
        <stp/>
        <stp>Market</stp>
        <stp>INDEX</stp>
        <stp>SIXB</stp>
        <stp>現在日付</stp>
        <tr r="C27" s="1"/>
      </tp>
      <tp t="s">
        <v>2026/02/28</v>
        <stp/>
        <stp>Market</stp>
        <stp>INDEX</stp>
        <stp>SIXC</stp>
        <stp>現在日付</stp>
        <tr r="C33" s="1"/>
      </tp>
    </main>
    <main first="rtdsrv.dff54f4b11dd4e0d9cb19000fb943d8c">
      <tp t="s">
        <v>NASDAQバイオテクノロジー株指数</v>
        <stp/>
        <stp>Market</stp>
        <stp>INDEX</stp>
        <stp>NBI</stp>
        <stp>指標名称</stp>
        <tr r="B47" s="1"/>
      </tp>
      <tp t="s">
        <v/>
        <stp/>
        <stp>Market</stp>
        <stp>INDEX</stp>
        <stp>AUD/USD</stp>
        <stp>前年終値</stp>
        <tr r="U199" s="1"/>
      </tp>
      <tp t="s">
        <v/>
        <stp/>
        <stp>Market</stp>
        <stp>INDEX</stp>
        <stp>EUR/USD</stp>
        <stp>前年終値</stp>
        <tr r="U197" s="1"/>
      </tp>
      <tp t="s">
        <v>2026/02/28</v>
        <stp/>
        <stp>Market</stp>
        <stp>INDEX</stp>
        <stp>NBI</stp>
        <stp>現在日付</stp>
        <tr r="C47" s="1"/>
      </tp>
    </main>
    <main first="rtdsrv.dff54f4b11dd4e0d9cb19000fb943d8c">
      <tp t="s">
        <v>↓</v>
        <stp/>
        <stp>Market</stp>
        <stp>INDEX</stp>
        <stp>IXF</stp>
        <stp>現在値ティック</stp>
        <tr r="F46" s="1"/>
      </tp>
    </main>
    <main first="rtdsrv.dff54f4b11dd4e0d9cb19000fb943d8c">
      <tp>
        <v>1206.2289000000001</v>
        <stp/>
        <stp>Market</stp>
        <stp>INDEX</stp>
        <stp>CPQ</stp>
        <stp>始値</stp>
        <tr r="K60" s="1"/>
      </tp>
      <tp t="s">
        <v>↑</v>
        <stp/>
        <stp>Market</stp>
        <stp>INDEX</stp>
        <stp>N500</stp>
        <stp>現在値ティック</stp>
        <tr r="F9" s="1"/>
      </tp>
      <tp>
        <v>7082.07</v>
        <stp/>
        <stp>Market</stp>
        <stp>INDEX</stp>
        <stp>IXF</stp>
        <stp>始値</stp>
        <tr r="K46" s="1"/>
      </tp>
      <tp>
        <v>715</v>
        <stp/>
        <stp>Market</stp>
        <stp>INDEX</stp>
        <stp>HGX</stp>
        <stp>始値</stp>
        <tr r="K52" s="1"/>
      </tp>
      <tp>
        <v>26447.05</v>
        <stp/>
        <stp>Market</stp>
        <stp>INDEX</stp>
        <stp>HSI</stp>
        <stp>始値</stp>
        <tr r="K65" s="1"/>
      </tp>
      <tp>
        <v>7356.06</v>
        <stp/>
        <stp>Market</stp>
        <stp>INDEX</stp>
        <stp>HXC</stp>
        <stp>始値</stp>
        <tr r="K55" s="1"/>
      </tp>
      <tp>
        <v>96.73</v>
        <stp/>
        <stp>Market</stp>
        <stp>INDEX</stp>
        <stp>OSX</stp>
        <stp>始値</stp>
        <tr r="K53" s="1"/>
      </tp>
      <tp>
        <v>5958.66</v>
        <stp/>
        <stp>Market</stp>
        <stp>INDEX</stp>
        <stp>NBI</stp>
        <stp>始値</stp>
        <tr r="K47" s="1"/>
      </tp>
      <tp>
        <v>1533.76</v>
        <stp/>
        <stp>Market</stp>
        <stp>INDEX</stp>
        <stp>NGX</stp>
        <stp>始値</stp>
        <tr r="K63" s="1"/>
      </tp>
      <tp>
        <v>31.31</v>
        <stp/>
        <stp>Market</stp>
        <stp>INDEX</stp>
        <stp>NVI</stp>
        <stp>始値</stp>
        <tr r="K14" s="1"/>
      </tp>
      <tp>
        <v>8036.8379999999997</v>
        <stp/>
        <stp>Market</stp>
        <stp>INDEX</stp>
        <stp>SOX</stp>
        <stp>始値</stp>
        <tr r="K51" s="1"/>
      </tp>
      <tp>
        <v>0</v>
        <stp/>
        <stp>Market</stp>
        <stp>INDEX</stp>
        <stp>PALLADIUM.FUT06.OS</stp>
        <stp>前日比</stp>
        <tr r="G140" s="1"/>
      </tp>
      <tp>
        <v>0</v>
        <stp/>
        <stp>Market</stp>
        <stp>INDEX</stp>
        <stp>PALLADIUM.FUT05.OS</stp>
        <stp>前日比</stp>
        <tr r="G139" s="1"/>
      </tp>
      <tp>
        <v>0</v>
        <stp/>
        <stp>Market</stp>
        <stp>INDEX</stp>
        <stp>PALLADIUM.FUT04.OS</stp>
        <stp>前日比</stp>
        <tr r="G138" s="1"/>
      </tp>
      <tp>
        <v>0</v>
        <stp/>
        <stp>Market</stp>
        <stp>INDEX</stp>
        <stp>PALLADIUM.FUT03.OS</stp>
        <stp>前日比</stp>
        <tr r="G137" s="1"/>
      </tp>
      <tp>
        <v>0</v>
        <stp/>
        <stp>Market</stp>
        <stp>INDEX</stp>
        <stp>PALLADIUM.FUT02.OS</stp>
        <stp>前日比</stp>
        <tr r="G136" s="1"/>
      </tp>
      <tp>
        <v>0</v>
        <stp/>
        <stp>Market</stp>
        <stp>INDEX</stp>
        <stp>PALLADIUM.FUT01.OS</stp>
        <stp>前日比</stp>
        <tr r="G135" s="1"/>
      </tp>
      <tp>
        <v>1171.8800000000001</v>
        <stp/>
        <stp>Market</stp>
        <stp>INDEX</stp>
        <stp>UTY</stp>
        <stp>始値</stp>
        <tr r="K54" s="1"/>
      </tp>
      <tp>
        <v>19.28</v>
        <stp/>
        <stp>Market</stp>
        <stp>INDEX</stp>
        <stp>VIX</stp>
        <stp>始値</stp>
        <tr r="K25" s="1"/>
      </tp>
      <tp>
        <v>464.97</v>
        <stp/>
        <stp>Market</stp>
        <stp>INDEX</stp>
        <stp>XAU</stp>
        <stp>始値</stp>
        <tr r="K50" s="1"/>
      </tp>
    </main>
    <main first="rtdsrv.dff54f4b11dd4e0d9cb19000fb943d8c">
      <tp t="s">
        <v/>
        <stp/>
        <stp>Market</stp>
        <stp>INDEX</stp>
        <stp>GOLD.FUT05.OS</stp>
        <stp>前年終値</stp>
        <tr r="U107" s="1"/>
      </tp>
      <tp t="s">
        <v/>
        <stp/>
        <stp>Market</stp>
        <stp>INDEX</stp>
        <stp>GOLD.FUT04.OS</stp>
        <stp>前年終値</stp>
        <tr r="U106" s="1"/>
      </tp>
      <tp t="s">
        <v/>
        <stp/>
        <stp>Market</stp>
        <stp>INDEX</stp>
        <stp>GOLD.FUT06.OS</stp>
        <stp>前年終値</stp>
        <tr r="U108" s="1"/>
      </tp>
      <tp t="s">
        <v/>
        <stp/>
        <stp>Market</stp>
        <stp>INDEX</stp>
        <stp>GOLD.FUT01.OS</stp>
        <stp>前年終値</stp>
        <tr r="U103" s="1"/>
      </tp>
      <tp t="s">
        <v/>
        <stp/>
        <stp>Market</stp>
        <stp>INDEX</stp>
        <stp>GOLD.FUT03.OS</stp>
        <stp>前年終値</stp>
        <tr r="U105" s="1"/>
      </tp>
      <tp t="s">
        <v/>
        <stp/>
        <stp>Market</stp>
        <stp>INDEX</stp>
        <stp>GOLD.FUT02.OS</stp>
        <stp>前年終値</stp>
        <tr r="U104" s="1"/>
      </tp>
    </main>
    <main first="rtdsrv.dff54f4b11dd4e0d9cb19000fb943d8c">
      <tp t="s">
        <v>PHLXゴールド/シルバー・セクター指数</v>
        <stp/>
        <stp>Market</stp>
        <stp>INDEX</stp>
        <stp>XAU</stp>
        <stp>指標名称</stp>
        <tr r="B50" s="1"/>
      </tp>
      <tp t="s">
        <v/>
        <stp/>
        <stp>Market</stp>
        <stp>INDEX</stp>
        <stp>EUR/JPY</stp>
        <stp>前年終値</stp>
        <tr r="U188" s="1"/>
      </tp>
      <tp t="s">
        <v/>
        <stp/>
        <stp>Market</stp>
        <stp>INDEX</stp>
        <stp>AUD/JPY</stp>
        <stp>前年終値</stp>
        <tr r="U190" s="1"/>
      </tp>
    </main>
    <main first="rtdsrv.dff54f4b11dd4e0d9cb19000fb943d8c">
      <tp t="s">
        <v>2026/02/28</v>
        <stp/>
        <stp>Market</stp>
        <stp>INDEX</stp>
        <stp>XAU</stp>
        <stp>現在日付</stp>
        <tr r="C50" s="1"/>
      </tp>
    </main>
    <main first="rtdsrv.dff54f4b11dd4e0d9cb19000fb943d8c">
      <tp>
        <v>7.61</v>
        <stp/>
        <stp>Market</stp>
        <stp>INDEX</stp>
        <stp>XAU</stp>
        <stp>前日比</stp>
        <tr r="G50" s="1"/>
      </tp>
    </main>
    <main first="rtdsrv.dff54f4b11dd4e0d9cb19000fb943d8c">
      <tp t="s">
        <v>-</v>
        <stp/>
        <stp>Market</stp>
        <stp>INDEX</stp>
        <stp>SOX</stp>
        <stp>始値時刻</stp>
        <tr r="N51" s="1"/>
      </tp>
      <tp t="s">
        <v>-</v>
        <stp/>
        <stp>Market</stp>
        <stp>INDEX</stp>
        <stp>SOX</stp>
        <stp>安値時刻</stp>
        <tr r="P51" s="1"/>
      </tp>
      <tp t="s">
        <v>-</v>
        <stp/>
        <stp>Market</stp>
        <stp>INDEX</stp>
        <stp>SOX</stp>
        <stp>高値時刻</stp>
        <tr r="O51" s="1"/>
      </tp>
    </main>
    <main first="rtdsrv.dff54f4b11dd4e0d9cb19000fb943d8c">
      <tp t="s">
        <v>-</v>
        <stp/>
        <stp>Market</stp>
        <stp>INDEX</stp>
        <stp>IXTC</stp>
        <stp>始値時刻</stp>
        <tr r="N44" s="1"/>
      </tp>
      <tp t="s">
        <v>-</v>
        <stp/>
        <stp>Market</stp>
        <stp>INDEX</stp>
        <stp>IXTC</stp>
        <stp>安値時刻</stp>
        <tr r="P44" s="1"/>
      </tp>
      <tp t="s">
        <v>-</v>
        <stp/>
        <stp>Market</stp>
        <stp>INDEX</stp>
        <stp>IXTC</stp>
        <stp>高値時刻</stp>
        <tr r="O44" s="1"/>
      </tp>
    </main>
    <main first="rtdsrv.dff54f4b11dd4e0d9cb19000fb943d8c">
      <tp>
        <v>1194.9753000000001</v>
        <stp/>
        <stp>Market</stp>
        <stp>INDEX</stp>
        <stp>CPQ</stp>
        <stp>安値</stp>
        <tr r="M60" s="1"/>
      </tp>
      <tp>
        <v>6926.83</v>
        <stp/>
        <stp>Market</stp>
        <stp>INDEX</stp>
        <stp>IXF</stp>
        <stp>安値</stp>
        <tr r="M46" s="1"/>
      </tp>
      <tp>
        <v>713.08</v>
        <stp/>
        <stp>Market</stp>
        <stp>INDEX</stp>
        <stp>HGX</stp>
        <stp>安値</stp>
        <tr r="M52" s="1"/>
      </tp>
      <tp>
        <v>26375.7</v>
        <stp/>
        <stp>Market</stp>
        <stp>INDEX</stp>
        <stp>HSI</stp>
        <stp>安値</stp>
        <tr r="M65" s="1"/>
      </tp>
      <tp>
        <v>7255.61</v>
        <stp/>
        <stp>Market</stp>
        <stp>INDEX</stp>
        <stp>HXC</stp>
        <stp>安値</stp>
        <tr r="M55" s="1"/>
      </tp>
      <tp>
        <v>95.84</v>
        <stp/>
        <stp>Market</stp>
        <stp>INDEX</stp>
        <stp>OSX</stp>
        <stp>安値</stp>
        <tr r="M53" s="1"/>
      </tp>
      <tp>
        <v>5958.66</v>
        <stp/>
        <stp>Market</stp>
        <stp>INDEX</stp>
        <stp>NBI</stp>
        <stp>安値</stp>
        <tr r="M47" s="1"/>
      </tp>
      <tp>
        <v>1528.87</v>
        <stp/>
        <stp>Market</stp>
        <stp>INDEX</stp>
        <stp>NGX</stp>
        <stp>安値</stp>
        <tr r="M63" s="1"/>
      </tp>
      <tp>
        <v>27.33</v>
        <stp/>
        <stp>Market</stp>
        <stp>INDEX</stp>
        <stp>NVI</stp>
        <stp>安値</stp>
        <tr r="M14" s="1"/>
      </tp>
      <tp>
        <v>8009.2520000000004</v>
        <stp/>
        <stp>Market</stp>
        <stp>INDEX</stp>
        <stp>SOX</stp>
        <stp>安値</stp>
        <tr r="M51" s="1"/>
      </tp>
      <tp>
        <v>18.77</v>
        <stp/>
        <stp>Market</stp>
        <stp>INDEX</stp>
        <stp>VIX</stp>
        <stp>安値</stp>
        <tr r="M25" s="1"/>
      </tp>
      <tp>
        <v>1171.45</v>
        <stp/>
        <stp>Market</stp>
        <stp>INDEX</stp>
        <stp>UTY</stp>
        <stp>安値</stp>
        <tr r="M54" s="1"/>
      </tp>
      <tp>
        <v>463.53</v>
        <stp/>
        <stp>Market</stp>
        <stp>INDEX</stp>
        <stp>XAU</stp>
        <stp>安値</stp>
        <tr r="M50" s="1"/>
      </tp>
    </main>
    <main first="rtdsrv.dff54f4b11dd4e0d9cb19000fb943d8c">
      <tp t="s">
        <v>2021/02/16</v>
        <stp/>
        <stp>Market</stp>
        <stp>INDEX</stp>
        <stp>NQROBO</stp>
        <stp>上場来高値日付</stp>
        <tr r="Z61" s="1"/>
      </tp>
      <tp t="s">
        <v>2020/03/19</v>
        <stp/>
        <stp>Market</stp>
        <stp>INDEX</stp>
        <stp>NQROBO</stp>
        <stp>上場来安値日付</stp>
        <tr r="AA61" s="1"/>
      </tp>
    </main>
    <main first="rtdsrv.dff54f4b11dd4e0d9cb19000fb943d8c">
      <tp t="s">
        <v>NASDAQネクスト・ジェネレーション100指数</v>
        <stp/>
        <stp>Market</stp>
        <stp>INDEX</stp>
        <stp>NGX</stp>
        <stp>指標名称</stp>
        <tr r="B63" s="1"/>
      </tp>
      <tp t="s">
        <v>PHLXハウジング・セクター指数</v>
        <stp/>
        <stp>Market</stp>
        <stp>INDEX</stp>
        <stp>HGX</stp>
        <stp>指標名称</stp>
        <tr r="B52" s="1"/>
      </tp>
      <tp>
        <v>0</v>
        <stp/>
        <stp>Market</stp>
        <stp>INDEX</stp>
        <stp>JGB:FDI</stp>
        <stp>前年終値</stp>
        <tr r="U19" s="1"/>
      </tp>
      <tp t="s">
        <v>09:00</v>
        <stp/>
        <stp>Market</stp>
        <stp>INDEX</stp>
        <stp>TSSM</stp>
        <stp>始値時刻</stp>
        <tr r="N7" s="1"/>
      </tp>
      <tp t="s">
        <v>09:03</v>
        <stp/>
        <stp>Market</stp>
        <stp>INDEX</stp>
        <stp>TSSM</stp>
        <stp>安値時刻</stp>
        <tr r="P7" s="1"/>
      </tp>
      <tp t="s">
        <v>15:30</v>
        <stp/>
        <stp>Market</stp>
        <stp>INDEX</stp>
        <stp>TSSM</stp>
        <stp>高値時刻</stp>
        <tr r="O7" s="1"/>
      </tp>
      <tp t="s">
        <v/>
        <stp/>
        <stp>Market</stp>
        <stp>INDEX</stp>
        <stp>TSR20.FUT09.OS</stp>
        <stp>前年終値</stp>
        <tr r="U161" s="1"/>
      </tp>
      <tp t="s">
        <v/>
        <stp/>
        <stp>Market</stp>
        <stp>INDEX</stp>
        <stp>TSR20.FUT08.OS</stp>
        <stp>前年終値</stp>
        <tr r="U160" s="1"/>
      </tp>
      <tp t="s">
        <v/>
        <stp/>
        <stp>Market</stp>
        <stp>INDEX</stp>
        <stp>TSR20.FUT03.OS</stp>
        <stp>前年終値</stp>
        <tr r="U155" s="1"/>
      </tp>
      <tp t="s">
        <v/>
        <stp/>
        <stp>Market</stp>
        <stp>INDEX</stp>
        <stp>TSR20.FUT02.OS</stp>
        <stp>前年終値</stp>
        <tr r="U154" s="1"/>
      </tp>
      <tp t="s">
        <v/>
        <stp/>
        <stp>Market</stp>
        <stp>INDEX</stp>
        <stp>TSR20.FUT01.OS</stp>
        <stp>前年終値</stp>
        <tr r="U153" s="1"/>
      </tp>
      <tp t="s">
        <v/>
        <stp/>
        <stp>Market</stp>
        <stp>INDEX</stp>
        <stp>TSR20.FUT07.OS</stp>
        <stp>前年終値</stp>
        <tr r="U159" s="1"/>
      </tp>
      <tp t="s">
        <v/>
        <stp/>
        <stp>Market</stp>
        <stp>INDEX</stp>
        <stp>TSR20.FUT06.OS</stp>
        <stp>前年終値</stp>
        <tr r="U158" s="1"/>
      </tp>
      <tp t="s">
        <v/>
        <stp/>
        <stp>Market</stp>
        <stp>INDEX</stp>
        <stp>TSR20.FUT05.OS</stp>
        <stp>前年終値</stp>
        <tr r="U157" s="1"/>
      </tp>
      <tp t="s">
        <v/>
        <stp/>
        <stp>Market</stp>
        <stp>INDEX</stp>
        <stp>TSR20.FUT04.OS</stp>
        <stp>前年終値</stp>
        <tr r="U156" s="1"/>
      </tp>
      <tp t="s">
        <v/>
        <stp/>
        <stp>Market</stp>
        <stp>INDEX</stp>
        <stp>TSR20.FUT12.OS</stp>
        <stp>前年終値</stp>
        <tr r="U164" s="1"/>
      </tp>
      <tp t="s">
        <v/>
        <stp/>
        <stp>Market</stp>
        <stp>INDEX</stp>
        <stp>TSR20.FUT11.OS</stp>
        <stp>前年終値</stp>
        <tr r="U163" s="1"/>
      </tp>
      <tp t="s">
        <v/>
        <stp/>
        <stp>Market</stp>
        <stp>INDEX</stp>
        <stp>TSR20.FUT10.OS</stp>
        <stp>前年終値</stp>
        <tr r="U162" s="1"/>
      </tp>
      <tp t="s">
        <v/>
        <stp/>
        <stp>Market</stp>
        <stp>INDEX</stp>
        <stp>USD/JPY</stp>
        <stp>前年終値</stp>
        <tr r="U187" s="1"/>
      </tp>
      <tp t="s">
        <v>17:15</v>
        <stp/>
        <stp>Market</stp>
        <stp>INDEX</stp>
        <stp>GOLD.SPOT.OS</stp>
        <stp>始値時刻</stp>
        <tr r="N115" s="1"/>
      </tp>
      <tp t="s">
        <v>17:48</v>
        <stp/>
        <stp>Market</stp>
        <stp>INDEX</stp>
        <stp>GOLD.SPOT.OS</stp>
        <stp>安値時刻</stp>
        <tr r="P115" s="1"/>
      </tp>
      <tp t="s">
        <v>17:15</v>
        <stp/>
        <stp>Market</stp>
        <stp>INDEX</stp>
        <stp>GOLD.SPOT.OS</stp>
        <stp>高値時刻</stp>
        <tr r="O115" s="1"/>
      </tp>
      <tp t="s">
        <v>-</v>
        <stp/>
        <stp>Market</stp>
        <stp>INDEX</stp>
        <stp>INSR</stp>
        <stp>始値時刻</stp>
        <tr r="N41" s="1"/>
      </tp>
      <tp t="s">
        <v>-</v>
        <stp/>
        <stp>Market</stp>
        <stp>INDEX</stp>
        <stp>INSR</stp>
        <stp>安値時刻</stp>
        <tr r="P41" s="1"/>
      </tp>
      <tp t="s">
        <v>-</v>
        <stp/>
        <stp>Market</stp>
        <stp>INDEX</stp>
        <stp>INSR</stp>
        <stp>高値時刻</stp>
        <tr r="O41" s="1"/>
      </tp>
      <tp t="s">
        <v>2026/02/28</v>
        <stp/>
        <stp>Market</stp>
        <stp>INDEX</stp>
        <stp>HGX</stp>
        <stp>現在日付</stp>
        <tr r="C52" s="1"/>
      </tp>
      <tp t="s">
        <v>2026/02/28</v>
        <stp/>
        <stp>Market</stp>
        <stp>INDEX</stp>
        <stp>NGX</stp>
        <stp>現在日付</stp>
        <tr r="C63" s="1"/>
      </tp>
      <tp>
        <v>0</v>
        <stp/>
        <stp>Market</stp>
        <stp>INDEX</stp>
        <stp>TS1EX</stp>
        <stp>安値</stp>
        <tr r="M10" s="1"/>
      </tp>
    </main>
    <main first="rtdsrv.dff54f4b11dd4e0d9cb19000fb943d8c">
      <tp>
        <v>24808</v>
        <stp/>
        <stp>Market</stp>
        <stp>INDEX</stp>
        <stp>NQ100</stp>
        <stp>始値</stp>
        <tr r="K22" s="1"/>
      </tp>
    </main>
    <main first="rtdsrv.dff54f4b11dd4e0d9cb19000fb943d8c">
      <tp>
        <v>884.12</v>
        <stp/>
        <stp>Market</stp>
        <stp>INDEX</stp>
        <stp>TSGMC</stp>
        <stp>安値</stp>
        <tr r="M12" s="1"/>
      </tp>
      <tp>
        <v>4391.8900000000003</v>
        <stp/>
        <stp>Market</stp>
        <stp>INDEX</stp>
        <stp>HSCCI</stp>
        <stp>安値</stp>
        <tr r="M67" s="1"/>
      </tp>
      <tp>
        <v>8790.7199999999993</v>
        <stp/>
        <stp>Market</stp>
        <stp>INDEX</stp>
        <stp>HSCEI</stp>
        <stp>安値</stp>
        <tr r="M66" s="1"/>
      </tp>
      <tp>
        <v>1608.5</v>
        <stp/>
        <stp>Market</stp>
        <stp>INDEX</stp>
        <stp>TSM20</stp>
        <stp>安値</stp>
        <tr r="M11" s="1"/>
      </tp>
    </main>
    <main first="rtdsrv.dff54f4b11dd4e0d9cb19000fb943d8c">
      <tp>
        <v>14784.031000000001</v>
        <stp/>
        <stp>Market</stp>
        <stp>INDEX</stp>
        <stp>NQ</stp>
        <stp>前年最安値</stp>
        <tr r="T21" s="1"/>
      </tp>
      <tp t="s">
        <v/>
        <stp/>
        <stp>Market</stp>
        <stp>INDEX</stp>
        <stp>TOPX.FUT05.OS</stp>
        <stp>現在値ティック</stp>
        <tr r="F90" s="1"/>
      </tp>
      <tp t="s">
        <v/>
        <stp/>
        <stp>Market</stp>
        <stp>INDEX</stp>
        <stp>TOPX.FUT04.OS</stp>
        <stp>現在値ティック</stp>
        <tr r="F89" s="1"/>
      </tp>
      <tp t="s">
        <v>↑</v>
        <stp/>
        <stp>Market</stp>
        <stp>INDEX</stp>
        <stp>TOPX.FUT01.OS</stp>
        <stp>現在値ティック</stp>
        <tr r="F86" s="1"/>
      </tp>
      <tp t="s">
        <v/>
        <stp/>
        <stp>Market</stp>
        <stp>INDEX</stp>
        <stp>TOPX.FUT03.OS</stp>
        <stp>現在値ティック</stp>
        <tr r="F88" s="1"/>
      </tp>
      <tp t="s">
        <v>↑</v>
        <stp/>
        <stp>Market</stp>
        <stp>INDEX</stp>
        <stp>TOPX.FUT02.OS</stp>
        <stp>現在値ティック</stp>
        <tr r="F87" s="1"/>
      </tp>
    </main>
    <main first="rtdsrv.dff54f4b11dd4e0d9cb19000fb943d8c">
      <tp t="s">
        <v>-</v>
        <stp/>
        <stp>Market</stp>
        <stp>INDEX</stp>
        <stp>VIX</stp>
        <stp>始値時刻</stp>
        <tr r="N25" s="1"/>
      </tp>
      <tp t="s">
        <v>-</v>
        <stp/>
        <stp>Market</stp>
        <stp>INDEX</stp>
        <stp>VIX</stp>
        <stp>安値時刻</stp>
        <tr r="P25" s="1"/>
      </tp>
      <tp t="s">
        <v>-</v>
        <stp/>
        <stp>Market</stp>
        <stp>INDEX</stp>
        <stp>VIX</stp>
        <stp>高値時刻</stp>
        <tr r="O25" s="1"/>
      </tp>
    </main>
    <main first="rtdsrv.dff54f4b11dd4e0d9cb19000fb943d8c">
      <tp t="s">
        <v/>
        <stp/>
        <stp>Market</stp>
        <stp>INDEX</stp>
        <stp>TRY/JPY</stp>
        <stp>前年終値</stp>
        <tr r="U209" s="1"/>
      </tp>
    </main>
    <main first="rtdsrv.dff54f4b11dd4e0d9cb19000fb943d8c">
      <tp>
        <v>608.74</v>
        <stp/>
        <stp>Market</stp>
        <stp>INDEX</stp>
        <stp>SPESG</stp>
        <stp>始値</stp>
        <tr r="K38" s="1"/>
      </tp>
    </main>
    <main first="rtdsrv.dff54f4b11dd4e0d9cb19000fb943d8c">
      <tp>
        <v>6856.54</v>
        <stp/>
        <stp>Market</stp>
        <stp>INDEX</stp>
        <stp>SP500</stp>
        <stp>始値</stp>
        <tr r="K24" s="1"/>
      </tp>
    </main>
    <main first="rtdsrv.dff54f4b11dd4e0d9cb19000fb943d8c">
      <tp>
        <v>3337.88</v>
        <stp/>
        <stp>Market</stp>
        <stp>INDEX</stp>
        <stp>SP100</stp>
        <stp>始値</stp>
        <tr r="K23" s="1"/>
      </tp>
      <tp>
        <v>4692.8909999999996</v>
        <stp/>
        <stp>Market</stp>
        <stp>INDEX</stp>
        <stp>CSI300</stp>
        <stp>安値</stp>
        <tr r="M71" s="1"/>
      </tp>
      <tp>
        <v>1999.33</v>
        <stp/>
        <stp>Market</stp>
        <stp>INDEX</stp>
        <stp>TREIT</stp>
        <stp>安値</stp>
        <tr r="M15" s="1"/>
      </tp>
    </main>
    <main first="rtdsrv.dff54f4b11dd4e0d9cb19000fb943d8c">
      <tp t="s">
        <v/>
        <stp/>
        <stp>Market</stp>
        <stp>INDEX</stp>
        <stp>TCWSI</stp>
        <stp>前年終値</stp>
        <tr r="U101" s="1"/>
      </tp>
      <tp>
        <v>3669.9095000000002</v>
        <stp/>
        <stp>Market</stp>
        <stp>INDEX</stp>
        <stp>SHKSC</stp>
        <stp>前年終値</stp>
        <tr r="U70" s="1"/>
      </tp>
      <tp>
        <v>605.48</v>
        <stp/>
        <stp>Market</stp>
        <stp>INDEX</stp>
        <stp>SPESG</stp>
        <stp>前年終値</stp>
        <tr r="U38" s="1"/>
      </tp>
    </main>
    <main first="rtdsrv.dff54f4b11dd4e0d9cb19000fb943d8c">
      <tp>
        <v>24747.252</v>
        <stp/>
        <stp>Market</stp>
        <stp>INDEX</stp>
        <stp>NQ100</stp>
        <stp>安値</stp>
        <tr r="M22" s="1"/>
      </tp>
      <tp>
        <v>884.12</v>
        <stp/>
        <stp>Market</stp>
        <stp>INDEX</stp>
        <stp>TSGMC</stp>
        <stp>始値</stp>
        <tr r="K12" s="1"/>
      </tp>
      <tp>
        <v>4409.07</v>
        <stp/>
        <stp>Market</stp>
        <stp>INDEX</stp>
        <stp>HSCCI</stp>
        <stp>始値</stp>
        <tr r="K67" s="1"/>
      </tp>
      <tp>
        <v>8817.5300000000007</v>
        <stp/>
        <stp>Market</stp>
        <stp>INDEX</stp>
        <stp>HSCEI</stp>
        <stp>始値</stp>
        <tr r="K66" s="1"/>
      </tp>
      <tp t="s">
        <v>↑</v>
        <stp/>
        <stp>Market</stp>
        <stp>INDEX</stp>
        <stp>GOLD.SPOT.OS</stp>
        <stp>現在値ティック</stp>
        <tr r="F115" s="1"/>
      </tp>
      <tp t="s">
        <v>↓</v>
        <stp/>
        <stp>Market</stp>
        <stp>INDEX</stp>
        <stp>NGX</stp>
        <stp>現在値ティック</stp>
        <tr r="F63" s="1"/>
      </tp>
      <tp>
        <v>1612.77</v>
        <stp/>
        <stp>Market</stp>
        <stp>INDEX</stp>
        <stp>TSM20</stp>
        <stp>始値</stp>
        <tr r="K11" s="1"/>
      </tp>
      <tp t="s">
        <v>↑</v>
        <stp/>
        <stp>Market</stp>
        <stp>INDEX</stp>
        <stp>NBI</stp>
        <stp>現在値ティック</stp>
        <tr r="F47" s="1"/>
      </tp>
    </main>
    <main first="rtdsrv.dff54f4b11dd4e0d9cb19000fb943d8c">
      <tp t="s">
        <v>↓</v>
        <stp/>
        <stp>Market</stp>
        <stp>INDEX</stp>
        <stp>NVI</stp>
        <stp>現在値ティック</stp>
        <tr r="F14" s="1"/>
      </tp>
      <tp t="s">
        <v>↑</v>
        <stp/>
        <stp>Market</stp>
        <stp>INDEX</stp>
        <stp>N225</stp>
        <stp>現在値ティック</stp>
        <tr r="F2" s="1"/>
      </tp>
      <tp>
        <v>0</v>
        <stp/>
        <stp>Market</stp>
        <stp>INDEX</stp>
        <stp>TS1EX</stp>
        <stp>始値</stp>
        <tr r="K10" s="1"/>
      </tp>
      <tp t="s">
        <v/>
        <stp/>
        <stp>Market</stp>
        <stp>INDEX</stp>
        <stp>CORN.FUT05.OS</stp>
        <stp>現在値ティック</stp>
        <tr r="F181" s="1"/>
      </tp>
      <tp t="s">
        <v/>
        <stp/>
        <stp>Market</stp>
        <stp>INDEX</stp>
        <stp>CORN.FUT04.OS</stp>
        <stp>現在値ティック</stp>
        <tr r="F180" s="1"/>
      </tp>
      <tp t="s">
        <v/>
        <stp/>
        <stp>Market</stp>
        <stp>INDEX</stp>
        <stp>CORN.FUT06.OS</stp>
        <stp>現在値ティック</stp>
        <tr r="F182" s="1"/>
      </tp>
      <tp t="s">
        <v/>
        <stp/>
        <stp>Market</stp>
        <stp>INDEX</stp>
        <stp>CORN.FUT01.OS</stp>
        <stp>現在値ティック</stp>
        <tr r="F177" s="1"/>
      </tp>
      <tp t="s">
        <v/>
        <stp/>
        <stp>Market</stp>
        <stp>INDEX</stp>
        <stp>CORN.FUT03.OS</stp>
        <stp>現在値ティック</stp>
        <tr r="F179" s="1"/>
      </tp>
      <tp t="s">
        <v/>
        <stp/>
        <stp>Market</stp>
        <stp>INDEX</stp>
        <stp>CORN.FUT02.OS</stp>
        <stp>現在値ティック</stp>
        <tr r="F178" s="1"/>
      </tp>
      <tp>
        <v>198.65</v>
        <stp/>
        <stp>Market</stp>
        <stp>INDEX</stp>
        <stp>SIXRE</stp>
        <stp>前年終値</stp>
        <tr r="U30" s="1"/>
      </tp>
    </main>
    <main first="rtdsrv.dff54f4b11dd4e0d9cb19000fb943d8c">
      <tp t="s">
        <v/>
        <stp/>
        <stp>Market</stp>
        <stp>INDEX</stp>
        <stp>PLATINUM.FUT05.OS</stp>
        <stp>指標名称</stp>
        <tr r="B120" s="1"/>
      </tp>
      <tp t="s">
        <v/>
        <stp/>
        <stp>Market</stp>
        <stp>INDEX</stp>
        <stp>PLATINUM.FUT04.OS</stp>
        <stp>指標名称</stp>
        <tr r="B119" s="1"/>
      </tp>
      <tp t="s">
        <v/>
        <stp/>
        <stp>Market</stp>
        <stp>INDEX</stp>
        <stp>PLATINUM.FUT06.OS</stp>
        <stp>指標名称</stp>
        <tr r="B121" s="1"/>
      </tp>
      <tp t="s">
        <v/>
        <stp/>
        <stp>Market</stp>
        <stp>INDEX</stp>
        <stp>PLATINUM.FUT01.OS</stp>
        <stp>指標名称</stp>
        <tr r="B116" s="1"/>
      </tp>
      <tp t="s">
        <v/>
        <stp/>
        <stp>Market</stp>
        <stp>INDEX</stp>
        <stp>PLATINUM.FUT03.OS</stp>
        <stp>指標名称</stp>
        <tr r="B118" s="1"/>
      </tp>
      <tp t="s">
        <v/>
        <stp/>
        <stp>Market</stp>
        <stp>INDEX</stp>
        <stp>PLATINUM.FUT02.OS</stp>
        <stp>指標名称</stp>
        <tr r="B117" s="1"/>
      </tp>
      <tp t="s">
        <v>09:00</v>
        <stp/>
        <stp>Market</stp>
        <stp>INDEX</stp>
        <stp>TSPM</stp>
        <stp>始値時刻</stp>
        <tr r="N6" s="1"/>
      </tp>
      <tp t="s">
        <v>09:00</v>
        <stp/>
        <stp>Market</stp>
        <stp>INDEX</stp>
        <stp>TSPM</stp>
        <stp>安値時刻</stp>
        <tr r="P6" s="1"/>
      </tp>
      <tp t="s">
        <v>15:30</v>
        <stp/>
        <stp>Market</stp>
        <stp>INDEX</stp>
        <stp>TSPM</stp>
        <stp>高値時刻</stp>
        <tr r="O6" s="1"/>
      </tp>
      <tp t="s">
        <v/>
        <stp/>
        <stp>Market</stp>
        <stp>INDEX</stp>
        <stp>SILVER.FUT04.OS</stp>
        <stp>前年終値</stp>
        <tr r="U132" s="1"/>
      </tp>
      <tp t="s">
        <v/>
        <stp/>
        <stp>Market</stp>
        <stp>INDEX</stp>
        <stp>SILVER.FUT05.OS</stp>
        <stp>前年終値</stp>
        <tr r="U133" s="1"/>
      </tp>
      <tp t="s">
        <v/>
        <stp/>
        <stp>Market</stp>
        <stp>INDEX</stp>
        <stp>SILVER.FUT06.OS</stp>
        <stp>前年終値</stp>
        <tr r="U134" s="1"/>
      </tp>
      <tp t="s">
        <v/>
        <stp/>
        <stp>Market</stp>
        <stp>INDEX</stp>
        <stp>SILVER.FUT01.OS</stp>
        <stp>前年終値</stp>
        <tr r="U129" s="1"/>
      </tp>
      <tp t="s">
        <v/>
        <stp/>
        <stp>Market</stp>
        <stp>INDEX</stp>
        <stp>SILVER.FUT02.OS</stp>
        <stp>前年終値</stp>
        <tr r="U130" s="1"/>
      </tp>
      <tp t="s">
        <v/>
        <stp/>
        <stp>Market</stp>
        <stp>INDEX</stp>
        <stp>SILVER.FUT03.OS</stp>
        <stp>前年終値</stp>
        <tr r="U131" s="1"/>
      </tp>
      <tp t="s">
        <v/>
        <stp/>
        <stp>Market</stp>
        <stp>INDEX</stp>
        <stp>EUR/AUD</stp>
        <stp>前年終値</stp>
        <tr r="U213" s="1"/>
      </tp>
      <tp t="s">
        <v>09:00</v>
        <stp/>
        <stp>Market</stp>
        <stp>INDEX</stp>
        <stp>TOPX</stp>
        <stp>始値時刻</stp>
        <tr r="N4" s="1"/>
      </tp>
      <tp t="s">
        <v>09:00</v>
        <stp/>
        <stp>Market</stp>
        <stp>INDEX</stp>
        <stp>TOPX</stp>
        <stp>安値時刻</stp>
        <tr r="P4" s="1"/>
      </tp>
      <tp t="s">
        <v>15:30</v>
        <stp/>
        <stp>Market</stp>
        <stp>INDEX</stp>
        <stp>TOPX</stp>
        <stp>高値時刻</stp>
        <tr r="O4" s="1"/>
      </tp>
      <tp>
        <v>6831.74</v>
        <stp/>
        <stp>Market</stp>
        <stp>INDEX</stp>
        <stp>SP500</stp>
        <stp>安値</stp>
        <tr r="M24" s="1"/>
      </tp>
      <tp>
        <v>3326.35</v>
        <stp/>
        <stp>Market</stp>
        <stp>INDEX</stp>
        <stp>SP100</stp>
        <stp>安値</stp>
        <tr r="M23" s="1"/>
      </tp>
      <tp>
        <v>4698.3</v>
        <stp/>
        <stp>Market</stp>
        <stp>INDEX</stp>
        <stp>CSI300</stp>
        <stp>始値</stp>
        <tr r="K71" s="1"/>
      </tp>
      <tp t="s">
        <v/>
        <stp/>
        <stp>Market</stp>
        <stp>INDEX</stp>
        <stp>RSS3.FUT01.OS</stp>
        <stp>現在値ティック</stp>
        <tr r="F141" s="1"/>
      </tp>
      <tp t="s">
        <v/>
        <stp/>
        <stp>Market</stp>
        <stp>INDEX</stp>
        <stp>RSS3.FUT03.OS</stp>
        <stp>現在値ティック</stp>
        <tr r="F143" s="1"/>
      </tp>
      <tp t="s">
        <v/>
        <stp/>
        <stp>Market</stp>
        <stp>INDEX</stp>
        <stp>RSS3.FUT02.OS</stp>
        <stp>現在値ティック</stp>
        <tr r="F142" s="1"/>
      </tp>
      <tp t="s">
        <v>↓</v>
        <stp/>
        <stp>Market</stp>
        <stp>INDEX</stp>
        <stp>RSS3.FUT05.OS</stp>
        <stp>現在値ティック</stp>
        <tr r="F145" s="1"/>
      </tp>
      <tp t="s">
        <v>↓</v>
        <stp/>
        <stp>Market</stp>
        <stp>INDEX</stp>
        <stp>RSS3.FUT04.OS</stp>
        <stp>現在値ティック</stp>
        <tr r="F144" s="1"/>
      </tp>
      <tp t="s">
        <v/>
        <stp/>
        <stp>Market</stp>
        <stp>INDEX</stp>
        <stp>RSS3.FUT07.OS</stp>
        <stp>現在値ティック</stp>
        <tr r="F147" s="1"/>
      </tp>
      <tp t="s">
        <v>↓</v>
        <stp/>
        <stp>Market</stp>
        <stp>INDEX</stp>
        <stp>RSS3.FUT06.OS</stp>
        <stp>現在値ティック</stp>
        <tr r="F146" s="1"/>
      </tp>
      <tp t="s">
        <v/>
        <stp/>
        <stp>Market</stp>
        <stp>INDEX</stp>
        <stp>RSS3.FUT09.OS</stp>
        <stp>現在値ティック</stp>
        <tr r="F149" s="1"/>
      </tp>
      <tp t="s">
        <v/>
        <stp/>
        <stp>Market</stp>
        <stp>INDEX</stp>
        <stp>RSS3.FUT08.OS</stp>
        <stp>現在値ティック</stp>
        <tr r="F148" s="1"/>
      </tp>
      <tp t="s">
        <v/>
        <stp/>
        <stp>Market</stp>
        <stp>INDEX</stp>
        <stp>RSS3.FUT11.OS</stp>
        <stp>現在値ティック</stp>
        <tr r="F151" s="1"/>
      </tp>
      <tp t="s">
        <v/>
        <stp/>
        <stp>Market</stp>
        <stp>INDEX</stp>
        <stp>RSS3.FUT10.OS</stp>
        <stp>現在値ティック</stp>
        <tr r="F150" s="1"/>
      </tp>
      <tp t="s">
        <v/>
        <stp/>
        <stp>Market</stp>
        <stp>INDEX</stp>
        <stp>RSS3.FUT12.OS</stp>
        <stp>現在値ティック</stp>
        <tr r="F152" s="1"/>
      </tp>
      <tp>
        <v>2029.13</v>
        <stp/>
        <stp>Market</stp>
        <stp>INDEX</stp>
        <stp>TREIT</stp>
        <stp>始値</stp>
        <tr r="K15" s="1"/>
      </tp>
      <tp>
        <v>0</v>
        <stp/>
        <stp>Market</stp>
        <stp>INDEX</stp>
        <stp>NVI</stp>
        <stp>前年最安値</stp>
        <tr r="T14" s="1"/>
      </tp>
      <tp>
        <v>3568.35</v>
        <stp/>
        <stp>Market</stp>
        <stp>INDEX</stp>
        <stp>NBI</stp>
        <stp>前年最安値</stp>
        <tr r="T47" s="1"/>
      </tp>
      <tp>
        <v>18671.490000000002</v>
        <stp/>
        <stp>Market</stp>
        <stp>INDEX</stp>
        <stp>HSI</stp>
        <stp>前年最安値</stp>
        <tr r="T65" s="1"/>
      </tp>
      <tp t="s">
        <v>↑</v>
        <stp/>
        <stp>Market</stp>
        <stp>INDEX</stp>
        <stp>OSX</stp>
        <stp>現在値ティック</stp>
        <tr r="F53" s="1"/>
      </tp>
    </main>
    <main first="rtdsrv.dff54f4b11dd4e0d9cb19000fb943d8c">
      <tp t="s">
        <v>↑</v>
        <stp/>
        <stp>Market</stp>
        <stp>INDEX</stp>
        <stp>N300</stp>
        <stp>現在値ティック</stp>
        <tr r="F3" s="1"/>
      </tp>
    </main>
    <main first="rtdsrv.dff54f4b11dd4e0d9cb19000fb943d8c">
      <tp>
        <v>607.4</v>
        <stp/>
        <stp>Market</stp>
        <stp>INDEX</stp>
        <stp>SPESG</stp>
        <stp>安値</stp>
        <tr r="M38" s="1"/>
      </tp>
      <tp t="s">
        <v>2026/02/28</v>
        <stp/>
        <stp>Market</stp>
        <stp>INDEX</stp>
        <stp>PLATINUM.FUT05.OS</stp>
        <stp>現在日付</stp>
        <tr r="C120" s="1"/>
      </tp>
      <tp t="s">
        <v>2026/02/28</v>
        <stp/>
        <stp>Market</stp>
        <stp>INDEX</stp>
        <stp>PLATINUM.FUT04.OS</stp>
        <stp>現在日付</stp>
        <tr r="C119" s="1"/>
      </tp>
      <tp t="s">
        <v>2026/02/28</v>
        <stp/>
        <stp>Market</stp>
        <stp>INDEX</stp>
        <stp>PLATINUM.FUT06.OS</stp>
        <stp>現在日付</stp>
        <tr r="C121" s="1"/>
      </tp>
      <tp t="s">
        <v>2026/02/27</v>
        <stp/>
        <stp>Market</stp>
        <stp>INDEX</stp>
        <stp>PLATINUM.FUT01.OS</stp>
        <stp>現在日付</stp>
        <tr r="C116" s="1"/>
      </tp>
      <tp t="s">
        <v>2026/02/28</v>
        <stp/>
        <stp>Market</stp>
        <stp>INDEX</stp>
        <stp>PLATINUM.FUT03.OS</stp>
        <stp>現在日付</stp>
        <tr r="C118" s="1"/>
      </tp>
      <tp t="s">
        <v>2026/02/27</v>
        <stp/>
        <stp>Market</stp>
        <stp>INDEX</stp>
        <stp>PLATINUM.FUT02.OS</stp>
        <stp>現在日付</stp>
        <tr r="C117" s="1"/>
      </tp>
    </main>
    <main first="rtdsrv.dff54f4b11dd4e0d9cb19000fb943d8c">
      <tp>
        <v>785.35</v>
        <stp/>
        <stp>Market</stp>
        <stp>INDEX</stp>
        <stp>TSGMC</stp>
        <stp>前年終値</stp>
        <tr r="U12" s="1"/>
      </tp>
    </main>
    <main first="rtdsrv.dff54f4b11dd4e0d9cb19000fb943d8c">
      <tp t="s">
        <v>-</v>
        <stp/>
        <stp>Market</stp>
        <stp>INDEX</stp>
        <stp>UTY</stp>
        <stp>始値時刻</stp>
        <tr r="N54" s="1"/>
      </tp>
      <tp t="s">
        <v>-</v>
        <stp/>
        <stp>Market</stp>
        <stp>INDEX</stp>
        <stp>UTY</stp>
        <stp>安値時刻</stp>
        <tr r="P54" s="1"/>
      </tp>
      <tp t="s">
        <v>-</v>
        <stp/>
        <stp>Market</stp>
        <stp>INDEX</stp>
        <stp>UTY</stp>
        <stp>高値時刻</stp>
        <tr r="O54" s="1"/>
      </tp>
    </main>
    <main first="rtdsrv.dff54f4b11dd4e0d9cb19000fb943d8c">
      <tp t="s">
        <v xml:space="preserve">  :  </v>
        <stp/>
        <stp>Market</stp>
        <stp>INDEX</stp>
        <stp>MOT.FUT05.OS</stp>
        <stp>安値時刻</stp>
        <tr r="P95" s="1"/>
      </tp>
      <tp t="s">
        <v xml:space="preserve">  :  </v>
        <stp/>
        <stp>Market</stp>
        <stp>INDEX</stp>
        <stp>MOT.FUT04.OS</stp>
        <stp>安値時刻</stp>
        <tr r="P94" s="1"/>
      </tp>
      <tp t="s">
        <v xml:space="preserve">  :  </v>
        <stp/>
        <stp>Market</stp>
        <stp>INDEX</stp>
        <stp>MOT.FUT05.OS</stp>
        <stp>始値時刻</stp>
        <tr r="N95" s="1"/>
      </tp>
      <tp t="s">
        <v xml:space="preserve">  :  </v>
        <stp/>
        <stp>Market</stp>
        <stp>INDEX</stp>
        <stp>MOT.FUT04.OS</stp>
        <stp>始値時刻</stp>
        <tr r="N94" s="1"/>
      </tp>
      <tp t="s">
        <v>05:54</v>
        <stp/>
        <stp>Market</stp>
        <stp>INDEX</stp>
        <stp>MOT.FUT01.OS</stp>
        <stp>安値時刻</stp>
        <tr r="P91" s="1"/>
      </tp>
      <tp t="s">
        <v>20:18</v>
        <stp/>
        <stp>Market</stp>
        <stp>INDEX</stp>
        <stp>MOT.FUT03.OS</stp>
        <stp>始値時刻</stp>
        <tr r="N93" s="1"/>
      </tp>
      <tp t="s">
        <v>17:01</v>
        <stp/>
        <stp>Market</stp>
        <stp>INDEX</stp>
        <stp>MOT.FUT02.OS</stp>
        <stp>始値時刻</stp>
        <tr r="N92" s="1"/>
      </tp>
      <tp t="s">
        <v>23:15</v>
        <stp/>
        <stp>Market</stp>
        <stp>INDEX</stp>
        <stp>MOT.FUT03.OS</stp>
        <stp>安値時刻</stp>
        <tr r="P93" s="1"/>
      </tp>
      <tp t="s">
        <v>17:00</v>
        <stp/>
        <stp>Market</stp>
        <stp>INDEX</stp>
        <stp>MOT.FUT01.OS</stp>
        <stp>始値時刻</stp>
        <tr r="N91" s="1"/>
      </tp>
      <tp t="s">
        <v>05:41</v>
        <stp/>
        <stp>Market</stp>
        <stp>INDEX</stp>
        <stp>MOT.FUT02.OS</stp>
        <stp>安値時刻</stp>
        <tr r="P92" s="1"/>
      </tp>
      <tp t="s">
        <v xml:space="preserve">  :  </v>
        <stp/>
        <stp>Market</stp>
        <stp>INDEX</stp>
        <stp>MOT.FUT04.OS</stp>
        <stp>高値時刻</stp>
        <tr r="O94" s="1"/>
      </tp>
      <tp t="s">
        <v xml:space="preserve">  :  </v>
        <stp/>
        <stp>Market</stp>
        <stp>INDEX</stp>
        <stp>MOT.FUT05.OS</stp>
        <stp>高値時刻</stp>
        <tr r="O95" s="1"/>
      </tp>
      <tp t="s">
        <v>18:08</v>
        <stp/>
        <stp>Market</stp>
        <stp>INDEX</stp>
        <stp>MOT.FUT01.OS</stp>
        <stp>高値時刻</stp>
        <tr r="O91" s="1"/>
      </tp>
      <tp t="s">
        <v>18:27</v>
        <stp/>
        <stp>Market</stp>
        <stp>INDEX</stp>
        <stp>MOT.FUT02.OS</stp>
        <stp>高値時刻</stp>
        <tr r="O92" s="1"/>
      </tp>
      <tp t="s">
        <v>20:18</v>
        <stp/>
        <stp>Market</stp>
        <stp>INDEX</stp>
        <stp>MOT.FUT03.OS</stp>
        <stp>高値時刻</stp>
        <tr r="O93" s="1"/>
      </tp>
      <tp t="s">
        <v/>
        <stp/>
        <stp>Market</stp>
        <stp>INDEX</stp>
        <stp>NOK/JPY</stp>
        <stp>前年終値</stp>
        <tr r="U208" s="1"/>
      </tp>
      <tp t="s">
        <v/>
        <stp/>
        <stp>Market</stp>
        <stp>INDEX</stp>
        <stp>PLATINUM.FUT01.OS</stp>
        <stp>上場来安値</stp>
        <tr r="Y116" s="1"/>
      </tp>
      <tp t="s">
        <v/>
        <stp/>
        <stp>Market</stp>
        <stp>INDEX</stp>
        <stp>PLATINUM.FUT02.OS</stp>
        <stp>上場来安値</stp>
        <tr r="Y117" s="1"/>
      </tp>
      <tp t="s">
        <v/>
        <stp/>
        <stp>Market</stp>
        <stp>INDEX</stp>
        <stp>PLATINUM.FUT03.OS</stp>
        <stp>上場来安値</stp>
        <tr r="Y118" s="1"/>
      </tp>
      <tp t="s">
        <v/>
        <stp/>
        <stp>Market</stp>
        <stp>INDEX</stp>
        <stp>PLATINUM.FUT04.OS</stp>
        <stp>上場来安値</stp>
        <tr r="Y119" s="1"/>
      </tp>
      <tp t="s">
        <v/>
        <stp/>
        <stp>Market</stp>
        <stp>INDEX</stp>
        <stp>PLATINUM.FUT05.OS</stp>
        <stp>上場来安値</stp>
        <tr r="Y120" s="1"/>
      </tp>
      <tp t="s">
        <v/>
        <stp/>
        <stp>Market</stp>
        <stp>INDEX</stp>
        <stp>PLATINUM.FUT06.OS</stp>
        <stp>上場来安値</stp>
        <tr r="Y121" s="1"/>
      </tp>
      <tp t="s">
        <v/>
        <stp/>
        <stp>Market</stp>
        <stp>INDEX</stp>
        <stp>PLATINUM.FUT01.OS</stp>
        <stp>年初来安値</stp>
        <tr r="W116" s="1"/>
      </tp>
      <tp t="s">
        <v/>
        <stp/>
        <stp>Market</stp>
        <stp>INDEX</stp>
        <stp>PLATINUM.FUT02.OS</stp>
        <stp>年初来安値</stp>
        <tr r="W117" s="1"/>
      </tp>
      <tp t="s">
        <v/>
        <stp/>
        <stp>Market</stp>
        <stp>INDEX</stp>
        <stp>PLATINUM.FUT03.OS</stp>
        <stp>年初来安値</stp>
        <tr r="W118" s="1"/>
      </tp>
      <tp t="s">
        <v/>
        <stp/>
        <stp>Market</stp>
        <stp>INDEX</stp>
        <stp>PLATINUM.FUT04.OS</stp>
        <stp>年初来安値</stp>
        <tr r="W119" s="1"/>
      </tp>
      <tp t="s">
        <v/>
        <stp/>
        <stp>Market</stp>
        <stp>INDEX</stp>
        <stp>PLATINUM.FUT05.OS</stp>
        <stp>年初来安値</stp>
        <tr r="W120" s="1"/>
      </tp>
      <tp t="s">
        <v/>
        <stp/>
        <stp>Market</stp>
        <stp>INDEX</stp>
        <stp>PLATINUM.FUT06.OS</stp>
        <stp>年初来安値</stp>
        <tr r="W121" s="1"/>
      </tp>
    </main>
    <main first="rtdsrv.dff54f4b11dd4e0d9cb19000fb943d8c">
      <tp t="s">
        <v>↓</v>
        <stp/>
        <stp>Market</stp>
        <stp>INDEX</stp>
        <stp>GOLD.FUT05.OS</stp>
        <stp>現在値ティック</stp>
        <tr r="F107" s="1"/>
      </tp>
      <tp t="s">
        <v>↓</v>
        <stp/>
        <stp>Market</stp>
        <stp>INDEX</stp>
        <stp>GOLD.FUT04.OS</stp>
        <stp>現在値ティック</stp>
        <tr r="F106" s="1"/>
      </tp>
      <tp t="s">
        <v>↓</v>
        <stp/>
        <stp>Market</stp>
        <stp>INDEX</stp>
        <stp>GOLD.FUT06.OS</stp>
        <stp>現在値ティック</stp>
        <tr r="F108" s="1"/>
      </tp>
      <tp t="s">
        <v>↑</v>
        <stp/>
        <stp>Market</stp>
        <stp>INDEX</stp>
        <stp>GOLD.FUT01.OS</stp>
        <stp>現在値ティック</stp>
        <tr r="F103" s="1"/>
      </tp>
      <tp t="s">
        <v>↑</v>
        <stp/>
        <stp>Market</stp>
        <stp>INDEX</stp>
        <stp>GOLD.FUT03.OS</stp>
        <stp>現在値ティック</stp>
        <tr r="F105" s="1"/>
      </tp>
      <tp t="s">
        <v>↓</v>
        <stp/>
        <stp>Market</stp>
        <stp>INDEX</stp>
        <stp>GOLD.FUT02.OS</stp>
        <stp>現在値ティック</stp>
        <tr r="F104" s="1"/>
      </tp>
    </main>
    <main first="rtdsrv.dff54f4b11dd4e0d9cb19000fb943d8c">
      <tp t="s">
        <v>NASDAQ輸送株指数</v>
        <stp/>
        <stp>Market</stp>
        <stp>INDEX</stp>
        <stp>TRAN</stp>
        <stp>指標名称</stp>
        <tr r="B43" s="1"/>
      </tp>
    </main>
    <main first="rtdsrv.dff54f4b11dd4e0d9cb19000fb943d8c">
      <tp t="s">
        <v>-</v>
        <stp/>
        <stp>Market</stp>
        <stp>INDEX</stp>
        <stp>BANK</stp>
        <stp>安値時刻</stp>
        <tr r="P40" s="1"/>
      </tp>
      <tp t="s">
        <v>-</v>
        <stp/>
        <stp>Market</stp>
        <stp>INDEX</stp>
        <stp>BANK</stp>
        <stp>始値時刻</stp>
        <tr r="N40" s="1"/>
      </tp>
      <tp t="s">
        <v>-</v>
        <stp/>
        <stp>Market</stp>
        <stp>INDEX</stp>
        <stp>BANK</stp>
        <stp>高値時刻</stp>
        <tr r="O40" s="1"/>
      </tp>
      <tp t="s">
        <v/>
        <stp/>
        <stp>Market</stp>
        <stp>INDEX</stp>
        <stp>CNH/JPY</stp>
        <stp>前年終値</stp>
        <tr r="U210" s="1"/>
      </tp>
      <tp>
        <v>35124.239999999998</v>
        <stp/>
        <stp>Market</stp>
        <stp>INDEX</stp>
        <stp>JN400</stp>
        <stp>安値</stp>
        <tr r="M5" s="1"/>
      </tp>
    </main>
    <main first="rtdsrv.dff54f4b11dd4e0d9cb19000fb943d8c">
      <tp>
        <v>-18.4739</v>
        <stp/>
        <stp>Market</stp>
        <stp>INDEX</stp>
        <stp>CPQ</stp>
        <stp>前日比</stp>
        <tr r="G60" s="1"/>
      </tp>
    </main>
    <main first="rtdsrv.dff54f4b11dd4e0d9cb19000fb943d8c">
      <tp>
        <v>3400.4</v>
        <stp/>
        <stp>Market</stp>
        <stp>INDEX</stp>
        <stp>NQUSST</stp>
        <stp>安値</stp>
        <tr r="M58" s="1"/>
      </tp>
      <tp>
        <v>5204.3500000000004</v>
        <stp/>
        <stp>Market</stp>
        <stp>INDEX</stp>
        <stp>NQUSLT</stp>
        <stp>安値</stp>
        <tr r="M56" s="1"/>
      </tp>
      <tp>
        <v>3625.5</v>
        <stp/>
        <stp>Market</stp>
        <stp>INDEX</stp>
        <stp>NQUSMT</stp>
        <stp>安値</stp>
        <tr r="M57" s="1"/>
      </tp>
    </main>
    <main first="rtdsrv.dff54f4b11dd4e0d9cb19000fb943d8c">
      <tp t="s">
        <v>2026/02/28</v>
        <stp/>
        <stp>Market</stp>
        <stp>INDEX</stp>
        <stp>TRAN</stp>
        <stp>現在日付</stp>
        <tr r="C43" s="1"/>
      </tp>
    </main>
    <main first="rtdsrv.dff54f4b11dd4e0d9cb19000fb943d8c">
      <tp t="s">
        <v>09:00</v>
        <stp/>
        <stp>Market</stp>
        <stp>INDEX</stp>
        <stp>NVI</stp>
        <stp>始値時刻</stp>
        <tr r="N14" s="1"/>
      </tp>
      <tp t="s">
        <v>15:46</v>
        <stp/>
        <stp>Market</stp>
        <stp>INDEX</stp>
        <stp>NVI</stp>
        <stp>安値時刻</stp>
        <tr r="P14" s="1"/>
      </tp>
    </main>
    <main first="rtdsrv.dff54f4b11dd4e0d9cb19000fb943d8c">
      <tp t="s">
        <v>10:41</v>
        <stp/>
        <stp>Market</stp>
        <stp>INDEX</stp>
        <stp>NVI</stp>
        <stp>高値時刻</stp>
        <tr r="O14" s="1"/>
      </tp>
    </main>
    <main first="rtdsrv.dff54f4b11dd4e0d9cb19000fb943d8c">
      <tp t="s">
        <v/>
        <stp/>
        <stp>Market</stp>
        <stp>INDEX</stp>
        <stp>AUD/CHF</stp>
        <stp>前年終値</stp>
        <tr r="U205" s="1"/>
      </tp>
      <tp t="s">
        <v/>
        <stp/>
        <stp>Market</stp>
        <stp>INDEX</stp>
        <stp>JN400.FUT05.OS</stp>
        <stp>前年終値</stp>
        <tr r="U100" s="1"/>
      </tp>
      <tp t="s">
        <v/>
        <stp/>
        <stp>Market</stp>
        <stp>INDEX</stp>
        <stp>JN400.FUT04.OS</stp>
        <stp>前年終値</stp>
        <tr r="U99" s="1"/>
      </tp>
      <tp t="s">
        <v/>
        <stp/>
        <stp>Market</stp>
        <stp>INDEX</stp>
        <stp>JN400.FUT01.OS</stp>
        <stp>前年終値</stp>
        <tr r="U96" s="1"/>
      </tp>
      <tp t="s">
        <v/>
        <stp/>
        <stp>Market</stp>
        <stp>INDEX</stp>
        <stp>JN400.FUT03.OS</stp>
        <stp>前年終値</stp>
        <tr r="U98" s="1"/>
      </tp>
      <tp t="s">
        <v/>
        <stp/>
        <stp>Market</stp>
        <stp>INDEX</stp>
        <stp>JN400.FUT02.OS</stp>
        <stp>前年終値</stp>
        <tr r="U97" s="1"/>
      </tp>
    </main>
    <main first="rtdsrv.dff54f4b11dd4e0d9cb19000fb943d8c">
      <tp t="s">
        <v/>
        <stp/>
        <stp>Market</stp>
        <stp>INDEX</stp>
        <stp>EUR/CHF</stp>
        <stp>前年終値</stp>
        <tr r="U204" s="1"/>
      </tp>
    </main>
    <main first="rtdsrv.dff54f4b11dd4e0d9cb19000fb943d8c">
      <tp t="s">
        <v/>
        <stp/>
        <stp>Market</stp>
        <stp>INDEX</stp>
        <stp>FTSECA50</stp>
        <stp>上場来安値</stp>
        <tr r="Y102" s="1"/>
      </tp>
      <tp t="s">
        <v>↑</v>
        <stp/>
        <stp>Market</stp>
        <stp>INDEX</stp>
        <stp>SP500</stp>
        <stp>現在値ティック</stp>
        <tr r="F24" s="1"/>
      </tp>
    </main>
    <main first="rtdsrv.dff54f4b11dd4e0d9cb19000fb943d8c">
      <tp t="s">
        <v/>
        <stp/>
        <stp>Market</stp>
        <stp>INDEX</stp>
        <stp>FTSECA50</stp>
        <stp>年初来安値</stp>
        <tr r="W102" s="1"/>
      </tp>
    </main>
    <main first="rtdsrv.dff54f4b11dd4e0d9cb19000fb943d8c">
      <tp t="s">
        <v>NASDAQコンピューター株指数</v>
        <stp/>
        <stp>Market</stp>
        <stp>INDEX</stp>
        <stp>IXCO</stp>
        <stp>指標名称</stp>
        <tr r="B45" s="1"/>
      </tp>
    </main>
    <main first="rtdsrv.dff54f4b11dd4e0d9cb19000fb943d8c">
      <tp t="s">
        <v>NASDAQゴールデン・ドラゴン・チャイナ指数</v>
        <stp/>
        <stp>Market</stp>
        <stp>INDEX</stp>
        <stp>HXC</stp>
        <stp>指標名称</stp>
        <tr r="B55" s="1"/>
      </tp>
      <tp t="s">
        <v>NASDAQ金融100</v>
        <stp/>
        <stp>Market</stp>
        <stp>INDEX</stp>
        <stp>IXF</stp>
        <stp>指標名称</stp>
        <tr r="B46" s="1"/>
      </tp>
      <tp t="s">
        <v>-</v>
        <stp/>
        <stp>Market</stp>
        <stp>INDEX</stp>
        <stp>VOLQ</stp>
        <stp>安値時刻</stp>
        <tr r="P64" s="1"/>
      </tp>
      <tp t="s">
        <v>-</v>
        <stp/>
        <stp>Market</stp>
        <stp>INDEX</stp>
        <stp>VOLQ</stp>
        <stp>始値時刻</stp>
        <tr r="N64" s="1"/>
      </tp>
      <tp t="s">
        <v>-</v>
        <stp/>
        <stp>Market</stp>
        <stp>INDEX</stp>
        <stp>VOLQ</stp>
        <stp>高値時刻</stp>
        <tr r="O64" s="1"/>
      </tp>
      <tp t="s">
        <v>↑</v>
        <stp/>
        <stp>Market</stp>
        <stp>INDEX</stp>
        <stp>JN400</stp>
        <stp>現在値ティック</stp>
        <tr r="F5" s="1"/>
      </tp>
      <tp t="s">
        <v>2026/02/28</v>
        <stp/>
        <stp>Market</stp>
        <stp>INDEX</stp>
        <stp>IXF</stp>
        <stp>現在日付</stp>
        <tr r="C46" s="1"/>
      </tp>
    </main>
    <main first="rtdsrv.dff54f4b11dd4e0d9cb19000fb943d8c">
      <tp t="s">
        <v>2026/02/28</v>
        <stp/>
        <stp>Market</stp>
        <stp>INDEX</stp>
        <stp>HXC</stp>
        <stp>現在日付</stp>
        <tr r="C55" s="1"/>
      </tp>
      <tp t="s">
        <v>↓</v>
        <stp/>
        <stp>Market</stp>
        <stp>INDEX</stp>
        <stp>SOX</stp>
        <stp>現在値ティック</stp>
        <tr r="F51" s="1"/>
      </tp>
      <tp>
        <v>139.47</v>
        <stp/>
        <stp>Market</stp>
        <stp>INDEX</stp>
        <stp>XAU</stp>
        <stp>前年最安値</stp>
        <tr r="T50" s="1"/>
      </tp>
    </main>
    <main first="rtdsrv.dff54f4b11dd4e0d9cb19000fb943d8c">
      <tp t="s">
        <v>2026/02/28</v>
        <stp/>
        <stp>Market</stp>
        <stp>INDEX</stp>
        <stp>IXCO</stp>
        <stp>現在日付</stp>
        <tr r="C45" s="1"/>
      </tp>
    </main>
    <main first="rtdsrv.dff54f4b11dd4e0d9cb19000fb943d8c">
      <tp>
        <v>35138.050000000003</v>
        <stp/>
        <stp>Market</stp>
        <stp>INDEX</stp>
        <stp>JN400</stp>
        <stp>始値</stp>
        <tr r="K5" s="1"/>
      </tp>
    </main>
    <main first="rtdsrv.dff54f4b11dd4e0d9cb19000fb943d8c">
      <tp>
        <v>3464.27</v>
        <stp/>
        <stp>Market</stp>
        <stp>INDEX</stp>
        <stp>NQUSST</stp>
        <stp>始値</stp>
        <tr r="K58" s="1"/>
      </tp>
      <tp>
        <v>5261.96</v>
        <stp/>
        <stp>Market</stp>
        <stp>INDEX</stp>
        <stp>NQUSLT</stp>
        <stp>始値</stp>
        <tr r="K56" s="1"/>
      </tp>
      <tp>
        <v>3679.93</v>
        <stp/>
        <stp>Market</stp>
        <stp>INDEX</stp>
        <stp>NQUSMT</stp>
        <stp>始値</stp>
        <tr r="K57" s="1"/>
      </tp>
    </main>
    <main first="rtdsrv.dff54f4b11dd4e0d9cb19000fb943d8c">
      <tp>
        <v>2013.5</v>
        <stp/>
        <stp>Market</stp>
        <stp>INDEX</stp>
        <stp>TREIT</stp>
        <stp>前年終値</stp>
        <tr r="U15" s="1"/>
      </tp>
    </main>
    <main first="rtdsrv.dff54f4b11dd4e0d9cb19000fb943d8c">
      <tp t="s">
        <v>NASDAQ工業株指数</v>
        <stp/>
        <stp>Market</stp>
        <stp>INDEX</stp>
        <stp>INDS</stp>
        <stp>指標名称</stp>
        <tr r="B39" s="1"/>
      </tp>
      <tp t="s">
        <v>-</v>
        <stp/>
        <stp>Market</stp>
        <stp>INDEX</stp>
        <stp>CPQ</stp>
        <stp>始値時刻</stp>
        <tr r="N60" s="1"/>
      </tp>
      <tp t="s">
        <v>-</v>
        <stp/>
        <stp>Market</stp>
        <stp>INDEX</stp>
        <stp>CPQ</stp>
        <stp>安値時刻</stp>
        <tr r="P60" s="1"/>
      </tp>
      <tp t="s">
        <v>-</v>
        <stp/>
        <stp>Market</stp>
        <stp>INDEX</stp>
        <stp>CPQ</stp>
        <stp>高値時刻</stp>
        <tr r="O60" s="1"/>
      </tp>
      <tp t="s">
        <v>22:35</v>
        <stp/>
        <stp>Market</stp>
        <stp>INDEX</stp>
        <stp>GOLDMINI.FUT02.OS</stp>
        <stp>安値時刻</stp>
        <tr r="P110" s="1"/>
      </tp>
      <tp t="s">
        <v>22:10</v>
        <stp/>
        <stp>Market</stp>
        <stp>INDEX</stp>
        <stp>GOLDMINI.FUT01.OS</stp>
        <stp>始値時刻</stp>
        <tr r="N109" s="1"/>
      </tp>
      <tp t="s">
        <v>23:08</v>
        <stp/>
        <stp>Market</stp>
        <stp>INDEX</stp>
        <stp>GOLDMINI.FUT03.OS</stp>
        <stp>安値時刻</stp>
        <tr r="P111" s="1"/>
      </tp>
      <tp t="s">
        <v>22:35</v>
        <stp/>
        <stp>Market</stp>
        <stp>INDEX</stp>
        <stp>GOLDMINI.FUT02.OS</stp>
        <stp>始値時刻</stp>
        <tr r="N110" s="1"/>
      </tp>
      <tp t="s">
        <v>23:08</v>
        <stp/>
        <stp>Market</stp>
        <stp>INDEX</stp>
        <stp>GOLDMINI.FUT03.OS</stp>
        <stp>始値時刻</stp>
        <tr r="N111" s="1"/>
      </tp>
      <tp t="s">
        <v>22:10</v>
        <stp/>
        <stp>Market</stp>
        <stp>INDEX</stp>
        <stp>GOLDMINI.FUT01.OS</stp>
        <stp>安値時刻</stp>
        <tr r="P109" s="1"/>
      </tp>
      <tp t="s">
        <v>17:12</v>
        <stp/>
        <stp>Market</stp>
        <stp>INDEX</stp>
        <stp>GOLDMINI.FUT04.OS</stp>
        <stp>始値時刻</stp>
        <tr r="N112" s="1"/>
      </tp>
      <tp t="s">
        <v>19:13</v>
        <stp/>
        <stp>Market</stp>
        <stp>INDEX</stp>
        <stp>GOLDMINI.FUT06.OS</stp>
        <stp>安値時刻</stp>
        <tr r="P114" s="1"/>
      </tp>
      <tp t="s">
        <v>17:00</v>
        <stp/>
        <stp>Market</stp>
        <stp>INDEX</stp>
        <stp>GOLDMINI.FUT05.OS</stp>
        <stp>始値時刻</stp>
        <tr r="N113" s="1"/>
      </tp>
      <tp t="s">
        <v>17:00</v>
        <stp/>
        <stp>Market</stp>
        <stp>INDEX</stp>
        <stp>GOLDMINI.FUT06.OS</stp>
        <stp>始値時刻</stp>
        <tr r="N114" s="1"/>
      </tp>
      <tp t="s">
        <v>19:12</v>
        <stp/>
        <stp>Market</stp>
        <stp>INDEX</stp>
        <stp>GOLDMINI.FUT04.OS</stp>
        <stp>安値時刻</stp>
        <tr r="P112" s="1"/>
      </tp>
      <tp t="s">
        <v>19:12</v>
        <stp/>
        <stp>Market</stp>
        <stp>INDEX</stp>
        <stp>GOLDMINI.FUT05.OS</stp>
        <stp>安値時刻</stp>
        <tr r="P113" s="1"/>
      </tp>
      <tp t="s">
        <v>01:16</v>
        <stp/>
        <stp>Market</stp>
        <stp>INDEX</stp>
        <stp>GOLDMINI.FUT03.OS</stp>
        <stp>高値時刻</stp>
        <tr r="O111" s="1"/>
      </tp>
      <tp t="s">
        <v>22:35</v>
        <stp/>
        <stp>Market</stp>
        <stp>INDEX</stp>
        <stp>GOLDMINI.FUT02.OS</stp>
        <stp>高値時刻</stp>
        <tr r="O110" s="1"/>
      </tp>
      <tp t="s">
        <v>05:18</v>
        <stp/>
        <stp>Market</stp>
        <stp>INDEX</stp>
        <stp>GOLDMINI.FUT01.OS</stp>
        <stp>高値時刻</stp>
        <tr r="O109" s="1"/>
      </tp>
      <tp t="s">
        <v>05:24</v>
        <stp/>
        <stp>Market</stp>
        <stp>INDEX</stp>
        <stp>GOLDMINI.FUT06.OS</stp>
        <stp>高値時刻</stp>
        <tr r="O114" s="1"/>
      </tp>
      <tp t="s">
        <v>05:33</v>
        <stp/>
        <stp>Market</stp>
        <stp>INDEX</stp>
        <stp>GOLDMINI.FUT05.OS</stp>
        <stp>高値時刻</stp>
        <tr r="O113" s="1"/>
      </tp>
      <tp t="s">
        <v>01:51</v>
        <stp/>
        <stp>Market</stp>
        <stp>INDEX</stp>
        <stp>GOLDMINI.FUT04.OS</stp>
        <stp>高値時刻</stp>
        <tr r="O112" s="1"/>
      </tp>
      <tp t="s">
        <v/>
        <stp/>
        <stp>Market</stp>
        <stp>INDEX</stp>
        <stp>USD/CHF</stp>
        <stp>前年終値</stp>
        <tr r="U201" s="1"/>
      </tp>
      <tp t="s">
        <v/>
        <stp/>
        <stp>Market</stp>
        <stp>INDEX</stp>
        <stp>HKD/JPY</stp>
        <stp>前年終値</stp>
        <tr r="U195" s="1"/>
      </tp>
    </main>
    <main first="rtdsrv.dff54f4b11dd4e0d9cb19000fb943d8c">
      <tp>
        <v>214.42</v>
        <stp/>
        <stp>Market</stp>
        <stp>INDEX</stp>
        <stp>SIXRE</stp>
        <stp>始値</stp>
        <tr r="K30" s="1"/>
      </tp>
    </main>
    <main first="rtdsrv.dff54f4b11dd4e0d9cb19000fb943d8c">
      <tp t="s">
        <v>2026/02/28</v>
        <stp/>
        <stp>Market</stp>
        <stp>INDEX</stp>
        <stp>INDS</stp>
        <stp>現在日付</stp>
        <tr r="C39" s="1"/>
      </tp>
    </main>
    <main first="rtdsrv.dff54f4b11dd4e0d9cb19000fb943d8c">
      <tp>
        <v>0</v>
        <stp/>
        <stp>Market</stp>
        <stp>INDEX</stp>
        <stp>PLATINUMMINI.FUT02.OS</stp>
        <stp>前日比</stp>
        <tr r="G123" s="1"/>
      </tp>
      <tp>
        <v>0</v>
        <stp/>
        <stp>Market</stp>
        <stp>INDEX</stp>
        <stp>PLATINUMMINI.FUT03.OS</stp>
        <stp>前日比</stp>
        <tr r="G124" s="1"/>
      </tp>
      <tp>
        <v>0</v>
        <stp/>
        <stp>Market</stp>
        <stp>INDEX</stp>
        <stp>PLATINUMMINI.FUT01.OS</stp>
        <stp>前日比</stp>
        <tr r="G122" s="1"/>
      </tp>
      <tp>
        <v>-70.5</v>
        <stp/>
        <stp>Market</stp>
        <stp>INDEX</stp>
        <stp>PLATINUMMINI.FUT06.OS</stp>
        <stp>前日比</stp>
        <tr r="G127" s="1"/>
      </tp>
      <tp>
        <v>0</v>
        <stp/>
        <stp>Market</stp>
        <stp>INDEX</stp>
        <stp>PLATINUMMINI.FUT04.OS</stp>
        <stp>前日比</stp>
        <tr r="G125" s="1"/>
      </tp>
      <tp>
        <v>-196</v>
        <stp/>
        <stp>Market</stp>
        <stp>INDEX</stp>
        <stp>PLATINUMMINI.FUT05.OS</stp>
        <stp>前日比</stp>
        <tr r="G126" s="1"/>
      </tp>
      <tp>
        <v>1819.86</v>
        <stp/>
        <stp>Market</stp>
        <stp>INDEX</stp>
        <stp>NQROBO</stp>
        <stp>始値</stp>
        <tr r="K61" s="1"/>
      </tp>
    </main>
    <main first="rtdsrv.dff54f4b11dd4e0d9cb19000fb943d8c">
      <tp t="s">
        <v>上海A株指数</v>
        <stp/>
        <stp>Market</stp>
        <stp>INDEX</stp>
        <stp>SSEA</stp>
        <stp>指標名称</stp>
        <tr r="B69" s="1"/>
      </tp>
    </main>
    <main first="rtdsrv.dff54f4b11dd4e0d9cb19000fb943d8c">
      <tp t="s">
        <v>上海総合指数</v>
        <stp/>
        <stp>Market</stp>
        <stp>INDEX</stp>
        <stp>SSEC</stp>
        <stp>指標名称</stp>
        <tr r="B68" s="1"/>
      </tp>
    </main>
    <main first="rtdsrv.dff54f4b11dd4e0d9cb19000fb943d8c">
      <tp t="s">
        <v/>
        <stp/>
        <stp>Market</stp>
        <stp>INDEX</stp>
        <stp>PALLADIUM.FUT01.OS</stp>
        <stp>前年最安値</stp>
        <tr r="T135" s="1"/>
      </tp>
      <tp t="s">
        <v/>
        <stp/>
        <stp>Market</stp>
        <stp>INDEX</stp>
        <stp>PALLADIUM.FUT02.OS</stp>
        <stp>前年最安値</stp>
        <tr r="T136" s="1"/>
      </tp>
      <tp t="s">
        <v/>
        <stp/>
        <stp>Market</stp>
        <stp>INDEX</stp>
        <stp>PALLADIUM.FUT03.OS</stp>
        <stp>前年最安値</stp>
        <tr r="T137" s="1"/>
      </tp>
      <tp t="s">
        <v/>
        <stp/>
        <stp>Market</stp>
        <stp>INDEX</stp>
        <stp>PALLADIUM.FUT04.OS</stp>
        <stp>前年最安値</stp>
        <tr r="T138" s="1"/>
      </tp>
      <tp t="s">
        <v/>
        <stp/>
        <stp>Market</stp>
        <stp>INDEX</stp>
        <stp>PALLADIUM.FUT05.OS</stp>
        <stp>前年最安値</stp>
        <tr r="T139" s="1"/>
      </tp>
      <tp t="s">
        <v/>
        <stp/>
        <stp>Market</stp>
        <stp>INDEX</stp>
        <stp>PALLADIUM.FUT06.OS</stp>
        <stp>前年最安値</stp>
        <tr r="T140" s="1"/>
      </tp>
    </main>
    <main first="rtdsrv.dff54f4b11dd4e0d9cb19000fb943d8c">
      <tp>
        <v>3894.8481999999999</v>
        <stp/>
        <stp>Market</stp>
        <stp>INDEX</stp>
        <stp>SHKSC</stp>
        <stp>始値</stp>
        <tr r="K70" s="1"/>
      </tp>
      <tp t="s">
        <v>↑</v>
        <stp/>
        <stp>Market</stp>
        <stp>INDEX</stp>
        <stp>UTY</stp>
        <stp>現在値ティック</stp>
        <tr r="F54" s="1"/>
      </tp>
    </main>
    <main first="rtdsrv.dff54f4b11dd4e0d9cb19000fb943d8c">
      <tp t="s">
        <v>2026/02/27</v>
        <stp/>
        <stp>Market</stp>
        <stp>INDEX</stp>
        <stp>SSEC</stp>
        <stp>現在日付</stp>
        <tr r="C68" s="1"/>
      </tp>
      <tp t="s">
        <v>2026/02/27</v>
        <stp/>
        <stp>Market</stp>
        <stp>INDEX</stp>
        <stp>SSEA</stp>
        <stp>現在日付</stp>
        <tr r="C69" s="1"/>
      </tp>
    </main>
    <main first="rtdsrv.dff54f4b11dd4e0d9cb19000fb943d8c">
      <tp t="s">
        <v/>
        <stp/>
        <stp>Market</stp>
        <stp>INDEX</stp>
        <stp>SOYBEAN.FUT04.OS</stp>
        <stp>前年最安値</stp>
        <tr r="T174" s="1"/>
      </tp>
      <tp t="s">
        <v/>
        <stp/>
        <stp>Market</stp>
        <stp>INDEX</stp>
        <stp>REDBEAN.FUT05.OS</stp>
        <stp>前年最安値</stp>
        <tr r="T169" s="1"/>
      </tp>
      <tp t="s">
        <v/>
        <stp/>
        <stp>Market</stp>
        <stp>INDEX</stp>
        <stp>SOYBEAN.FUT05.OS</stp>
        <stp>前年最安値</stp>
        <tr r="T175" s="1"/>
      </tp>
      <tp t="s">
        <v/>
        <stp/>
        <stp>Market</stp>
        <stp>INDEX</stp>
        <stp>REDBEAN.FUT04.OS</stp>
        <stp>前年最安値</stp>
        <tr r="T168" s="1"/>
      </tp>
      <tp t="s">
        <v/>
        <stp/>
        <stp>Market</stp>
        <stp>INDEX</stp>
        <stp>SOYBEAN.FUT06.OS</stp>
        <stp>前年最安値</stp>
        <tr r="T176" s="1"/>
      </tp>
      <tp t="s">
        <v/>
        <stp/>
        <stp>Market</stp>
        <stp>INDEX</stp>
        <stp>REDBEAN.FUT06.OS</stp>
        <stp>前年最安値</stp>
        <tr r="T170" s="1"/>
      </tp>
      <tp t="s">
        <v/>
        <stp/>
        <stp>Market</stp>
        <stp>INDEX</stp>
        <stp>REDBEAN.FUT01.OS</stp>
        <stp>前年最安値</stp>
        <tr r="T165" s="1"/>
      </tp>
      <tp t="s">
        <v/>
        <stp/>
        <stp>Market</stp>
        <stp>INDEX</stp>
        <stp>SOYBEAN.FUT01.OS</stp>
        <stp>前年最安値</stp>
        <tr r="T171" s="1"/>
      </tp>
      <tp t="s">
        <v/>
        <stp/>
        <stp>Market</stp>
        <stp>INDEX</stp>
        <stp>SOYBEAN.FUT02.OS</stp>
        <stp>前年最安値</stp>
        <tr r="T172" s="1"/>
      </tp>
      <tp t="s">
        <v/>
        <stp/>
        <stp>Market</stp>
        <stp>INDEX</stp>
        <stp>REDBEAN.FUT03.OS</stp>
        <stp>前年最安値</stp>
        <tr r="T167" s="1"/>
      </tp>
    </main>
    <main first="rtdsrv.dff54f4b11dd4e0d9cb19000fb943d8c">
      <tp t="s">
        <v/>
        <stp/>
        <stp>Market</stp>
        <stp>INDEX</stp>
        <stp>SOYBEAN.FUT03.OS</stp>
        <stp>前年最安値</stp>
        <tr r="T173" s="1"/>
      </tp>
      <tp t="s">
        <v/>
        <stp/>
        <stp>Market</stp>
        <stp>INDEX</stp>
        <stp>REDBEAN.FUT02.OS</stp>
        <stp>前年最安値</stp>
        <tr r="T166" s="1"/>
      </tp>
    </main>
    <main first="rtdsrv.dff54f4b11dd4e0d9cb19000fb943d8c">
      <tp t="s">
        <v/>
        <stp/>
        <stp>Market</stp>
        <stp>INDEX</stp>
        <stp>N225.FUT01.C</stp>
        <stp>始値時刻</stp>
        <tr r="N183" s="1"/>
      </tp>
      <tp t="s">
        <v/>
        <stp/>
        <stp>Market</stp>
        <stp>INDEX</stp>
        <stp>N225.FUT02.C</stp>
        <stp>始値時刻</stp>
        <tr r="N184" s="1"/>
      </tp>
      <tp t="s">
        <v/>
        <stp/>
        <stp>Market</stp>
        <stp>INDEX</stp>
        <stp>N225.FUT02.C</stp>
        <stp>安値時刻</stp>
        <tr r="P184" s="1"/>
      </tp>
      <tp t="s">
        <v/>
        <stp/>
        <stp>Market</stp>
        <stp>INDEX</stp>
        <stp>N225.FUT01.C</stp>
        <stp>安値時刻</stp>
        <tr r="P183" s="1"/>
      </tp>
      <tp t="s">
        <v/>
        <stp/>
        <stp>Market</stp>
        <stp>INDEX</stp>
        <stp>N225.FUT02.C</stp>
        <stp>高値時刻</stp>
        <tr r="O184" s="1"/>
      </tp>
      <tp t="s">
        <v/>
        <stp/>
        <stp>Market</stp>
        <stp>INDEX</stp>
        <stp>N225.FUT01.C</stp>
        <stp>高値時刻</stp>
        <tr r="O183" s="1"/>
      </tp>
      <tp t="s">
        <v/>
        <stp/>
        <stp>Market</stp>
        <stp>INDEX</stp>
        <stp>TOPX.FUT05.OS</stp>
        <stp>前年終値</stp>
        <tr r="U90" s="1"/>
      </tp>
      <tp t="s">
        <v/>
        <stp/>
        <stp>Market</stp>
        <stp>INDEX</stp>
        <stp>TOPX.FUT04.OS</stp>
        <stp>前年終値</stp>
        <tr r="U89" s="1"/>
      </tp>
      <tp t="s">
        <v/>
        <stp/>
        <stp>Market</stp>
        <stp>INDEX</stp>
        <stp>TOPX.FUT01.OS</stp>
        <stp>前年終値</stp>
        <tr r="U86" s="1"/>
      </tp>
      <tp t="s">
        <v/>
        <stp/>
        <stp>Market</stp>
        <stp>INDEX</stp>
        <stp>TOPX.FUT03.OS</stp>
        <stp>前年終値</stp>
        <tr r="U88" s="1"/>
      </tp>
      <tp t="s">
        <v/>
        <stp/>
        <stp>Market</stp>
        <stp>INDEX</stp>
        <stp>TOPX.FUT02.OS</stp>
        <stp>前年終値</stp>
        <tr r="U87" s="1"/>
      </tp>
    </main>
    <main first="rtdsrv.dff54f4b11dd4e0d9cb19000fb943d8c">
      <tp t="s">
        <v>16:10</v>
        <stp/>
        <stp>Market</stp>
        <stp>INDEX</stp>
        <stp>N225.FUT01.S</stp>
        <stp>始値時刻</stp>
        <tr r="N185" s="1"/>
      </tp>
      <tp t="s">
        <v>17:07</v>
        <stp/>
        <stp>Market</stp>
        <stp>INDEX</stp>
        <stp>N225.FUT02.S</stp>
        <stp>始値時刻</stp>
        <tr r="N186" s="1"/>
      </tp>
      <tp t="s">
        <v>04:41</v>
        <stp/>
        <stp>Market</stp>
        <stp>INDEX</stp>
        <stp>N225.FUT02.S</stp>
        <stp>安値時刻</stp>
        <tr r="P186" s="1"/>
      </tp>
      <tp t="s">
        <v>23:43</v>
        <stp/>
        <stp>Market</stp>
        <stp>INDEX</stp>
        <stp>N225.FUT01.S</stp>
        <stp>安値時刻</stp>
        <tr r="P185" s="1"/>
      </tp>
      <tp t="s">
        <v>18:21</v>
        <stp/>
        <stp>Market</stp>
        <stp>INDEX</stp>
        <stp>N225.FUT02.S</stp>
        <stp>高値時刻</stp>
        <tr r="O186" s="1"/>
      </tp>
      <tp t="s">
        <v>18:22</v>
        <stp/>
        <stp>Market</stp>
        <stp>INDEX</stp>
        <stp>N225.FUT01.S</stp>
        <stp>高値時刻</stp>
        <tr r="O185" s="1"/>
      </tp>
    </main>
    <main first="rtdsrv.dff54f4b11dd4e0d9cb19000fb943d8c">
      <tp t="s">
        <v>-</v>
        <stp/>
        <stp>Market</stp>
        <stp>INDEX</stp>
        <stp>DJIA</stp>
        <stp>始値時刻</stp>
        <tr r="N20" s="1"/>
      </tp>
      <tp t="s">
        <v>-</v>
        <stp/>
        <stp>Market</stp>
        <stp>INDEX</stp>
        <stp>DJIA</stp>
        <stp>安値時刻</stp>
        <tr r="P20" s="1"/>
      </tp>
      <tp t="s">
        <v>-</v>
        <stp/>
        <stp>Market</stp>
        <stp>INDEX</stp>
        <stp>DJIA</stp>
        <stp>高値時刻</stp>
        <tr r="O20" s="1"/>
      </tp>
      <tp t="s">
        <v>-</v>
        <stp/>
        <stp>Market</stp>
        <stp>INDEX</stp>
        <stp>OFIN</stp>
        <stp>安値時刻</stp>
        <tr r="P42" s="1"/>
      </tp>
      <tp t="s">
        <v>-</v>
        <stp/>
        <stp>Market</stp>
        <stp>INDEX</stp>
        <stp>OFIN</stp>
        <stp>始値時刻</stp>
        <tr r="N42" s="1"/>
      </tp>
      <tp t="s">
        <v>-</v>
        <stp/>
        <stp>Market</stp>
        <stp>INDEX</stp>
        <stp>OFIN</stp>
        <stp>高値時刻</stp>
        <tr r="O42" s="1"/>
      </tp>
      <tp t="s">
        <v>-</v>
        <stp/>
        <stp>Market</stp>
        <stp>INDEX</stp>
        <stp>VVIX</stp>
        <stp>安値時刻</stp>
        <tr r="P26" s="1"/>
      </tp>
      <tp t="s">
        <v>-</v>
        <stp/>
        <stp>Market</stp>
        <stp>INDEX</stp>
        <stp>VVIX</stp>
        <stp>始値時刻</stp>
        <tr r="N26" s="1"/>
      </tp>
      <tp t="s">
        <v>-</v>
        <stp/>
        <stp>Market</stp>
        <stp>INDEX</stp>
        <stp>VVIX</stp>
        <stp>高値時刻</stp>
        <tr r="O26" s="1"/>
      </tp>
    </main>
    <main first="rtdsrv.dff54f4b11dd4e0d9cb19000fb943d8c">
      <tp t="s">
        <v>↑</v>
        <stp/>
        <stp>Market</stp>
        <stp>INDEX</stp>
        <stp>SP100</stp>
        <stp>現在値ティック</stp>
        <tr r="F23" s="1"/>
      </tp>
      <tp t="s">
        <v>↑</v>
        <stp/>
        <stp>Market</stp>
        <stp>INDEX</stp>
        <stp>NQ100</stp>
        <stp>現在値ティック</stp>
        <tr r="F22" s="1"/>
      </tp>
    </main>
    <main first="rtdsrv.dff54f4b11dd4e0d9cb19000fb943d8c">
      <tp>
        <v>1781.09</v>
        <stp/>
        <stp>Market</stp>
        <stp>INDEX</stp>
        <stp>NQROBO</stp>
        <stp>安値</stp>
        <tr r="M61" s="1"/>
      </tp>
      <tp t="s">
        <v>↑</v>
        <stp/>
        <stp>Market</stp>
        <stp>INDEX</stp>
        <stp>VIX</stp>
        <stp>現在値ティック</stp>
        <tr r="F25" s="1"/>
      </tp>
    </main>
    <main first="rtdsrv.dff54f4b11dd4e0d9cb19000fb943d8c">
      <tp t="s">
        <v/>
        <stp/>
        <stp>Market</stp>
        <stp>INDEX</stp>
        <stp>TS1EX</stp>
        <stp>現在値ティック</stp>
        <tr r="F10" s="1"/>
      </tp>
    </main>
    <main first="rtdsrv.dff54f4b11dd4e0d9cb19000fb943d8c">
      <tp>
        <v>213.81</v>
        <stp/>
        <stp>Market</stp>
        <stp>INDEX</stp>
        <stp>SIXRE</stp>
        <stp>安値</stp>
        <tr r="M30" s="1"/>
      </tp>
    </main>
    <main first="rtdsrv.dff54f4b11dd4e0d9cb19000fb943d8c">
      <tp t="s">
        <v>東証グロース市場指数</v>
        <stp/>
        <stp>Market</stp>
        <stp>INDEX</stp>
        <stp>TSGM</stp>
        <stp>指標名称</stp>
        <tr r="B8" s="1"/>
      </tp>
      <tp t="s">
        <v>-</v>
        <stp/>
        <stp>Market</stp>
        <stp>INDEX</stp>
        <stp>HSI</stp>
        <stp>始値時刻</stp>
        <tr r="N65" s="1"/>
      </tp>
      <tp t="s">
        <v>-</v>
        <stp/>
        <stp>Market</stp>
        <stp>INDEX</stp>
        <stp>HSI</stp>
        <stp>安値時刻</stp>
        <tr r="P65" s="1"/>
      </tp>
      <tp t="s">
        <v>-</v>
        <stp/>
        <stp>Market</stp>
        <stp>INDEX</stp>
        <stp>HSI</stp>
        <stp>高値時刻</stp>
        <tr r="O65" s="1"/>
      </tp>
      <tp t="s">
        <v>-</v>
        <stp/>
        <stp>Market</stp>
        <stp>INDEX</stp>
        <stp>OSX</stp>
        <stp>始値時刻</stp>
        <tr r="N53" s="1"/>
      </tp>
      <tp t="s">
        <v>-</v>
        <stp/>
        <stp>Market</stp>
        <stp>INDEX</stp>
        <stp>OSX</stp>
        <stp>安値時刻</stp>
        <tr r="P53" s="1"/>
      </tp>
      <tp t="s">
        <v>-</v>
        <stp/>
        <stp>Market</stp>
        <stp>INDEX</stp>
        <stp>OSX</stp>
        <stp>高値時刻</stp>
        <tr r="O53" s="1"/>
      </tp>
      <tp t="s">
        <v>-</v>
        <stp/>
        <stp>Market</stp>
        <stp>INDEX</stp>
        <stp>IXHC</stp>
        <stp>始値時刻</stp>
        <tr r="N48" s="1"/>
      </tp>
      <tp t="s">
        <v>-</v>
        <stp/>
        <stp>Market</stp>
        <stp>INDEX</stp>
        <stp>IXHC</stp>
        <stp>安値時刻</stp>
        <tr r="P48" s="1"/>
      </tp>
      <tp t="s">
        <v>-</v>
        <stp/>
        <stp>Market</stp>
        <stp>INDEX</stp>
        <stp>IXHC</stp>
        <stp>高値時刻</stp>
        <tr r="O48" s="1"/>
      </tp>
      <tp>
        <v>1689.21</v>
        <stp/>
        <stp>Market</stp>
        <stp>INDEX</stp>
        <stp>EMCLOUD</stp>
        <stp>前年終値</stp>
        <tr r="U62" s="1"/>
      </tp>
      <tp t="s">
        <v/>
        <stp/>
        <stp>Market</stp>
        <stp>INDEX</stp>
        <stp>CHF/JPY</stp>
        <stp>前年終値</stp>
        <tr r="U194" s="1"/>
      </tp>
      <tp t="s">
        <v>09:00</v>
        <stp/>
        <stp>Market</stp>
        <stp>INDEX</stp>
        <stp>MTHR</stp>
        <stp>始値時刻</stp>
        <tr r="N13" s="1"/>
      </tp>
      <tp t="s">
        <v>09:00</v>
        <stp/>
        <stp>Market</stp>
        <stp>INDEX</stp>
        <stp>MTHR</stp>
        <stp>安値時刻</stp>
        <tr r="P13" s="1"/>
      </tp>
      <tp t="s">
        <v>15:30</v>
        <stp/>
        <stp>Market</stp>
        <stp>INDEX</stp>
        <stp>MTHR</stp>
        <stp>高値時刻</stp>
        <tr r="O13" s="1"/>
      </tp>
    </main>
    <main first="rtdsrv.dff54f4b11dd4e0d9cb19000fb943d8c">
      <tp>
        <v>949.02380000000005</v>
        <stp/>
        <stp>Market</stp>
        <stp>INDEX</stp>
        <stp>CPQ</stp>
        <stp>前年最安値</stp>
        <tr r="T60" s="1"/>
      </tp>
    </main>
    <main first="rtdsrv.dff54f4b11dd4e0d9cb19000fb943d8c">
      <tp t="s">
        <v>2026/02/27</v>
        <stp/>
        <stp>Market</stp>
        <stp>INDEX</stp>
        <stp>TSGM</stp>
        <stp>現在日付</stp>
        <tr r="C8" s="1"/>
      </tp>
    </main>
    <main first="rtdsrv.dff54f4b11dd4e0d9cb19000fb943d8c">
      <tp t="s">
        <v>2026/01/28</v>
        <stp/>
        <stp>Market</stp>
        <stp>INDEX</stp>
        <stp>NQUSLT</stp>
        <stp>上場来高値日付</stp>
        <tr r="Z56" s="1"/>
      </tp>
      <tp t="s">
        <v>2011/10/04</v>
        <stp/>
        <stp>Market</stp>
        <stp>INDEX</stp>
        <stp>NQUSLT</stp>
        <stp>上場来安値日付</stp>
        <tr r="AA56" s="1"/>
      </tp>
      <tp t="s">
        <v>2026/02/12</v>
        <stp/>
        <stp>Market</stp>
        <stp>INDEX</stp>
        <stp>NQUSMT</stp>
        <stp>上場来高値日付</stp>
        <tr r="Z57" s="1"/>
      </tp>
      <tp t="s">
        <v>2011/10/04</v>
        <stp/>
        <stp>Market</stp>
        <stp>INDEX</stp>
        <stp>NQUSMT</stp>
        <stp>上場来安値日付</stp>
        <tr r="AA57" s="1"/>
      </tp>
      <tp>
        <v>3894.8481999999999</v>
        <stp/>
        <stp>Market</stp>
        <stp>INDEX</stp>
        <stp>SHKSC</stp>
        <stp>安値</stp>
        <tr r="M70" s="1"/>
      </tp>
      <tp t="s">
        <v>2026/01/22</v>
        <stp/>
        <stp>Market</stp>
        <stp>INDEX</stp>
        <stp>NQUSST</stp>
        <stp>上場来高値日付</stp>
        <tr r="Z58" s="1"/>
      </tp>
      <tp t="s">
        <v>2011/10/04</v>
        <stp/>
        <stp>Market</stp>
        <stp>INDEX</stp>
        <stp>NQUSST</stp>
        <stp>上場来安値日付</stp>
        <tr r="AA58" s="1"/>
      </tp>
      <tp t="s">
        <v>NASDAQヘルスケア株指数</v>
        <stp/>
        <stp>Market</stp>
        <stp>INDEX</stp>
        <stp>IXHC</stp>
        <stp>指標名称</stp>
        <tr r="B48" s="1"/>
      </tp>
      <tp>
        <v>0</v>
        <stp/>
        <stp>Market</stp>
        <stp>INDEX</stp>
        <stp>TS1EX</stp>
        <stp>前年終値</stp>
        <tr r="U10" s="1"/>
      </tp>
      <tp>
        <v>8913.68</v>
        <stp/>
        <stp>Market</stp>
        <stp>INDEX</stp>
        <stp>HSCEI</stp>
        <stp>前年終値</stp>
        <tr r="U66" s="1"/>
      </tp>
    </main>
    <main first="rtdsrv.dff54f4b11dd4e0d9cb19000fb943d8c">
      <tp t="s">
        <v>グロース250指数</v>
        <stp/>
        <stp>Market</stp>
        <stp>INDEX</stp>
        <stp>MTHR</stp>
        <stp>指標名称</stp>
        <tr r="B13" s="1"/>
      </tp>
    </main>
    <main first="rtdsrv.dff54f4b11dd4e0d9cb19000fb943d8c">
      <tp t="s">
        <v/>
        <stp/>
        <stp>Market</stp>
        <stp>INDEX</stp>
        <stp>SOYBEAN.FUT01.OS</stp>
        <stp>前年終値</stp>
        <tr r="U171" s="1"/>
      </tp>
      <tp t="s">
        <v/>
        <stp/>
        <stp>Market</stp>
        <stp>INDEX</stp>
        <stp>SOYBEAN.FUT02.OS</stp>
        <stp>前年終値</stp>
        <tr r="U172" s="1"/>
      </tp>
      <tp t="s">
        <v/>
        <stp/>
        <stp>Market</stp>
        <stp>INDEX</stp>
        <stp>SOYBEAN.FUT03.OS</stp>
        <stp>前年終値</stp>
        <tr r="U173" s="1"/>
      </tp>
      <tp t="s">
        <v/>
        <stp/>
        <stp>Market</stp>
        <stp>INDEX</stp>
        <stp>SOYBEAN.FUT04.OS</stp>
        <stp>前年終値</stp>
        <tr r="U174" s="1"/>
      </tp>
      <tp t="s">
        <v/>
        <stp/>
        <stp>Market</stp>
        <stp>INDEX</stp>
        <stp>SOYBEAN.FUT05.OS</stp>
        <stp>前年終値</stp>
        <tr r="U175" s="1"/>
      </tp>
      <tp t="s">
        <v/>
        <stp/>
        <stp>Market</stp>
        <stp>INDEX</stp>
        <stp>SOYBEAN.FUT06.OS</stp>
        <stp>前年終値</stp>
        <tr r="U176" s="1"/>
      </tp>
      <tp t="s">
        <v>香港ハンセン指数</v>
        <stp/>
        <stp>Market</stp>
        <stp>INDEX</stp>
        <stp>HSI</stp>
        <stp>指標名称</stp>
        <tr r="B65" s="1"/>
      </tp>
      <tp t="s">
        <v>PHLX石油サービス・セクター指数</v>
        <stp/>
        <stp>Market</stp>
        <stp>INDEX</stp>
        <stp>OSX</stp>
        <stp>指標名称</stp>
        <tr r="B53" s="1"/>
      </tp>
    </main>
    <main first="rtdsrv.dff54f4b11dd4e0d9cb19000fb943d8c">
      <tp t="s">
        <v>09:00</v>
        <stp/>
        <stp>Market</stp>
        <stp>INDEX</stp>
        <stp>TSGM</stp>
        <stp>始値時刻</stp>
        <tr r="N8" s="1"/>
      </tp>
      <tp t="s">
        <v>09:00</v>
        <stp/>
        <stp>Market</stp>
        <stp>INDEX</stp>
        <stp>TSGM</stp>
        <stp>安値時刻</stp>
        <tr r="P8" s="1"/>
      </tp>
      <tp t="s">
        <v>15:30</v>
        <stp/>
        <stp>Market</stp>
        <stp>INDEX</stp>
        <stp>TSGM</stp>
        <stp>高値時刻</stp>
        <tr r="O8" s="1"/>
      </tp>
      <tp t="s">
        <v/>
        <stp/>
        <stp>Market</stp>
        <stp>INDEX</stp>
        <stp>EUR/GBP</stp>
        <stp>前年終値</stp>
        <tr r="U203" s="1"/>
      </tp>
      <tp t="s">
        <v/>
        <stp/>
        <stp>Market</stp>
        <stp>INDEX</stp>
        <stp>SGD/JPY</stp>
        <stp>前年終値</stp>
        <tr r="U196" s="1"/>
      </tp>
      <tp t="s">
        <v/>
        <stp/>
        <stp>Market</stp>
        <stp>INDEX</stp>
        <stp>GBP/AUD</stp>
        <stp>前年終値</stp>
        <tr r="U214" s="1"/>
      </tp>
    </main>
    <main first="rtdsrv.dff54f4b11dd4e0d9cb19000fb943d8c">
      <tp t="s">
        <v>2026/02/28</v>
        <stp/>
        <stp>Market</stp>
        <stp>INDEX</stp>
        <stp>OSX</stp>
        <stp>現在日付</stp>
        <tr r="C53" s="1"/>
      </tp>
    </main>
    <main first="rtdsrv.dff54f4b11dd4e0d9cb19000fb943d8c">
      <tp t="s">
        <v>2026/02/27</v>
        <stp/>
        <stp>Market</stp>
        <stp>INDEX</stp>
        <stp>HSI</stp>
        <stp>現在日付</stp>
        <tr r="C65" s="1"/>
      </tp>
    </main>
    <main first="rtdsrv.dff54f4b11dd4e0d9cb19000fb943d8c">
      <tp t="s">
        <v>↑</v>
        <stp/>
        <stp>Market</stp>
        <stp>INDEX</stp>
        <stp>XAU</stp>
        <stp>現在値ティック</stp>
        <tr r="F50" s="1"/>
      </tp>
      <tp>
        <v>59220</v>
        <stp/>
        <stp>Market</stp>
        <stp>INDEX</stp>
        <stp>N225.FUT01.OS</stp>
        <stp>始値</stp>
        <tr r="K72" s="1"/>
      </tp>
    </main>
    <main first="rtdsrv.dff54f4b11dd4e0d9cb19000fb943d8c">
      <tp>
        <v>757</v>
        <stp/>
        <stp>Market</stp>
        <stp>INDEX</stp>
        <stp>MOT.FUT02.OS</stp>
        <stp>始値</stp>
        <tr r="K92" s="1"/>
      </tp>
      <tp t="s">
        <v>2026/02/27</v>
        <stp/>
        <stp>Market</stp>
        <stp>INDEX</stp>
        <stp>MTHR</stp>
        <stp>現在日付</stp>
        <tr r="C13" s="1"/>
      </tp>
    </main>
    <main first="rtdsrv.dff54f4b11dd4e0d9cb19000fb943d8c">
      <tp t="s">
        <v>2026/02/28</v>
        <stp/>
        <stp>Market</stp>
        <stp>INDEX</stp>
        <stp>IXHC</stp>
        <stp>現在日付</stp>
        <tr r="C48" s="1"/>
      </tp>
      <tp>
        <v>0</v>
        <stp/>
        <stp>Market</stp>
        <stp>INDEX</stp>
        <stp>JGB:F</stp>
        <stp>安値</stp>
        <tr r="M16" s="1"/>
      </tp>
      <tp>
        <v>58490</v>
        <stp/>
        <stp>Market</stp>
        <stp>INDEX</stp>
        <stp>N225.FUT03.OS</stp>
        <stp>安値</stp>
        <tr r="M74" s="1"/>
      </tp>
      <tp t="s">
        <v>NYダウ</v>
        <stp/>
        <stp>Market</stp>
        <stp>INDEX</stp>
        <stp>DJIA</stp>
        <stp>指標名称</stp>
        <tr r="B20" s="1"/>
      </tp>
      <tp t="s">
        <v>NASDAQ不動産株指数</v>
        <stp/>
        <stp>Market</stp>
        <stp>INDEX</stp>
        <stp>OFIN</stp>
        <stp>指標名称</stp>
        <tr r="B42" s="1"/>
      </tp>
    </main>
    <main first="rtdsrv.dff54f4b11dd4e0d9cb19000fb943d8c">
      <tp t="s">
        <v>VVIX指数</v>
        <stp/>
        <stp>Market</stp>
        <stp>INDEX</stp>
        <stp>VVIX</stp>
        <stp>指標名称</stp>
        <tr r="B26" s="1"/>
      </tp>
    </main>
    <main first="rtdsrv.dff54f4b11dd4e0d9cb19000fb943d8c">
      <tp t="s">
        <v/>
        <stp/>
        <stp>Market</stp>
        <stp>INDEX</stp>
        <stp>N225.FUT02.C</stp>
        <stp>指標名称</stp>
        <tr r="B184" s="1"/>
      </tp>
      <tp t="s">
        <v/>
        <stp/>
        <stp>Market</stp>
        <stp>INDEX</stp>
        <stp>N225.FUT01.C</stp>
        <stp>指標名称</stp>
        <tr r="B183" s="1"/>
      </tp>
    </main>
    <main first="rtdsrv.dff54f4b11dd4e0d9cb19000fb943d8c">
      <tp t="s">
        <v/>
        <stp/>
        <stp>Market</stp>
        <stp>INDEX</stp>
        <stp>N225.FUT02.S</stp>
        <stp>指標名称</stp>
        <tr r="B186" s="1"/>
      </tp>
      <tp t="s">
        <v/>
        <stp/>
        <stp>Market</stp>
        <stp>INDEX</stp>
        <stp>N225.FUT01.S</stp>
        <stp>指標名称</stp>
        <tr r="B185" s="1"/>
      </tp>
    </main>
    <main first="rtdsrv.dff54f4b11dd4e0d9cb19000fb943d8c">
      <tp>
        <v>755</v>
        <stp/>
        <stp>Market</stp>
        <stp>INDEX</stp>
        <stp>MOT.FUT01.OS</stp>
        <stp>安値</stp>
        <tr r="M91" s="1"/>
      </tp>
      <tp t="s">
        <v>2026/02/28</v>
        <stp/>
        <stp>Market</stp>
        <stp>INDEX</stp>
        <stp>N225.FUT02.S</stp>
        <stp>現在日付</stp>
        <tr r="C186" s="1"/>
      </tp>
      <tp t="s">
        <v>2026/02/28</v>
        <stp/>
        <stp>Market</stp>
        <stp>INDEX</stp>
        <stp>N225.FUT01.S</stp>
        <stp>現在日付</stp>
        <tr r="C185" s="1"/>
      </tp>
    </main>
    <main first="rtdsrv.dff54f4b11dd4e0d9cb19000fb943d8c">
      <tp t="s">
        <v>2026/02/28</v>
        <stp/>
        <stp>Market</stp>
        <stp>INDEX</stp>
        <stp>N225.FUT02.C</stp>
        <stp>現在日付</stp>
        <tr r="C184" s="1"/>
      </tp>
      <tp t="s">
        <v>2026/02/28</v>
        <stp/>
        <stp>Market</stp>
        <stp>INDEX</stp>
        <stp>N225.FUT01.C</stp>
        <stp>現在日付</stp>
        <tr r="C183" s="1"/>
      </tp>
    </main>
    <main first="rtdsrv.dff54f4b11dd4e0d9cb19000fb943d8c">
      <tp t="s">
        <v>2026/02/28</v>
        <stp/>
        <stp>Market</stp>
        <stp>INDEX</stp>
        <stp>VVIX</stp>
        <stp>現在日付</stp>
        <tr r="C26" s="1"/>
      </tp>
      <tp>
        <v>747</v>
        <stp/>
        <stp>Market</stp>
        <stp>INDEX</stp>
        <stp>MOT.FUT03.OS</stp>
        <stp>始値</stp>
        <tr r="K93" s="1"/>
      </tp>
    </main>
    <main first="rtdsrv.dff54f4b11dd4e0d9cb19000fb943d8c">
      <tp t="s">
        <v>2026/02/28</v>
        <stp/>
        <stp>Market</stp>
        <stp>INDEX</stp>
        <stp>OFIN</stp>
        <stp>現在日付</stp>
        <tr r="C42" s="1"/>
      </tp>
      <tp t="s">
        <v>2026/02/28</v>
        <stp/>
        <stp>Market</stp>
        <stp>INDEX</stp>
        <stp>DJIA</stp>
        <stp>現在日付</stp>
        <tr r="C20" s="1"/>
      </tp>
      <tp>
        <v>58200</v>
        <stp/>
        <stp>Market</stp>
        <stp>INDEX</stp>
        <stp>N225.FUT02.OS</stp>
        <stp>安値</stp>
        <tr r="M73" s="1"/>
      </tp>
    </main>
    <main first="rtdsrv.dff54f4b11dd4e0d9cb19000fb943d8c">
      <tp t="s">
        <v>-</v>
        <stp/>
        <stp>Market</stp>
        <stp>INDEX</stp>
        <stp>SSEA</stp>
        <stp>安値時刻</stp>
        <tr r="P69" s="1"/>
      </tp>
      <tp t="s">
        <v>-</v>
        <stp/>
        <stp>Market</stp>
        <stp>INDEX</stp>
        <stp>SSEA</stp>
        <stp>始値時刻</stp>
        <tr r="N69" s="1"/>
      </tp>
      <tp t="s">
        <v>-</v>
        <stp/>
        <stp>Market</stp>
        <stp>INDEX</stp>
        <stp>SSEA</stp>
        <stp>高値時刻</stp>
        <tr r="O69" s="1"/>
      </tp>
      <tp t="s">
        <v>-</v>
        <stp/>
        <stp>Market</stp>
        <stp>INDEX</stp>
        <stp>SSEC</stp>
        <stp>安値時刻</stp>
        <tr r="P68" s="1"/>
      </tp>
      <tp t="s">
        <v>-</v>
        <stp/>
        <stp>Market</stp>
        <stp>INDEX</stp>
        <stp>SSEC</stp>
        <stp>始値時刻</stp>
        <tr r="N68" s="1"/>
      </tp>
      <tp t="s">
        <v>-</v>
        <stp/>
        <stp>Market</stp>
        <stp>INDEX</stp>
        <stp>SSEC</stp>
        <stp>高値時刻</stp>
        <tr r="O68" s="1"/>
      </tp>
    </main>
    <main first="rtdsrv.dff54f4b11dd4e0d9cb19000fb943d8c">
      <tp>
        <v>746</v>
        <stp/>
        <stp>Market</stp>
        <stp>INDEX</stp>
        <stp>MOT.FUT02.OS</stp>
        <stp>安値</stp>
        <tr r="M92" s="1"/>
      </tp>
    </main>
    <main first="rtdsrv.dff54f4b11dd4e0d9cb19000fb943d8c">
      <tp>
        <v>0</v>
        <stp/>
        <stp>Market</stp>
        <stp>INDEX</stp>
        <stp>JGB:F</stp>
        <stp>始値</stp>
        <tr r="K16" s="1"/>
      </tp>
    </main>
    <main first="rtdsrv.dff54f4b11dd4e0d9cb19000fb943d8c">
      <tp>
        <v>59180</v>
        <stp/>
        <stp>Market</stp>
        <stp>INDEX</stp>
        <stp>N225.FUT03.OS</stp>
        <stp>始値</stp>
        <tr r="K74" s="1"/>
      </tp>
      <tp>
        <v>4.05</v>
        <stp/>
        <stp>Market</stp>
        <stp>INDEX</stp>
        <stp>HGX</stp>
        <stp>前日比</stp>
        <tr r="G52" s="1"/>
      </tp>
    </main>
    <main first="rtdsrv.dff54f4b11dd4e0d9cb19000fb943d8c">
      <tp>
        <v>-133.97999999999999</v>
        <stp/>
        <stp>Market</stp>
        <stp>INDEX</stp>
        <stp>HXC</stp>
        <stp>前日比</stp>
        <tr r="G55" s="1"/>
      </tp>
    </main>
    <main first="rtdsrv.dff54f4b11dd4e0d9cb19000fb943d8c">
      <tp>
        <v>249.52</v>
        <stp/>
        <stp>Market</stp>
        <stp>INDEX</stp>
        <stp>HSI</stp>
        <stp>前日比</stp>
        <tr r="G65" s="1"/>
      </tp>
      <tp>
        <v>-11</v>
        <stp/>
        <stp>Market</stp>
        <stp>INDEX</stp>
        <stp>MOT.FUT01.OS</stp>
        <stp>前日比</stp>
        <tr r="G91" s="1"/>
      </tp>
      <tp>
        <v>-10</v>
        <stp/>
        <stp>Market</stp>
        <stp>INDEX</stp>
        <stp>MOT.FUT02.OS</stp>
        <stp>前日比</stp>
        <tr r="G92" s="1"/>
      </tp>
      <tp>
        <v>24</v>
        <stp/>
        <stp>Market</stp>
        <stp>INDEX</stp>
        <stp>MOT.FUT03.OS</stp>
        <stp>前日比</stp>
        <tr r="G93" s="1"/>
      </tp>
      <tp>
        <v>0</v>
        <stp/>
        <stp>Market</stp>
        <stp>INDEX</stp>
        <stp>MOT.FUT04.OS</stp>
        <stp>前日比</stp>
        <tr r="G94" s="1"/>
      </tp>
      <tp>
        <v>0</v>
        <stp/>
        <stp>Market</stp>
        <stp>INDEX</stp>
        <stp>MOT.FUT05.OS</stp>
        <stp>前日比</stp>
        <tr r="G95" s="1"/>
      </tp>
    </main>
    <main first="rtdsrv.dff54f4b11dd4e0d9cb19000fb943d8c">
      <tp>
        <v>58390</v>
        <stp/>
        <stp>Market</stp>
        <stp>INDEX</stp>
        <stp>N225.FUT01.OS</stp>
        <stp>安値</stp>
        <tr r="M72" s="1"/>
      </tp>
    </main>
    <main first="rtdsrv.dff54f4b11dd4e0d9cb19000fb943d8c">
      <tp t="s">
        <v/>
        <stp/>
        <stp>Market</stp>
        <stp>INDEX</stp>
        <stp>GOLDMINI.FUT01.OS</stp>
        <stp>指標名称</stp>
        <tr r="B109" s="1"/>
      </tp>
      <tp t="s">
        <v/>
        <stp/>
        <stp>Market</stp>
        <stp>INDEX</stp>
        <stp>GOLDMINI.FUT03.OS</stp>
        <stp>指標名称</stp>
        <tr r="B111" s="1"/>
      </tp>
      <tp t="s">
        <v/>
        <stp/>
        <stp>Market</stp>
        <stp>INDEX</stp>
        <stp>GOLDMINI.FUT02.OS</stp>
        <stp>指標名称</stp>
        <tr r="B110" s="1"/>
      </tp>
      <tp t="s">
        <v/>
        <stp/>
        <stp>Market</stp>
        <stp>INDEX</stp>
        <stp>GOLDMINI.FUT05.OS</stp>
        <stp>指標名称</stp>
        <tr r="B113" s="1"/>
      </tp>
      <tp t="s">
        <v/>
        <stp/>
        <stp>Market</stp>
        <stp>INDEX</stp>
        <stp>GOLDMINI.FUT04.OS</stp>
        <stp>指標名称</stp>
        <tr r="B112" s="1"/>
      </tp>
      <tp t="s">
        <v/>
        <stp/>
        <stp>Market</stp>
        <stp>INDEX</stp>
        <stp>GOLDMINI.FUT06.OS</stp>
        <stp>指標名称</stp>
        <tr r="B114" s="1"/>
      </tp>
      <tp t="s">
        <v>ISE CTAクラウドコンピューティング指数</v>
        <stp/>
        <stp>Market</stp>
        <stp>INDEX</stp>
        <stp>CPQ</stp>
        <stp>指標名称</stp>
        <tr r="B60" s="1"/>
      </tp>
      <tp t="s">
        <v>-</v>
        <stp/>
        <stp>Market</stp>
        <stp>INDEX</stp>
        <stp>INDS</stp>
        <stp>始値時刻</stp>
        <tr r="N39" s="1"/>
      </tp>
      <tp t="s">
        <v>-</v>
        <stp/>
        <stp>Market</stp>
        <stp>INDEX</stp>
        <stp>INDS</stp>
        <stp>安値時刻</stp>
        <tr r="P39" s="1"/>
      </tp>
      <tp t="s">
        <v>-</v>
        <stp/>
        <stp>Market</stp>
        <stp>INDEX</stp>
        <stp>INDS</stp>
        <stp>高値時刻</stp>
        <tr r="O39" s="1"/>
      </tp>
    </main>
    <main first="rtdsrv.dff54f4b11dd4e0d9cb19000fb943d8c">
      <tp t="s">
        <v>2026/02/28</v>
        <stp/>
        <stp>Market</stp>
        <stp>INDEX</stp>
        <stp>CPQ</stp>
        <stp>現在日付</stp>
        <tr r="C60" s="1"/>
      </tp>
      <tp>
        <v>740</v>
        <stp/>
        <stp>Market</stp>
        <stp>INDEX</stp>
        <stp>MOT.FUT03.OS</stp>
        <stp>安値</stp>
        <tr r="M93" s="1"/>
      </tp>
    </main>
    <main first="rtdsrv.dff54f4b11dd4e0d9cb19000fb943d8c">
      <tp>
        <v>59020</v>
        <stp/>
        <stp>Market</stp>
        <stp>INDEX</stp>
        <stp>N225.FUT02.OS</stp>
        <stp>始値</stp>
        <tr r="K73" s="1"/>
      </tp>
    </main>
    <main first="rtdsrv.dff54f4b11dd4e0d9cb19000fb943d8c">
      <tp>
        <v>-201.45</v>
        <stp/>
        <stp>Market</stp>
        <stp>INDEX</stp>
        <stp>IXF</stp>
        <stp>前日比</stp>
        <tr r="G46" s="1"/>
      </tp>
    </main>
    <main first="rtdsrv.dff54f4b11dd4e0d9cb19000fb943d8c">
      <tp>
        <v>28.55</v>
        <stp/>
        <stp>Market</stp>
        <stp>INDEX</stp>
        <stp>N500</stp>
        <stp>前日比</stp>
        <tr r="G9" s="1"/>
      </tp>
    </main>
    <main first="rtdsrv.dff54f4b11dd4e0d9cb19000fb943d8c">
      <tp>
        <v>767</v>
        <stp/>
        <stp>Market</stp>
        <stp>INDEX</stp>
        <stp>MOT.FUT01.OS</stp>
        <stp>始値</stp>
        <tr r="K91" s="1"/>
      </tp>
    </main>
    <main first="rtdsrv.dff54f4b11dd4e0d9cb19000fb943d8c">
      <tp t="s">
        <v/>
        <stp/>
        <stp>Market</stp>
        <stp>INDEX</stp>
        <stp>PALLADIUM.FUT04.OS</stp>
        <stp>現在値ティック</stp>
        <tr r="F138" s="1"/>
      </tp>
      <tp t="s">
        <v/>
        <stp/>
        <stp>Market</stp>
        <stp>INDEX</stp>
        <stp>PALLADIUM.FUT05.OS</stp>
        <stp>現在値ティック</stp>
        <tr r="F139" s="1"/>
      </tp>
      <tp t="s">
        <v/>
        <stp/>
        <stp>Market</stp>
        <stp>INDEX</stp>
        <stp>PALLADIUM.FUT06.OS</stp>
        <stp>現在値ティック</stp>
        <tr r="F140" s="1"/>
      </tp>
      <tp t="s">
        <v/>
        <stp/>
        <stp>Market</stp>
        <stp>INDEX</stp>
        <stp>PALLADIUM.FUT01.OS</stp>
        <stp>現在値ティック</stp>
        <tr r="F135" s="1"/>
      </tp>
      <tp t="s">
        <v/>
        <stp/>
        <stp>Market</stp>
        <stp>INDEX</stp>
        <stp>PALLADIUM.FUT02.OS</stp>
        <stp>現在値ティック</stp>
        <tr r="F136" s="1"/>
      </tp>
      <tp t="s">
        <v/>
        <stp/>
        <stp>Market</stp>
        <stp>INDEX</stp>
        <stp>PALLADIUM.FUT03.OS</stp>
        <stp>現在値ティック</stp>
        <tr r="F137" s="1"/>
      </tp>
    </main>
    <main first="rtdsrv.dff54f4b11dd4e0d9cb19000fb943d8c">
      <tp t="s">
        <v>2026/02/28</v>
        <stp/>
        <stp>Market</stp>
        <stp>INDEX</stp>
        <stp>GOLDMINI.FUT01.OS</stp>
        <stp>現在日付</stp>
        <tr r="C109" s="1"/>
      </tp>
      <tp t="s">
        <v>2026/02/28</v>
        <stp/>
        <stp>Market</stp>
        <stp>INDEX</stp>
        <stp>GOLDMINI.FUT03.OS</stp>
        <stp>現在日付</stp>
        <tr r="C111" s="1"/>
      </tp>
      <tp t="s">
        <v>2026/02/27</v>
        <stp/>
        <stp>Market</stp>
        <stp>INDEX</stp>
        <stp>GOLDMINI.FUT02.OS</stp>
        <stp>現在日付</stp>
        <tr r="C110" s="1"/>
      </tp>
      <tp t="s">
        <v>2026/02/28</v>
        <stp/>
        <stp>Market</stp>
        <stp>INDEX</stp>
        <stp>GOLDMINI.FUT05.OS</stp>
        <stp>現在日付</stp>
        <tr r="C113" s="1"/>
      </tp>
      <tp t="s">
        <v>2026/02/28</v>
        <stp/>
        <stp>Market</stp>
        <stp>INDEX</stp>
        <stp>GOLDMINI.FUT04.OS</stp>
        <stp>現在日付</stp>
        <tr r="C112" s="1"/>
      </tp>
      <tp t="s">
        <v>2026/02/28</v>
        <stp/>
        <stp>Market</stp>
        <stp>INDEX</stp>
        <stp>GOLDMINI.FUT06.OS</stp>
        <stp>現在日付</stp>
        <tr r="C114" s="1"/>
      </tp>
    </main>
    <main first="rtdsrv.dff54f4b11dd4e0d9cb19000fb943d8c">
      <tp t="s">
        <v>NASDAQ100ボラティリティ指数</v>
        <stp/>
        <stp>Market</stp>
        <stp>INDEX</stp>
        <stp>VOLQ</stp>
        <stp>指標名称</stp>
        <tr r="B64" s="1"/>
      </tp>
    </main>
    <main first="rtdsrv.dff54f4b11dd4e0d9cb19000fb943d8c">
      <tp t="s">
        <v>-</v>
        <stp/>
        <stp>Market</stp>
        <stp>INDEX</stp>
        <stp>IXF</stp>
        <stp>始値時刻</stp>
        <tr r="N46" s="1"/>
      </tp>
      <tp t="s">
        <v>-</v>
        <stp/>
        <stp>Market</stp>
        <stp>INDEX</stp>
        <stp>IXF</stp>
        <stp>安値時刻</stp>
        <tr r="P46" s="1"/>
      </tp>
      <tp t="s">
        <v>-</v>
        <stp/>
        <stp>Market</stp>
        <stp>INDEX</stp>
        <stp>IXF</stp>
        <stp>高値時刻</stp>
        <tr r="O46" s="1"/>
      </tp>
    </main>
    <main first="rtdsrv.dff54f4b11dd4e0d9cb19000fb943d8c">
      <tp t="s">
        <v>-</v>
        <stp/>
        <stp>Market</stp>
        <stp>INDEX</stp>
        <stp>HXC</stp>
        <stp>始値時刻</stp>
        <tr r="N55" s="1"/>
      </tp>
      <tp t="s">
        <v>-</v>
        <stp/>
        <stp>Market</stp>
        <stp>INDEX</stp>
        <stp>HXC</stp>
        <stp>安値時刻</stp>
        <tr r="P55" s="1"/>
      </tp>
      <tp t="s">
        <v>-</v>
        <stp/>
        <stp>Market</stp>
        <stp>INDEX</stp>
        <stp>HXC</stp>
        <stp>高値時刻</stp>
        <tr r="O55" s="1"/>
      </tp>
    </main>
    <main first="rtdsrv.dff54f4b11dd4e0d9cb19000fb943d8c">
      <tp t="s">
        <v>-</v>
        <stp/>
        <stp>Market</stp>
        <stp>INDEX</stp>
        <stp>IXCO</stp>
        <stp>始値時刻</stp>
        <tr r="N45" s="1"/>
      </tp>
      <tp t="s">
        <v>-</v>
        <stp/>
        <stp>Market</stp>
        <stp>INDEX</stp>
        <stp>IXCO</stp>
        <stp>安値時刻</stp>
        <tr r="P45" s="1"/>
      </tp>
      <tp t="s">
        <v>-</v>
        <stp/>
        <stp>Market</stp>
        <stp>INDEX</stp>
        <stp>IXCO</stp>
        <stp>高値時刻</stp>
        <tr r="O45" s="1"/>
      </tp>
    </main>
    <main first="rtdsrv.dff54f4b11dd4e0d9cb19000fb943d8c">
      <tp>
        <v>0</v>
        <stp/>
        <stp>Market</stp>
        <stp>INDEX</stp>
        <stp>MOT.FUT04.OS</stp>
        <stp>安値</stp>
        <tr r="M94" s="1"/>
      </tp>
    </main>
    <main first="rtdsrv.dff54f4b11dd4e0d9cb19000fb943d8c">
      <tp>
        <v>-151</v>
        <stp/>
        <stp>Market</stp>
        <stp>INDEX</stp>
        <stp>GOLD.SPOT.OS</stp>
        <stp>前日比</stp>
        <tr r="G115" s="1"/>
      </tp>
    </main>
    <main first="rtdsrv.dff54f4b11dd4e0d9cb19000fb943d8c">
      <tp>
        <v>53.57</v>
        <stp/>
        <stp>Market</stp>
        <stp>INDEX</stp>
        <stp>NBI</stp>
        <stp>前日比</stp>
        <tr r="G47" s="1"/>
      </tp>
      <tp>
        <v>59000</v>
        <stp/>
        <stp>Market</stp>
        <stp>INDEX</stp>
        <stp>N225.FUT05.OS</stp>
        <stp>始値</stp>
        <tr r="K76" s="1"/>
      </tp>
      <tp>
        <v>-17.13</v>
        <stp/>
        <stp>Market</stp>
        <stp>INDEX</stp>
        <stp>NGX</stp>
        <stp>前日比</stp>
        <tr r="G63" s="1"/>
      </tp>
    </main>
    <main first="rtdsrv.dff54f4b11dd4e0d9cb19000fb943d8c">
      <tp>
        <v>-3.88</v>
        <stp/>
        <stp>Market</stp>
        <stp>INDEX</stp>
        <stp>NVI</stp>
        <stp>前日比</stp>
        <tr r="G14" s="1"/>
      </tp>
      <tp>
        <v>96.88</v>
        <stp/>
        <stp>Market</stp>
        <stp>INDEX</stp>
        <stp>N225</stp>
        <stp>前日比</stp>
        <tr r="G2" s="1"/>
      </tp>
    </main>
    <main first="rtdsrv.dff54f4b11dd4e0d9cb19000fb943d8c">
      <tp>
        <v>26821</v>
        <stp/>
        <stp>Market</stp>
        <stp>INDEX</stp>
        <stp>GOLD.SPOT.OS</stp>
        <stp>始値</stp>
        <tr r="K115" s="1"/>
      </tp>
      <tp t="s">
        <v/>
        <stp/>
        <stp>Market</stp>
        <stp>INDEX</stp>
        <stp>VOLQ</stp>
        <stp>現在日付</stp>
        <tr r="C64" s="1"/>
      </tp>
      <tp>
        <v>0</v>
        <stp/>
        <stp>Market</stp>
        <stp>INDEX</stp>
        <stp>CORN.FUT06.OS</stp>
        <stp>前日比</stp>
        <tr r="G182" s="1"/>
      </tp>
      <tp>
        <v>0</v>
        <stp/>
        <stp>Market</stp>
        <stp>INDEX</stp>
        <stp>CORN.FUT04.OS</stp>
        <stp>前日比</stp>
        <tr r="G180" s="1"/>
      </tp>
      <tp>
        <v>0</v>
        <stp/>
        <stp>Market</stp>
        <stp>INDEX</stp>
        <stp>CORN.FUT05.OS</stp>
        <stp>前日比</stp>
        <tr r="G181" s="1"/>
      </tp>
      <tp>
        <v>0</v>
        <stp/>
        <stp>Market</stp>
        <stp>INDEX</stp>
        <stp>CORN.FUT02.OS</stp>
        <stp>前日比</stp>
        <tr r="G178" s="1"/>
      </tp>
      <tp>
        <v>0</v>
        <stp/>
        <stp>Market</stp>
        <stp>INDEX</stp>
        <stp>CORN.FUT03.OS</stp>
        <stp>前日比</stp>
        <tr r="G179" s="1"/>
      </tp>
      <tp>
        <v>0</v>
        <stp/>
        <stp>Market</stp>
        <stp>INDEX</stp>
        <stp>CORN.FUT01.OS</stp>
        <stp>前日比</stp>
        <tr r="G177" s="1"/>
      </tp>
      <tp>
        <v>0</v>
        <stp/>
        <stp>Market</stp>
        <stp>INDEX</stp>
        <stp>TCWSI</stp>
        <stp>安値</stp>
        <tr r="M101" s="1"/>
      </tp>
    </main>
    <main first="rtdsrv.dff54f4b11dd4e0d9cb19000fb943d8c">
      <tp t="s">
        <v>日経平均VI指数</v>
        <stp/>
        <stp>Market</stp>
        <stp>INDEX</stp>
        <stp>NVI</stp>
        <stp>指標名称</stp>
        <tr r="B14" s="1"/>
      </tp>
      <tp t="s">
        <v/>
        <stp/>
        <stp>Market</stp>
        <stp>INDEX</stp>
        <stp>GBP/JPY</stp>
        <stp>前年終値</stp>
        <tr r="U189" s="1"/>
      </tp>
      <tp t="s">
        <v/>
        <stp/>
        <stp>Market</stp>
        <stp>INDEX</stp>
        <stp>NZD/CHF</stp>
        <stp>前年終値</stp>
        <tr r="U206" s="1"/>
      </tp>
      <tp t="s">
        <v/>
        <stp/>
        <stp>Market</stp>
        <stp>INDEX</stp>
        <stp>USD/CAD</stp>
        <stp>前年終値</stp>
        <tr r="U212" s="1"/>
      </tp>
    </main>
    <main first="rtdsrv.dff54f4b11dd4e0d9cb19000fb943d8c">
      <tp>
        <v>0</v>
        <stp/>
        <stp>Market</stp>
        <stp>INDEX</stp>
        <stp>MOT.FUT05.OS</stp>
        <stp>安値</stp>
        <tr r="M95" s="1"/>
      </tp>
    </main>
    <main first="rtdsrv.dff54f4b11dd4e0d9cb19000fb943d8c">
      <tp>
        <v>0</v>
        <stp/>
        <stp>Market</stp>
        <stp>INDEX</stp>
        <stp>RSS3.FUT12.OS</stp>
        <stp>前日比</stp>
        <tr r="G152" s="1"/>
      </tp>
      <tp>
        <v>0</v>
        <stp/>
        <stp>Market</stp>
        <stp>INDEX</stp>
        <stp>RSS3.FUT10.OS</stp>
        <stp>前日比</stp>
        <tr r="G150" s="1"/>
      </tp>
      <tp>
        <v>0</v>
        <stp/>
        <stp>Market</stp>
        <stp>INDEX</stp>
        <stp>RSS3.FUT11.OS</stp>
        <stp>前日比</stp>
        <tr r="G151" s="1"/>
      </tp>
      <tp>
        <v>0</v>
        <stp/>
        <stp>Market</stp>
        <stp>INDEX</stp>
        <stp>RSS3.FUT02.OS</stp>
        <stp>前日比</stp>
        <tr r="G142" s="1"/>
      </tp>
      <tp>
        <v>0</v>
        <stp/>
        <stp>Market</stp>
        <stp>INDEX</stp>
        <stp>RSS3.FUT03.OS</stp>
        <stp>前日比</stp>
        <tr r="G143" s="1"/>
      </tp>
      <tp>
        <v>0</v>
        <stp/>
        <stp>Market</stp>
        <stp>INDEX</stp>
        <stp>RSS3.FUT01.OS</stp>
        <stp>前日比</stp>
        <tr r="G141" s="1"/>
      </tp>
      <tp>
        <v>1.6</v>
        <stp/>
        <stp>Market</stp>
        <stp>INDEX</stp>
        <stp>RSS3.FUT06.OS</stp>
        <stp>前日比</stp>
        <tr r="G146" s="1"/>
      </tp>
      <tp>
        <v>0</v>
        <stp/>
        <stp>Market</stp>
        <stp>INDEX</stp>
        <stp>RSS3.FUT07.OS</stp>
        <stp>前日比</stp>
        <tr r="G147" s="1"/>
      </tp>
      <tp>
        <v>1.8</v>
        <stp/>
        <stp>Market</stp>
        <stp>INDEX</stp>
        <stp>RSS3.FUT04.OS</stp>
        <stp>前日比</stp>
        <tr r="G144" s="1"/>
      </tp>
      <tp>
        <v>2.1</v>
        <stp/>
        <stp>Market</stp>
        <stp>INDEX</stp>
        <stp>RSS3.FUT05.OS</stp>
        <stp>前日比</stp>
        <tr r="G145" s="1"/>
      </tp>
      <tp>
        <v>0</v>
        <stp/>
        <stp>Market</stp>
        <stp>INDEX</stp>
        <stp>RSS3.FUT08.OS</stp>
        <stp>前日比</stp>
        <tr r="G148" s="1"/>
      </tp>
      <tp>
        <v>0</v>
        <stp/>
        <stp>Market</stp>
        <stp>INDEX</stp>
        <stp>RSS3.FUT09.OS</stp>
        <stp>前日比</stp>
        <tr r="G149" s="1"/>
      </tp>
      <tp t="s">
        <v>2026/02/27</v>
        <stp/>
        <stp>Market</stp>
        <stp>INDEX</stp>
        <stp>NVI</stp>
        <stp>現在日付</stp>
        <tr r="C14" s="1"/>
      </tp>
    </main>
    <main first="rtdsrv.dff54f4b11dd4e0d9cb19000fb943d8c">
      <tp>
        <v>59100</v>
        <stp/>
        <stp>Market</stp>
        <stp>INDEX</stp>
        <stp>N225.FUT04.OS</stp>
        <stp>始値</stp>
        <tr r="K75" s="1"/>
      </tp>
    </main>
    <main first="rtdsrv.dff54f4b11dd4e0d9cb19000fb943d8c">
      <tp>
        <v>0.56000000000000005</v>
        <stp/>
        <stp>Market</stp>
        <stp>INDEX</stp>
        <stp>OSX</stp>
        <stp>前日比</stp>
        <tr r="G53" s="1"/>
      </tp>
    </main>
    <main first="rtdsrv.dff54f4b11dd4e0d9cb19000fb943d8c">
      <tp>
        <v>11.17</v>
        <stp/>
        <stp>Market</stp>
        <stp>INDEX</stp>
        <stp>N300</stp>
        <stp>前日比</stp>
        <tr r="G3" s="1"/>
      </tp>
    </main>
    <main first="rtdsrv.dff54f4b11dd4e0d9cb19000fb943d8c">
      <tp t="s">
        <v>2025/10/10</v>
        <stp/>
        <stp>Market</stp>
        <stp>INDEX</stp>
        <stp>NQCYBR</stp>
        <stp>上場来高値日付</stp>
        <tr r="Z59" s="1"/>
      </tp>
      <tp t="s">
        <v>2016/02/09</v>
        <stp/>
        <stp>Market</stp>
        <stp>INDEX</stp>
        <stp>NQCYBR</stp>
        <stp>上場来安値日付</stp>
        <tr r="AA59" s="1"/>
      </tp>
    </main>
    <main first="rtdsrv.dff54f4b11dd4e0d9cb19000fb943d8c">
      <tp>
        <v>4015.5</v>
        <stp/>
        <stp>Market</stp>
        <stp>INDEX</stp>
        <stp>HSCCI</stp>
        <stp>前年終値</stp>
        <tr r="U67" s="1"/>
      </tp>
      <tp t="s">
        <v>NASDAQ銀行株指数</v>
        <stp/>
        <stp>Market</stp>
        <stp>INDEX</stp>
        <stp>BANK</stp>
        <stp>指標名称</stp>
        <tr r="B40" s="1"/>
      </tp>
    </main>
    <main first="rtdsrv.dff54f4b11dd4e0d9cb19000fb943d8c">
      <tp t="s">
        <v/>
        <stp/>
        <stp>Market</stp>
        <stp>INDEX</stp>
        <stp>ZAR/JPY</stp>
        <stp>前年終値</stp>
        <tr r="U192" s="1"/>
      </tp>
    </main>
    <main first="rtdsrv.dff54f4b11dd4e0d9cb19000fb943d8c">
      <tp t="s">
        <v>-</v>
        <stp/>
        <stp>Market</stp>
        <stp>INDEX</stp>
        <stp>TRAN</stp>
        <stp>始値時刻</stp>
        <tr r="N43" s="1"/>
      </tp>
      <tp t="s">
        <v>-</v>
        <stp/>
        <stp>Market</stp>
        <stp>INDEX</stp>
        <stp>TRAN</stp>
        <stp>安値時刻</stp>
        <tr r="P43" s="1"/>
      </tp>
      <tp t="s">
        <v>-</v>
        <stp/>
        <stp>Market</stp>
        <stp>INDEX</stp>
        <stp>TRAN</stp>
        <stp>高値時刻</stp>
        <tr r="O43" s="1"/>
      </tp>
      <tp t="s">
        <v/>
        <stp/>
        <stp>Market</stp>
        <stp>INDEX</stp>
        <stp>CAD/JPY</stp>
        <stp>前年終値</stp>
        <tr r="U193" s="1"/>
      </tp>
      <tp t="s">
        <v/>
        <stp/>
        <stp>Market</stp>
        <stp>INDEX</stp>
        <stp>GBP/USD</stp>
        <stp>前年終値</stp>
        <tr r="U198" s="1"/>
      </tp>
    </main>
    <main first="rtdsrv.dff54f4b11dd4e0d9cb19000fb943d8c">
      <tp>
        <v>26820</v>
        <stp/>
        <stp>Market</stp>
        <stp>INDEX</stp>
        <stp>GOLD.SPOT.OS</stp>
        <stp>安値</stp>
        <tr r="M115" s="1"/>
      </tp>
    </main>
    <main first="rtdsrv.dff54f4b11dd4e0d9cb19000fb943d8c">
      <tp>
        <v>0</v>
        <stp/>
        <stp>Market</stp>
        <stp>INDEX</stp>
        <stp>TCWSI</stp>
        <stp>始値</stp>
        <tr r="K101" s="1"/>
      </tp>
    </main>
    <main first="rtdsrv.dff54f4b11dd4e0d9cb19000fb943d8c">
      <tp>
        <v>49.5</v>
        <stp/>
        <stp>Market</stp>
        <stp>INDEX</stp>
        <stp>OSX</stp>
        <stp>前年最安値</stp>
        <tr r="T53" s="1"/>
      </tp>
      <tp>
        <v>1006.14</v>
        <stp/>
        <stp>Market</stp>
        <stp>INDEX</stp>
        <stp>NGX</stp>
        <stp>前年最安値</stp>
        <tr r="T63" s="1"/>
      </tp>
      <tp>
        <v>560.04</v>
        <stp/>
        <stp>Market</stp>
        <stp>INDEX</stp>
        <stp>HGX</stp>
        <stp>前年最安値</stp>
        <tr r="T52" s="1"/>
      </tp>
      <tp>
        <v>13.38</v>
        <stp/>
        <stp>Market</stp>
        <stp>INDEX</stp>
        <stp>VIX</stp>
        <stp>前年最安値</stp>
        <tr r="T25" s="1"/>
      </tp>
      <tp>
        <v>3388.623</v>
        <stp/>
        <stp>Market</stp>
        <stp>INDEX</stp>
        <stp>SOX</stp>
        <stp>前年最安値</stp>
        <tr r="T51" s="1"/>
      </tp>
    </main>
    <main first="rtdsrv.dff54f4b11dd4e0d9cb19000fb943d8c">
      <tp>
        <v>0</v>
        <stp/>
        <stp>Market</stp>
        <stp>INDEX</stp>
        <stp>MOT.FUT04.OS</stp>
        <stp>始値</stp>
        <tr r="K94" s="1"/>
      </tp>
    </main>
    <main first="rtdsrv.dff54f4b11dd4e0d9cb19000fb943d8c">
      <tp t="s">
        <v>2026/02/28</v>
        <stp/>
        <stp>Market</stp>
        <stp>INDEX</stp>
        <stp>BANK</stp>
        <stp>現在日付</stp>
        <tr r="C40" s="1"/>
      </tp>
    </main>
    <main first="rtdsrv.dff54f4b11dd4e0d9cb19000fb943d8c">
      <tp>
        <v>59000</v>
        <stp/>
        <stp>Market</stp>
        <stp>INDEX</stp>
        <stp>N225.FUT05.OS</stp>
        <stp>安値</stp>
        <tr r="M76" s="1"/>
      </tp>
      <tp>
        <v>0</v>
        <stp/>
        <stp>Market</stp>
        <stp>INDEX</stp>
        <stp>TOPX.FUT04.OS</stp>
        <stp>前日比</stp>
        <tr r="G89" s="1"/>
      </tp>
      <tp>
        <v>0</v>
        <stp/>
        <stp>Market</stp>
        <stp>INDEX</stp>
        <stp>TOPX.FUT05.OS</stp>
        <stp>前日比</stp>
        <tr r="G90" s="1"/>
      </tp>
      <tp>
        <v>70</v>
        <stp/>
        <stp>Market</stp>
        <stp>INDEX</stp>
        <stp>TOPX.FUT02.OS</stp>
        <stp>前日比</stp>
        <tr r="G87" s="1"/>
      </tp>
      <tp>
        <v>0</v>
        <stp/>
        <stp>Market</stp>
        <stp>INDEX</stp>
        <stp>TOPX.FUT03.OS</stp>
        <stp>前日比</stp>
        <tr r="G88" s="1"/>
      </tp>
      <tp>
        <v>-47</v>
        <stp/>
        <stp>Market</stp>
        <stp>INDEX</stp>
        <stp>TOPX.FUT01.OS</stp>
        <stp>前日比</stp>
        <tr r="G86" s="1"/>
      </tp>
    </main>
    <main first="rtdsrv.dff54f4b11dd4e0d9cb19000fb943d8c">
      <tp t="s">
        <v/>
        <stp/>
        <stp>Market</stp>
        <stp>INDEX</stp>
        <stp>MOT.FUT04.OS</stp>
        <stp>指標名称</stp>
        <tr r="B94" s="1"/>
      </tp>
      <tp t="s">
        <v/>
        <stp/>
        <stp>Market</stp>
        <stp>INDEX</stp>
        <stp>MOT.FUT05.OS</stp>
        <stp>指標名称</stp>
        <tr r="B95" s="1"/>
      </tp>
      <tp t="s">
        <v/>
        <stp/>
        <stp>Market</stp>
        <stp>INDEX</stp>
        <stp>MOT.FUT02.OS</stp>
        <stp>指標名称</stp>
        <tr r="B92" s="1"/>
      </tp>
      <tp t="s">
        <v/>
        <stp/>
        <stp>Market</stp>
        <stp>INDEX</stp>
        <stp>MOT.FUT03.OS</stp>
        <stp>指標名称</stp>
        <tr r="B93" s="1"/>
      </tp>
      <tp t="s">
        <v/>
        <stp/>
        <stp>Market</stp>
        <stp>INDEX</stp>
        <stp>MOT.FUT01.OS</stp>
        <stp>指標名称</stp>
        <tr r="B91" s="1"/>
      </tp>
    </main>
    <main first="rtdsrv.dff54f4b11dd4e0d9cb19000fb943d8c">
      <tp t="s">
        <v/>
        <stp/>
        <stp>Market</stp>
        <stp>INDEX</stp>
        <stp>PLATINUM.SPOT.OS</stp>
        <stp>前年終値</stp>
        <tr r="U128" s="1"/>
      </tp>
    </main>
    <main first="rtdsrv.dff54f4b11dd4e0d9cb19000fb943d8c">
      <tp t="s">
        <v>PHLX公益事業・セクター指数</v>
        <stp/>
        <stp>Market</stp>
        <stp>INDEX</stp>
        <stp>UTY</stp>
        <stp>指標名称</stp>
        <tr r="B54" s="1"/>
      </tp>
    </main>
    <main first="rtdsrv.dff54f4b11dd4e0d9cb19000fb943d8c">
      <tp t="s">
        <v>2026/02/28</v>
        <stp/>
        <stp>Market</stp>
        <stp>INDEX</stp>
        <stp>UTY</stp>
        <stp>現在日付</stp>
        <tr r="C54" s="1"/>
      </tp>
    </main>
    <main first="rtdsrv.dff54f4b11dd4e0d9cb19000fb943d8c">
      <tp>
        <v>907.61</v>
        <stp/>
        <stp>Market</stp>
        <stp>INDEX</stp>
        <stp>UTY</stp>
        <stp>前年最安値</stp>
        <tr r="T54" s="1"/>
      </tp>
    </main>
    <main first="rtdsrv.dff54f4b11dd4e0d9cb19000fb943d8c">
      <tp>
        <v>0</v>
        <stp/>
        <stp>Market</stp>
        <stp>INDEX</stp>
        <stp>MOT.FUT05.OS</stp>
        <stp>始値</stp>
        <tr r="K95" s="1"/>
      </tp>
    </main>
    <main first="rtdsrv.dff54f4b11dd4e0d9cb19000fb943d8c">
      <tp t="s">
        <v>2026/02/27</v>
        <stp/>
        <stp>Market</stp>
        <stp>INDEX</stp>
        <stp>MOT.FUT04.OS</stp>
        <stp>現在日付</stp>
        <tr r="C94" s="1"/>
      </tp>
      <tp t="s">
        <v>2026/02/26</v>
        <stp/>
        <stp>Market</stp>
        <stp>INDEX</stp>
        <stp>MOT.FUT05.OS</stp>
        <stp>現在日付</stp>
        <tr r="C95" s="1"/>
      </tp>
      <tp t="s">
        <v>2026/02/28</v>
        <stp/>
        <stp>Market</stp>
        <stp>INDEX</stp>
        <stp>MOT.FUT02.OS</stp>
        <stp>現在日付</stp>
        <tr r="C92" s="1"/>
      </tp>
      <tp t="s">
        <v>2026/02/27</v>
        <stp/>
        <stp>Market</stp>
        <stp>INDEX</stp>
        <stp>MOT.FUT03.OS</stp>
        <stp>現在日付</stp>
        <tr r="C93" s="1"/>
      </tp>
      <tp t="s">
        <v>2026/02/28</v>
        <stp/>
        <stp>Market</stp>
        <stp>INDEX</stp>
        <stp>MOT.FUT01.OS</stp>
        <stp>現在日付</stp>
        <tr r="C91" s="1"/>
      </tp>
    </main>
    <main first="rtdsrv.dff54f4b11dd4e0d9cb19000fb943d8c">
      <tp>
        <v>58210</v>
        <stp/>
        <stp>Market</stp>
        <stp>INDEX</stp>
        <stp>N225.FUT04.OS</stp>
        <stp>安値</stp>
        <tr r="M75" s="1"/>
      </tp>
    </main>
    <main first="rtdsrv.dff54f4b11dd4e0d9cb19000fb943d8c">
      <tp t="s">
        <v/>
        <stp/>
        <stp>Market</stp>
        <stp>INDEX</stp>
        <stp>PLATINUM.SPOT.OS</stp>
        <stp>前年最安値</stp>
        <tr r="T128" s="1"/>
      </tp>
    </main>
    <main first="rtdsrv.dff54f4b11dd4e0d9cb19000fb943d8c">
      <tp t="s">
        <v/>
        <stp/>
        <stp>Market</stp>
        <stp>INDEX</stp>
        <stp>NOK/JPY</stp>
        <stp>売買代金</stp>
        <tr r="R208" s="1"/>
      </tp>
    </main>
    <main first="rtdsrv.dff54f4b11dd4e0d9cb19000fb943d8c">
      <tp>
        <v>0</v>
        <stp/>
        <stp>Market</stp>
        <stp>INDEX</stp>
        <stp>VOLQ</stp>
        <stp>現在値</stp>
        <tr r="E64" s="1"/>
      </tp>
    </main>
    <main first="rtdsrv.dff54f4b11dd4e0d9cb19000fb943d8c">
      <tp>
        <v>3938.68</v>
        <stp/>
        <stp>Market</stp>
        <stp>INDEX</stp>
        <stp>TOPX</stp>
        <stp>現在値</stp>
        <tr r="E4" s="1"/>
      </tp>
    </main>
    <main first="rtdsrv.dff54f4b11dd4e0d9cb19000fb943d8c">
      <tp>
        <v>5265.29</v>
        <stp/>
        <stp>Market</stp>
        <stp>INDEX</stp>
        <stp>NQUSLT</stp>
        <stp>前日終値</stp>
        <tr r="I56" s="1"/>
      </tp>
      <tp>
        <v>0</v>
        <stp/>
        <stp>Market</stp>
        <stp>INDEX</stp>
        <stp>TSGMC</stp>
        <stp>売買代金</stp>
        <tr r="R12" s="1"/>
      </tp>
    </main>
    <main first="rtdsrv.dff54f4b11dd4e0d9cb19000fb943d8c">
      <tp t="s">
        <v/>
        <stp/>
        <stp>Market</stp>
        <stp>INDEX</stp>
        <stp>MXN/JPY</stp>
        <stp>出来高</stp>
        <tr r="Q211" s="1"/>
      </tp>
    </main>
    <main first="rtdsrv.dff54f4b11dd4e0d9cb19000fb943d8c">
      <tp>
        <v>0.2</v>
        <stp/>
        <stp>Market</stp>
        <stp>INDEX</stp>
        <stp>JGB:F</stp>
        <stp>前日比率</stp>
        <tr r="H16" s="1"/>
      </tp>
    </main>
    <main first="rtdsrv.dff54f4b11dd4e0d9cb19000fb943d8c">
      <tp t="s">
        <v/>
        <stp/>
        <stp>Market</stp>
        <stp>INDEX</stp>
        <stp>USD/CHF</stp>
        <stp>年初来高値</stp>
        <tr r="V201" s="1"/>
      </tp>
      <tp t="s">
        <v/>
        <stp/>
        <stp>Market</stp>
        <stp>INDEX</stp>
        <stp>NZD/CHF</stp>
        <stp>年初来高値</stp>
        <tr r="V206" s="1"/>
      </tp>
      <tp t="s">
        <v/>
        <stp/>
        <stp>Market</stp>
        <stp>INDEX</stp>
        <stp>AUD/CHF</stp>
        <stp>年初来高値</stp>
        <tr r="V205" s="1"/>
      </tp>
      <tp t="s">
        <v/>
        <stp/>
        <stp>Market</stp>
        <stp>INDEX</stp>
        <stp>EUR/GBP</stp>
        <stp>年初来高値</stp>
        <tr r="V203" s="1"/>
      </tp>
    </main>
    <main first="rtdsrv.dff54f4b11dd4e0d9cb19000fb943d8c">
      <tp t="s">
        <v/>
        <stp/>
        <stp>Market</stp>
        <stp>INDEX</stp>
        <stp>NZD/CHF</stp>
        <stp>上場来高値</stp>
        <tr r="X206" s="1"/>
      </tp>
      <tp t="s">
        <v/>
        <stp/>
        <stp>Market</stp>
        <stp>INDEX</stp>
        <stp>EUR/GBP</stp>
        <stp>上場来高値</stp>
        <tr r="X203" s="1"/>
      </tp>
      <tp t="s">
        <v/>
        <stp/>
        <stp>Market</stp>
        <stp>INDEX</stp>
        <stp>AUD/CHF</stp>
        <stp>上場来高値</stp>
        <tr r="X205" s="1"/>
      </tp>
      <tp t="s">
        <v/>
        <stp/>
        <stp>Market</stp>
        <stp>INDEX</stp>
        <stp>USD/CHF</stp>
        <stp>上場来高値</stp>
        <tr r="X201" s="1"/>
      </tp>
    </main>
    <main first="rtdsrv.dff54f4b11dd4e0d9cb19000fb943d8c">
      <tp>
        <v>2047.4</v>
        <stp/>
        <stp>Market</stp>
        <stp>INDEX</stp>
        <stp>TREIT</stp>
        <stp>前年最高値</stp>
        <tr r="S15" s="1"/>
      </tp>
      <tp t="s">
        <v/>
        <stp/>
        <stp>Market</stp>
        <stp>INDEX</stp>
        <stp>TOPX.FUT05.OS</stp>
        <stp>指標コード</stp>
        <tr r="A90" s="1"/>
      </tp>
      <tp t="s">
        <v/>
        <stp/>
        <stp>Market</stp>
        <stp>INDEX</stp>
        <stp>PLATINUMMINI.FUT01.OS</stp>
        <stp>指標コード</stp>
        <tr r="A122" s="1"/>
      </tp>
      <tp t="s">
        <v/>
        <stp/>
        <stp>Market</stp>
        <stp>INDEX</stp>
        <stp>TOPX.FUT04.OS</stp>
        <stp>指標コード</stp>
        <tr r="A89" s="1"/>
      </tp>
      <tp t="s">
        <v/>
        <stp/>
        <stp>Market</stp>
        <stp>INDEX</stp>
        <stp>PLATINUMMINI.FUT03.OS</stp>
        <stp>指標コード</stp>
        <tr r="A124" s="1"/>
      </tp>
    </main>
    <main first="rtdsrv.dff54f4b11dd4e0d9cb19000fb943d8c">
      <tp t="s">
        <v/>
        <stp/>
        <stp>Market</stp>
        <stp>INDEX</stp>
        <stp>PLATINUMMINI.FUT02.OS</stp>
        <stp>指標コード</stp>
        <tr r="A123" s="1"/>
      </tp>
      <tp t="s">
        <v/>
        <stp/>
        <stp>Market</stp>
        <stp>INDEX</stp>
        <stp>TOPX.FUT01.OS</stp>
        <stp>指標コード</stp>
        <tr r="A86" s="1"/>
      </tp>
      <tp t="s">
        <v/>
        <stp/>
        <stp>Market</stp>
        <stp>INDEX</stp>
        <stp>PLATINUMMINI.FUT05.OS</stp>
        <stp>指標コード</stp>
        <tr r="A126" s="1"/>
      </tp>
      <tp t="s">
        <v/>
        <stp/>
        <stp>Market</stp>
        <stp>INDEX</stp>
        <stp>PLATINUMMINI.FUT04.OS</stp>
        <stp>指標コード</stp>
        <tr r="A125" s="1"/>
      </tp>
      <tp t="s">
        <v/>
        <stp/>
        <stp>Market</stp>
        <stp>INDEX</stp>
        <stp>TOPX.FUT03.OS</stp>
        <stp>指標コード</stp>
        <tr r="A88" s="1"/>
      </tp>
      <tp t="s">
        <v/>
        <stp/>
        <stp>Market</stp>
        <stp>INDEX</stp>
        <stp>TOPX.FUT02.OS</stp>
        <stp>指標コード</stp>
        <tr r="A87" s="1"/>
      </tp>
      <tp t="s">
        <v/>
        <stp/>
        <stp>Market</stp>
        <stp>INDEX</stp>
        <stp>PLATINUMMINI.FUT06.OS</stp>
        <stp>指標コード</stp>
        <tr r="A127" s="1"/>
      </tp>
      <tp>
        <v>0</v>
        <stp/>
        <stp>Market</stp>
        <stp>INDEX</stp>
        <stp>SILVER.FUT06.OS</stp>
        <stp>高値</stp>
        <tr r="L134" s="1"/>
      </tp>
      <tp t="s">
        <v/>
        <stp/>
        <stp>Market</stp>
        <stp>INDEX</stp>
        <stp>CNH/JPY</stp>
        <stp>売買代金</stp>
        <tr r="R210" s="1"/>
      </tp>
    </main>
    <main first="rtdsrv.dff54f4b11dd4e0d9cb19000fb943d8c">
      <tp>
        <v>12498.81</v>
        <stp/>
        <stp>Market</stp>
        <stp>INDEX</stp>
        <stp>INDS</stp>
        <stp>現在値</stp>
        <tr r="E39" s="1"/>
      </tp>
    </main>
    <main first="rtdsrv.dff54f4b11dd4e0d9cb19000fb943d8c">
      <tp>
        <v>15108.86</v>
        <stp/>
        <stp>Market</stp>
        <stp>INDEX</stp>
        <stp>INSR</stp>
        <stp>現在値</stp>
        <tr r="E41" s="1"/>
      </tp>
    </main>
    <main first="rtdsrv.dff54f4b11dd4e0d9cb19000fb943d8c">
      <tp>
        <v>3681.11</v>
        <stp/>
        <stp>Market</stp>
        <stp>INDEX</stp>
        <stp>NQUSMT</stp>
        <stp>前日終値</stp>
        <tr r="I57" s="1"/>
      </tp>
    </main>
    <main first="rtdsrv.dff54f4b11dd4e0d9cb19000fb943d8c">
      <tp t="s">
        <v/>
        <stp/>
        <stp>Market</stp>
        <stp>INDEX</stp>
        <stp>GBP/USD</stp>
        <stp>高値</stp>
        <tr r="L198" s="1"/>
      </tp>
    </main>
    <main first="rtdsrv.dff54f4b11dd4e0d9cb19000fb943d8c">
      <tp t="s">
        <v/>
        <stp/>
        <stp>Market</stp>
        <stp>INDEX</stp>
        <stp>EUR/USD</stp>
        <stp>高値</stp>
        <tr r="L197" s="1"/>
      </tp>
      <tp t="s">
        <v/>
        <stp/>
        <stp>Market</stp>
        <stp>INDEX</stp>
        <stp>ZAR/JPY</stp>
        <stp>高値</stp>
        <tr r="L192" s="1"/>
      </tp>
    </main>
    <main first="rtdsrv.dff54f4b11dd4e0d9cb19000fb943d8c">
      <tp t="s">
        <v/>
        <stp/>
        <stp>Market</stp>
        <stp>INDEX</stp>
        <stp>USD/CAD</stp>
        <stp>高値</stp>
        <tr r="L212" s="1"/>
      </tp>
      <tp t="s">
        <v/>
        <stp/>
        <stp>Market</stp>
        <stp>INDEX</stp>
        <stp>USD/CHF</stp>
        <stp>高値</stp>
        <tr r="L201" s="1"/>
      </tp>
      <tp t="s">
        <v/>
        <stp/>
        <stp>Market</stp>
        <stp>INDEX</stp>
        <stp>EUR/CHF</stp>
        <stp>出来高</stp>
        <tr r="Q204" s="1"/>
      </tp>
    </main>
    <main first="rtdsrv.dff54f4b11dd4e0d9cb19000fb943d8c">
      <tp t="s">
        <v/>
        <stp/>
        <stp>Market</stp>
        <stp>INDEX</stp>
        <stp>AUD/USD</stp>
        <stp>高値</stp>
        <tr r="L199" s="1"/>
      </tp>
    </main>
    <main first="rtdsrv.dff54f4b11dd4e0d9cb19000fb943d8c">
      <tp t="s">
        <v/>
        <stp/>
        <stp>Market</stp>
        <stp>INDEX</stp>
        <stp>NZD/USD</stp>
        <stp>高値</stp>
        <tr r="L200" s="1"/>
      </tp>
    </main>
    <main first="rtdsrv.dff54f4b11dd4e0d9cb19000fb943d8c">
      <tp>
        <v>5136.6899999999996</v>
        <stp/>
        <stp>Market</stp>
        <stp>INDEX</stp>
        <stp>BANK</stp>
        <stp>年初来高値</stp>
        <tr r="V40" s="1"/>
      </tp>
      <tp t="s">
        <v/>
        <stp/>
        <stp>Market</stp>
        <stp>INDEX</stp>
        <stp>SGD/JPY</stp>
        <stp>高値</stp>
        <tr r="L196" s="1"/>
      </tp>
      <tp t="s">
        <v/>
        <stp/>
        <stp>Market</stp>
        <stp>INDEX</stp>
        <stp>TRY/JPY</stp>
        <stp>高値</stp>
        <tr r="L209" s="1"/>
      </tp>
      <tp t="s">
        <v/>
        <stp/>
        <stp>Market</stp>
        <stp>INDEX</stp>
        <stp>USD/JPY</stp>
        <stp>高値</stp>
        <tr r="L187" s="1"/>
      </tp>
      <tp t="s">
        <v/>
        <stp/>
        <stp>Market</stp>
        <stp>INDEX</stp>
        <stp>GBP/AUD</stp>
        <stp>出来高</stp>
        <tr r="Q214" s="1"/>
      </tp>
      <tp t="s">
        <v/>
        <stp/>
        <stp>Market</stp>
        <stp>INDEX</stp>
        <stp>EUR/GBP</stp>
        <stp>高値</stp>
        <tr r="L203" s="1"/>
      </tp>
      <tp t="s">
        <v/>
        <stp/>
        <stp>Market</stp>
        <stp>INDEX</stp>
        <stp>HKD/JPY</stp>
        <stp>高値</stp>
        <tr r="L195" s="1"/>
      </tp>
      <tp t="s">
        <v/>
        <stp/>
        <stp>Market</stp>
        <stp>INDEX</stp>
        <stp>AUD/CHF</stp>
        <stp>高値</stp>
        <tr r="L205" s="1"/>
      </tp>
      <tp t="s">
        <v/>
        <stp/>
        <stp>Market</stp>
        <stp>INDEX</stp>
        <stp>GBP/AUD</stp>
        <stp>高値</stp>
        <tr r="L214" s="1"/>
      </tp>
      <tp t="s">
        <v/>
        <stp/>
        <stp>Market</stp>
        <stp>INDEX</stp>
        <stp>EUR/CHF</stp>
        <stp>高値</stp>
        <tr r="L204" s="1"/>
      </tp>
      <tp t="s">
        <v/>
        <stp/>
        <stp>Market</stp>
        <stp>INDEX</stp>
        <stp>MXN/JPY</stp>
        <stp>高値</stp>
        <tr r="L211" s="1"/>
      </tp>
      <tp t="s">
        <v/>
        <stp/>
        <stp>Market</stp>
        <stp>INDEX</stp>
        <stp>EUR/AUD</stp>
        <stp>高値</stp>
        <tr r="L213" s="1"/>
      </tp>
      <tp t="s">
        <v/>
        <stp/>
        <stp>Market</stp>
        <stp>INDEX</stp>
        <stp>NZD/JPY</stp>
        <stp>高値</stp>
        <tr r="L191" s="1"/>
      </tp>
      <tp t="s">
        <v/>
        <stp/>
        <stp>Market</stp>
        <stp>INDEX</stp>
        <stp>GBP/CHF</stp>
        <stp>高値</stp>
        <tr r="L202" s="1"/>
      </tp>
      <tp t="s">
        <v/>
        <stp/>
        <stp>Market</stp>
        <stp>INDEX</stp>
        <stp>NOK/JPY</stp>
        <stp>高値</stp>
        <tr r="L208" s="1"/>
      </tp>
      <tp t="s">
        <v/>
        <stp/>
        <stp>Market</stp>
        <stp>INDEX</stp>
        <stp>AUD/JPY</stp>
        <stp>高値</stp>
        <tr r="L190" s="1"/>
      </tp>
      <tp>
        <v>5411.89</v>
        <stp/>
        <stp>Market</stp>
        <stp>INDEX</stp>
        <stp>BANK</stp>
        <stp>上場来高値</stp>
        <tr r="X40" s="1"/>
      </tp>
      <tp t="s">
        <v/>
        <stp/>
        <stp>Market</stp>
        <stp>INDEX</stp>
        <stp>CAD/JPY</stp>
        <stp>高値</stp>
        <tr r="L193" s="1"/>
      </tp>
      <tp t="s">
        <v/>
        <stp/>
        <stp>Market</stp>
        <stp>INDEX</stp>
        <stp>CHF/JPY</stp>
        <stp>高値</stp>
        <tr r="L194" s="1"/>
      </tp>
      <tp t="s">
        <v/>
        <stp/>
        <stp>Market</stp>
        <stp>INDEX</stp>
        <stp>CNH/JPY</stp>
        <stp>高値</stp>
        <tr r="L210" s="1"/>
      </tp>
      <tp t="s">
        <v/>
        <stp/>
        <stp>Market</stp>
        <stp>INDEX</stp>
        <stp>EUR/JPY</stp>
        <stp>高値</stp>
        <tr r="L188" s="1"/>
      </tp>
      <tp t="s">
        <v/>
        <stp/>
        <stp>Market</stp>
        <stp>INDEX</stp>
        <stp>AUD/NZD</stp>
        <stp>高値</stp>
        <tr r="L207" s="1"/>
      </tp>
    </main>
    <main first="rtdsrv.dff54f4b11dd4e0d9cb19000fb943d8c">
      <tp t="s">
        <v/>
        <stp/>
        <stp>Market</stp>
        <stp>INDEX</stp>
        <stp>GBP/JPY</stp>
        <stp>高値</stp>
        <tr r="L189" s="1"/>
      </tp>
      <tp t="s">
        <v/>
        <stp/>
        <stp>Market</stp>
        <stp>INDEX</stp>
        <stp>NZD/CHF</stp>
        <stp>高値</stp>
        <tr r="L206" s="1"/>
      </tp>
    </main>
    <main first="rtdsrv.dff54f4b11dd4e0d9cb19000fb943d8c">
      <tp>
        <v>1619.43</v>
        <stp/>
        <stp>Market</stp>
        <stp>INDEX</stp>
        <stp>TSM20</stp>
        <stp>年初来高値</stp>
        <tr r="V11" s="1"/>
      </tp>
      <tp>
        <v>9770.2099999999991</v>
        <stp/>
        <stp>Market</stp>
        <stp>INDEX</stp>
        <stp>HSCEI</stp>
        <stp>前年最高値</stp>
        <tr r="S66" s="1"/>
      </tp>
      <tp>
        <v>4432.6000000000004</v>
        <stp/>
        <stp>Market</stp>
        <stp>INDEX</stp>
        <stp>HSCCI</stp>
        <stp>前年最高値</stp>
        <tr r="S67" s="1"/>
      </tp>
    </main>
    <main first="rtdsrv.dff54f4b11dd4e0d9cb19000fb943d8c">
      <tp>
        <v>1619.43</v>
        <stp/>
        <stp>Market</stp>
        <stp>INDEX</stp>
        <stp>TSM20</stp>
        <stp>上場来高値</stp>
        <tr r="X11" s="1"/>
      </tp>
      <tp>
        <v>58705</v>
        <stp/>
        <stp>Market</stp>
        <stp>INDEX</stp>
        <stp>N225U.FUT03.OS</stp>
        <stp>前日終値</stp>
        <tr r="I84" s="1"/>
      </tp>
      <tp>
        <v>58765</v>
        <stp/>
        <stp>Market</stp>
        <stp>INDEX</stp>
        <stp>N225U.FUT02.OS</stp>
        <stp>前日終値</stp>
        <tr r="I83" s="1"/>
      </tp>
      <tp>
        <v>59095</v>
        <stp/>
        <stp>Market</stp>
        <stp>INDEX</stp>
        <stp>N225U.FUT01.OS</stp>
        <stp>前日終値</stp>
        <tr r="I82" s="1"/>
      </tp>
      <tp>
        <v>58900</v>
        <stp/>
        <stp>Market</stp>
        <stp>INDEX</stp>
        <stp>N225U.FUT04.OS</stp>
        <stp>前日終値</stp>
        <tr r="I85" s="1"/>
      </tp>
      <tp t="s">
        <v/>
        <stp/>
        <stp>Market</stp>
        <stp>INDEX</stp>
        <stp>AUD/CHF</stp>
        <stp>売買代金</stp>
        <tr r="R205" s="1"/>
      </tp>
      <tp>
        <v>0</v>
        <stp/>
        <stp>Market</stp>
        <stp>INDEX</stp>
        <stp>JN400.FUT02.OS</stp>
        <stp>売買代金</stp>
        <tr r="R97" s="1"/>
      </tp>
      <tp>
        <v>0</v>
        <stp/>
        <stp>Market</stp>
        <stp>INDEX</stp>
        <stp>JN400.FUT03.OS</stp>
        <stp>売買代金</stp>
        <tr r="R98" s="1"/>
      </tp>
      <tp>
        <v>8441541</v>
        <stp/>
        <stp>Market</stp>
        <stp>INDEX</stp>
        <stp>JN400.FUT01.OS</stp>
        <stp>売買代金</stp>
        <tr r="R96" s="1"/>
      </tp>
      <tp>
        <v>0</v>
        <stp/>
        <stp>Market</stp>
        <stp>INDEX</stp>
        <stp>JN400.FUT04.OS</stp>
        <stp>売買代金</stp>
        <tr r="R99" s="1"/>
      </tp>
      <tp>
        <v>0</v>
        <stp/>
        <stp>Market</stp>
        <stp>INDEX</stp>
        <stp>JN400.FUT05.OS</stp>
        <stp>売買代金</stp>
        <tr r="R100" s="1"/>
      </tp>
      <tp t="s">
        <v/>
        <stp/>
        <stp>Market</stp>
        <stp>INDEX</stp>
        <stp>EUR/CHF</stp>
        <stp>売買代金</stp>
        <tr r="R204" s="1"/>
      </tp>
      <tp t="s">
        <v>07:15</v>
        <stp/>
        <stp>Market</stp>
        <stp>INDEX</stp>
        <stp>NQ</stp>
        <stp>更新時刻</stp>
        <tr r="D21" s="1"/>
      </tp>
    </main>
    <main first="rtdsrv.dff54f4b11dd4e0d9cb19000fb943d8c">
      <tp t="s">
        <v>2026/02/27</v>
        <stp/>
        <stp>Market</stp>
        <stp>INDEX</stp>
        <stp>N225M.FUT05.OS</stp>
        <stp>前日日付</stp>
        <tr r="J81" s="1"/>
      </tp>
      <tp t="s">
        <v>2026/02/27</v>
        <stp/>
        <stp>Market</stp>
        <stp>INDEX</stp>
        <stp>N225M.FUT04.OS</stp>
        <stp>前日日付</stp>
        <tr r="J80" s="1"/>
      </tp>
      <tp t="s">
        <v>2026/02/27</v>
        <stp/>
        <stp>Market</stp>
        <stp>INDEX</stp>
        <stp>N225M.FUT03.OS</stp>
        <stp>前日日付</stp>
        <tr r="J79" s="1"/>
      </tp>
      <tp t="s">
        <v>2026/02/27</v>
        <stp/>
        <stp>Market</stp>
        <stp>INDEX</stp>
        <stp>N225M.FUT02.OS</stp>
        <stp>前日日付</stp>
        <tr r="J78" s="1"/>
      </tp>
      <tp t="s">
        <v>2026/02/27</v>
        <stp/>
        <stp>Market</stp>
        <stp>INDEX</stp>
        <stp>N225M.FUT01.OS</stp>
        <stp>前日日付</stp>
        <tr r="J77" s="1"/>
      </tp>
      <tp t="s">
        <v/>
        <stp/>
        <stp>Market</stp>
        <stp>INDEX</stp>
        <stp>NZD/USD</stp>
        <stp>年初来高値</stp>
        <tr r="V200" s="1"/>
      </tp>
      <tp t="s">
        <v/>
        <stp/>
        <stp>Market</stp>
        <stp>INDEX</stp>
        <stp>TRY/JPY</stp>
        <stp>年初来高値</stp>
        <tr r="V209" s="1"/>
      </tp>
      <tp t="s">
        <v/>
        <stp/>
        <stp>Market</stp>
        <stp>INDEX</stp>
        <stp>AUD/USD</stp>
        <stp>年初来高値</stp>
        <tr r="V199" s="1"/>
      </tp>
      <tp t="s">
        <v/>
        <stp/>
        <stp>Market</stp>
        <stp>INDEX</stp>
        <stp>USD/CAD</stp>
        <stp>年初来高値</stp>
        <tr r="V212" s="1"/>
      </tp>
      <tp t="s">
        <v/>
        <stp/>
        <stp>Market</stp>
        <stp>INDEX</stp>
        <stp>AUD/NZD</stp>
        <stp>年初来高値</stp>
        <tr r="V207" s="1"/>
      </tp>
    </main>
    <main first="rtdsrv.dff54f4b11dd4e0d9cb19000fb943d8c">
      <tp t="s">
        <v/>
        <stp/>
        <stp>Market</stp>
        <stp>INDEX</stp>
        <stp>AUD/NZD</stp>
        <stp>上場来高値</stp>
        <tr r="X207" s="1"/>
      </tp>
      <tp t="s">
        <v/>
        <stp/>
        <stp>Market</stp>
        <stp>INDEX</stp>
        <stp>TRY/JPY</stp>
        <stp>上場来高値</stp>
        <tr r="X209" s="1"/>
      </tp>
      <tp t="s">
        <v/>
        <stp/>
        <stp>Market</stp>
        <stp>INDEX</stp>
        <stp>NZD/USD</stp>
        <stp>上場来高値</stp>
        <tr r="X200" s="1"/>
      </tp>
      <tp t="s">
        <v/>
        <stp/>
        <stp>Market</stp>
        <stp>INDEX</stp>
        <stp>AUD/USD</stp>
        <stp>上場来高値</stp>
        <tr r="X199" s="1"/>
      </tp>
      <tp t="s">
        <v/>
        <stp/>
        <stp>Market</stp>
        <stp>INDEX</stp>
        <stp>USD/CAD</stp>
        <stp>上場来高値</stp>
        <tr r="X212" s="1"/>
      </tp>
    </main>
    <main first="rtdsrv.dff54f4b11dd4e0d9cb19000fb943d8c">
      <tp>
        <v>435</v>
        <stp/>
        <stp>Market</stp>
        <stp>INDEX</stp>
        <stp>SILVER.FUT04.OS</stp>
        <stp>高値</stp>
        <tr r="L132" s="1"/>
      </tp>
      <tp>
        <v>0</v>
        <stp/>
        <stp>Market</stp>
        <stp>INDEX</stp>
        <stp>TCWSI</stp>
        <stp>現在値</stp>
        <tr r="E101" s="1"/>
      </tp>
    </main>
    <main first="rtdsrv.dff54f4b11dd4e0d9cb19000fb943d8c">
      <tp>
        <v>0</v>
        <stp/>
        <stp>Market</stp>
        <stp>INDEX</stp>
        <stp>FTSECA50</stp>
        <stp>前日終値</stp>
        <tr r="I102" s="1"/>
      </tp>
    </main>
    <main first="rtdsrv.dff54f4b11dd4e0d9cb19000fb943d8c">
      <tp t="s">
        <v/>
        <stp/>
        <stp>Market</stp>
        <stp>INDEX</stp>
        <stp>NOK/JPY</stp>
        <stp>出来高</stp>
        <tr r="Q208" s="1"/>
      </tp>
    </main>
    <main first="rtdsrv.dff54f4b11dd4e0d9cb19000fb943d8c">
      <tp>
        <v>1795.37</v>
        <stp/>
        <stp>Market</stp>
        <stp>INDEX</stp>
        <stp>SIXI</stp>
        <stp>上場来高値</stp>
        <tr r="X34" s="1"/>
      </tp>
    </main>
    <main first="rtdsrv.dff54f4b11dd4e0d9cb19000fb943d8c">
      <tp t="s">
        <v/>
        <stp/>
        <stp>Market</stp>
        <stp>INDEX</stp>
        <stp>GBP/CHF</stp>
        <stp>出来高</stp>
        <tr r="Q202" s="1"/>
      </tp>
      <tp t="s">
        <v/>
        <stp/>
        <stp>Market</stp>
        <stp>INDEX</stp>
        <stp>NZD/JPY</stp>
        <stp>出来高</stp>
        <tr r="Q191" s="1"/>
      </tp>
      <tp t="s">
        <v/>
        <stp/>
        <stp>Market</stp>
        <stp>INDEX</stp>
        <stp>EUR/AUD</stp>
        <stp>出来高</stp>
        <tr r="Q213" s="1"/>
      </tp>
      <tp>
        <v>1795.37</v>
        <stp/>
        <stp>Market</stp>
        <stp>INDEX</stp>
        <stp>SIXI</stp>
        <stp>年初来高値</stp>
        <tr r="V34" s="1"/>
      </tp>
    </main>
    <main first="rtdsrv.dff54f4b11dd4e0d9cb19000fb943d8c">
      <tp t="s">
        <v/>
        <stp/>
        <stp>Market</stp>
        <stp>INDEX</stp>
        <stp>SILVER.FUT05.OS</stp>
        <stp>年初来高値</stp>
        <tr r="V133" s="1"/>
      </tp>
      <tp t="s">
        <v/>
        <stp/>
        <stp>Market</stp>
        <stp>INDEX</stp>
        <stp>SILVER.FUT04.OS</stp>
        <stp>年初来高値</stp>
        <tr r="V132" s="1"/>
      </tp>
      <tp t="s">
        <v/>
        <stp/>
        <stp>Market</stp>
        <stp>INDEX</stp>
        <stp>SILVER.FUT06.OS</stp>
        <stp>年初来高値</stp>
        <tr r="V134" s="1"/>
      </tp>
      <tp t="s">
        <v/>
        <stp/>
        <stp>Market</stp>
        <stp>INDEX</stp>
        <stp>SILVER.FUT01.OS</stp>
        <stp>年初来高値</stp>
        <tr r="V129" s="1"/>
      </tp>
      <tp t="s">
        <v/>
        <stp/>
        <stp>Market</stp>
        <stp>INDEX</stp>
        <stp>SILVER.FUT03.OS</stp>
        <stp>年初来高値</stp>
        <tr r="V131" s="1"/>
      </tp>
      <tp t="s">
        <v/>
        <stp/>
        <stp>Market</stp>
        <stp>INDEX</stp>
        <stp>SILVER.FUT02.OS</stp>
        <stp>年初来高値</stp>
        <tr r="V130" s="1"/>
      </tp>
      <tp t="s">
        <v/>
        <stp/>
        <stp>Market</stp>
        <stp>INDEX</stp>
        <stp>SILVER.FUT05.OS</stp>
        <stp>上場来高値</stp>
        <tr r="X133" s="1"/>
      </tp>
      <tp t="s">
        <v/>
        <stp/>
        <stp>Market</stp>
        <stp>INDEX</stp>
        <stp>SILVER.FUT04.OS</stp>
        <stp>上場来高値</stp>
        <tr r="X132" s="1"/>
      </tp>
    </main>
    <main first="rtdsrv.dff54f4b11dd4e0d9cb19000fb943d8c">
      <tp t="s">
        <v/>
        <stp/>
        <stp>Market</stp>
        <stp>INDEX</stp>
        <stp>SILVER.FUT06.OS</stp>
        <stp>上場来高値</stp>
        <tr r="X134" s="1"/>
      </tp>
      <tp t="s">
        <v/>
        <stp/>
        <stp>Market</stp>
        <stp>INDEX</stp>
        <stp>SILVER.FUT01.OS</stp>
        <stp>上場来高値</stp>
        <tr r="X129" s="1"/>
      </tp>
      <tp t="s">
        <v/>
        <stp/>
        <stp>Market</stp>
        <stp>INDEX</stp>
        <stp>SILVER.FUT03.OS</stp>
        <stp>上場来高値</stp>
        <tr r="X131" s="1"/>
      </tp>
      <tp t="s">
        <v/>
        <stp/>
        <stp>Market</stp>
        <stp>INDEX</stp>
        <stp>SILVER.FUT02.OS</stp>
        <stp>上場来高値</stp>
        <tr r="X130" s="1"/>
      </tp>
      <tp t="s">
        <v/>
        <stp/>
        <stp>Market</stp>
        <stp>INDEX</stp>
        <stp>N225U.FUT04.OS</stp>
        <stp>前年最高値</stp>
        <tr r="S85" s="1"/>
      </tp>
      <tp t="s">
        <v/>
        <stp/>
        <stp>Market</stp>
        <stp>INDEX</stp>
        <stp>N225M.FUT04.OS</stp>
        <stp>前年最高値</stp>
        <tr r="S80" s="1"/>
      </tp>
      <tp t="s">
        <v/>
        <stp/>
        <stp>Market</stp>
        <stp>INDEX</stp>
        <stp>N225M.FUT05.OS</stp>
        <stp>前年最高値</stp>
        <tr r="S81" s="1"/>
      </tp>
      <tp t="s">
        <v/>
        <stp/>
        <stp>Market</stp>
        <stp>INDEX</stp>
        <stp>N225U.FUT02.OS</stp>
        <stp>前年最高値</stp>
        <tr r="S83" s="1"/>
      </tp>
      <tp t="s">
        <v/>
        <stp/>
        <stp>Market</stp>
        <stp>INDEX</stp>
        <stp>N225M.FUT02.OS</stp>
        <stp>前年最高値</stp>
        <tr r="S78" s="1"/>
      </tp>
      <tp t="s">
        <v/>
        <stp/>
        <stp>Market</stp>
        <stp>INDEX</stp>
        <stp>N225U.FUT03.OS</stp>
        <stp>前年最高値</stp>
        <tr r="S84" s="1"/>
      </tp>
      <tp t="s">
        <v/>
        <stp/>
        <stp>Market</stp>
        <stp>INDEX</stp>
        <stp>N225M.FUT03.OS</stp>
        <stp>前年最高値</stp>
        <tr r="S79" s="1"/>
      </tp>
      <tp t="s">
        <v/>
        <stp/>
        <stp>Market</stp>
        <stp>INDEX</stp>
        <stp>N225U.FUT01.OS</stp>
        <stp>前年最高値</stp>
        <tr r="S82" s="1"/>
      </tp>
      <tp t="s">
        <v/>
        <stp/>
        <stp>Market</stp>
        <stp>INDEX</stp>
        <stp>N225M.FUT01.OS</stp>
        <stp>前年最高値</stp>
        <tr r="S77" s="1"/>
      </tp>
    </main>
    <main first="rtdsrv.dff54f4b11dd4e0d9cb19000fb943d8c">
      <tp t="s">
        <v/>
        <stp/>
        <stp>Market</stp>
        <stp>INDEX</stp>
        <stp>N225.FUT05.OS</stp>
        <stp>前年最高値</stp>
        <tr r="S76" s="1"/>
      </tp>
      <tp t="s">
        <v/>
        <stp/>
        <stp>Market</stp>
        <stp>INDEX</stp>
        <stp>N225.FUT04.OS</stp>
        <stp>前年最高値</stp>
        <tr r="S75" s="1"/>
      </tp>
      <tp t="s">
        <v/>
        <stp/>
        <stp>Market</stp>
        <stp>INDEX</stp>
        <stp>N225.FUT01.OS</stp>
        <stp>前年最高値</stp>
        <tr r="S72" s="1"/>
      </tp>
      <tp t="s">
        <v/>
        <stp/>
        <stp>Market</stp>
        <stp>INDEX</stp>
        <stp>N225.FUT03.OS</stp>
        <stp>前年最高値</stp>
        <tr r="S74" s="1"/>
      </tp>
      <tp t="s">
        <v>N225</v>
        <stp/>
        <stp>Market</stp>
        <stp>INDEX</stp>
        <stp>N225</stp>
        <stp>指標コード</stp>
        <tr r="A2" s="1"/>
      </tp>
      <tp t="s">
        <v/>
        <stp/>
        <stp>Market</stp>
        <stp>INDEX</stp>
        <stp>N225.FUT02.OS</stp>
        <stp>前年最高値</stp>
        <tr r="S73" s="1"/>
      </tp>
      <tp>
        <v>455.6</v>
        <stp/>
        <stp>Market</stp>
        <stp>INDEX</stp>
        <stp>SILVER.FUT05.OS</stp>
        <stp>高値</stp>
        <tr r="L133" s="1"/>
      </tp>
    </main>
    <main first="rtdsrv.dff54f4b11dd4e0d9cb19000fb943d8c">
      <tp t="s">
        <v/>
        <stp/>
        <stp>Market</stp>
        <stp>INDEX</stp>
        <stp>USD/CHF</stp>
        <stp>売買代金</stp>
        <tr r="R201" s="1"/>
      </tp>
      <tp t="s">
        <v/>
        <stp/>
        <stp>Market</stp>
        <stp>INDEX</stp>
        <stp>HKD/JPY</stp>
        <stp>売買代金</stp>
        <tr r="R195" s="1"/>
      </tp>
    </main>
    <main first="rtdsrv.dff54f4b11dd4e0d9cb19000fb943d8c">
      <tp>
        <v>0</v>
        <stp/>
        <stp>Market</stp>
        <stp>INDEX</stp>
        <stp>TREIT</stp>
        <stp>売買代金</stp>
        <tr r="R15" s="1"/>
      </tp>
    </main>
    <main first="rtdsrv.dff54f4b11dd4e0d9cb19000fb943d8c">
      <tp>
        <v>14017.68</v>
        <stp/>
        <stp>Market</stp>
        <stp>INDEX</stp>
        <stp>OFIN</stp>
        <stp>年初来高値</stp>
        <tr r="V42" s="1"/>
      </tp>
    </main>
    <main first="rtdsrv.dff54f4b11dd4e0d9cb19000fb943d8c">
      <tp>
        <v>760</v>
        <stp/>
        <stp>Market</stp>
        <stp>INDEX</stp>
        <stp>PLATINUM.SPOT.OS</stp>
        <stp>出来高</stp>
        <tr r="Q128" s="1"/>
      </tp>
    </main>
    <main first="rtdsrv.dff54f4b11dd4e0d9cb19000fb943d8c">
      <tp>
        <v>8778.52</v>
        <stp/>
        <stp>Market</stp>
        <stp>INDEX</stp>
        <stp>TRAN</stp>
        <stp>上場来高値</stp>
        <tr r="X43" s="1"/>
      </tp>
      <tp t="s">
        <v/>
        <stp/>
        <stp>Market</stp>
        <stp>INDEX</stp>
        <stp>TCWSI</stp>
        <stp>指標コード</stp>
        <tr r="A101" s="1"/>
      </tp>
      <tp>
        <v>0</v>
        <stp/>
        <stp>Market</stp>
        <stp>INDEX</stp>
        <stp>REDBEAN.FUT01.OS</stp>
        <stp>出来高</stp>
        <tr r="Q165" s="1"/>
      </tp>
      <tp>
        <v>0</v>
        <stp/>
        <stp>Market</stp>
        <stp>INDEX</stp>
        <stp>REDBEAN.FUT03.OS</stp>
        <stp>出来高</stp>
        <tr r="Q167" s="1"/>
      </tp>
      <tp>
        <v>0</v>
        <stp/>
        <stp>Market</stp>
        <stp>INDEX</stp>
        <stp>REDBEAN.FUT02.OS</stp>
        <stp>出来高</stp>
        <tr r="Q166" s="1"/>
      </tp>
      <tp>
        <v>0</v>
        <stp/>
        <stp>Market</stp>
        <stp>INDEX</stp>
        <stp>REDBEAN.FUT05.OS</stp>
        <stp>出来高</stp>
        <tr r="Q169" s="1"/>
      </tp>
      <tp>
        <v>0</v>
        <stp/>
        <stp>Market</stp>
        <stp>INDEX</stp>
        <stp>REDBEAN.FUT04.OS</stp>
        <stp>出来高</stp>
        <tr r="Q168" s="1"/>
      </tp>
      <tp>
        <v>0</v>
        <stp/>
        <stp>Market</stp>
        <stp>INDEX</stp>
        <stp>REDBEAN.FUT06.OS</stp>
        <stp>出来高</stp>
        <tr r="Q170" s="1"/>
      </tp>
      <tp>
        <v>15025.5</v>
        <stp/>
        <stp>Market</stp>
        <stp>INDEX</stp>
        <stp>OFIN</stp>
        <stp>上場来高値</stp>
        <tr r="X42" s="1"/>
      </tp>
      <tp>
        <v>8778.52</v>
        <stp/>
        <stp>Market</stp>
        <stp>INDEX</stp>
        <stp>TRAN</stp>
        <stp>年初来高値</stp>
        <tr r="V43" s="1"/>
      </tp>
    </main>
    <main first="rtdsrv.dff54f4b11dd4e0d9cb19000fb943d8c">
      <tp t="s">
        <v>2026/02/26</v>
        <stp/>
        <stp>Market</stp>
        <stp>INDEX</stp>
        <stp>JN400</stp>
        <stp>前日日付</stp>
        <tr r="J5" s="1"/>
      </tp>
      <tp t="s">
        <v>2026/02/26</v>
        <stp/>
        <stp>Market</stp>
        <stp>INDEX</stp>
        <stp>NQ100</stp>
        <stp>前日日付</stp>
        <tr r="J22" s="1"/>
      </tp>
      <tp t="s">
        <v>2026/02/26</v>
        <stp/>
        <stp>Market</stp>
        <stp>INDEX</stp>
        <stp>SP500</stp>
        <stp>前日日付</stp>
        <tr r="J24" s="1"/>
      </tp>
      <tp t="s">
        <v>2026/02/26</v>
        <stp/>
        <stp>Market</stp>
        <stp>INDEX</stp>
        <stp>SP100</stp>
        <stp>前日日付</stp>
        <tr r="J23" s="1"/>
      </tp>
    </main>
    <main first="rtdsrv.dff54f4b11dd4e0d9cb19000fb943d8c">
      <tp>
        <v>0</v>
        <stp/>
        <stp>Market</stp>
        <stp>INDEX</stp>
        <stp>SILVER.FUT02.OS</stp>
        <stp>高値</stp>
        <tr r="L130" s="1"/>
      </tp>
    </main>
    <main first="rtdsrv.dff54f4b11dd4e0d9cb19000fb943d8c">
      <tp>
        <v>48977.919999999998</v>
        <stp/>
        <stp>Market</stp>
        <stp>INDEX</stp>
        <stp>DJIA</stp>
        <stp>現在値</stp>
        <tr r="E20" s="1"/>
      </tp>
    </main>
    <main first="rtdsrv.dff54f4b11dd4e0d9cb19000fb943d8c">
      <tp>
        <v>23500.6</v>
        <stp/>
        <stp>Market</stp>
        <stp>INDEX</stp>
        <stp>IXCO</stp>
        <stp>年初来高値</stp>
        <tr r="V45" s="1"/>
      </tp>
    </main>
    <main first="rtdsrv.dff54f4b11dd4e0d9cb19000fb943d8c">
      <tp t="s">
        <v/>
        <stp/>
        <stp>Market</stp>
        <stp>INDEX</stp>
        <stp>HKD/JPY</stp>
        <stp>出来高</stp>
        <tr r="Q195" s="1"/>
      </tp>
    </main>
    <main first="rtdsrv.dff54f4b11dd4e0d9cb19000fb943d8c">
      <tp t="s">
        <v/>
        <stp/>
        <stp>Market</stp>
        <stp>INDEX</stp>
        <stp>AUD/CHF</stp>
        <stp>出来高</stp>
        <tr r="Q205" s="1"/>
      </tp>
    </main>
    <main first="rtdsrv.dff54f4b11dd4e0d9cb19000fb943d8c">
      <tp t="s">
        <v/>
        <stp/>
        <stp>Market</stp>
        <stp>INDEX</stp>
        <stp>EUR/GBP</stp>
        <stp>出来高</stp>
        <tr r="Q203" s="1"/>
      </tp>
      <tp>
        <v>23913.56</v>
        <stp/>
        <stp>Market</stp>
        <stp>INDEX</stp>
        <stp>IXCO</stp>
        <stp>上場来高値</stp>
        <tr r="X45" s="1"/>
      </tp>
      <tp t="s">
        <v/>
        <stp/>
        <stp>Market</stp>
        <stp>INDEX</stp>
        <stp>N225.FUT01.C</stp>
        <stp>前年最高値</stp>
        <tr r="S183" s="1"/>
      </tp>
      <tp t="s">
        <v/>
        <stp/>
        <stp>Market</stp>
        <stp>INDEX</stp>
        <stp>N225.FUT02.C</stp>
        <stp>前年最高値</stp>
        <tr r="S184" s="1"/>
      </tp>
    </main>
    <main first="rtdsrv.dff54f4b11dd4e0d9cb19000fb943d8c">
      <tp>
        <v>1727.56</v>
        <stp/>
        <stp>Market</stp>
        <stp>INDEX</stp>
        <stp>EMCLOUD</stp>
        <stp>年初来高値</stp>
        <tr r="V62" s="1"/>
      </tp>
    </main>
    <main first="rtdsrv.dff54f4b11dd4e0d9cb19000fb943d8c">
      <tp>
        <v>3104.94</v>
        <stp/>
        <stp>Market</stp>
        <stp>INDEX</stp>
        <stp>EMCLOUD</stp>
        <stp>上場来高値</stp>
        <tr r="X62" s="1"/>
      </tp>
    </main>
    <main first="rtdsrv.dff54f4b11dd4e0d9cb19000fb943d8c">
      <tp>
        <v>0</v>
        <stp/>
        <stp>Market</stp>
        <stp>INDEX</stp>
        <stp>SILVER.FUT03.OS</stp>
        <stp>高値</stp>
        <tr r="L131" s="1"/>
      </tp>
    </main>
    <main first="rtdsrv.dff54f4b11dd4e0d9cb19000fb943d8c">
      <tp>
        <v>908.55</v>
        <stp/>
        <stp>Market</stp>
        <stp>INDEX</stp>
        <stp>SIXR</stp>
        <stp>現在値</stp>
        <tr r="E35" s="1"/>
      </tp>
      <tp>
        <v>962.82</v>
        <stp/>
        <stp>Market</stp>
        <stp>INDEX</stp>
        <stp>SIXU</stp>
        <stp>現在値</stp>
        <tr r="E31" s="1"/>
      </tp>
      <tp>
        <v>2793.97</v>
        <stp/>
        <stp>Market</stp>
        <stp>INDEX</stp>
        <stp>SIXT</stp>
        <stp>現在値</stp>
        <tr r="E36" s="1"/>
      </tp>
      <tp>
        <v>1616.5</v>
        <stp/>
        <stp>Market</stp>
        <stp>INDEX</stp>
        <stp>SIXV</stp>
        <stp>現在値</stp>
        <tr r="E37" s="1"/>
      </tp>
      <tp>
        <v>2361.33</v>
        <stp/>
        <stp>Market</stp>
        <stp>INDEX</stp>
        <stp>SIXY</stp>
        <stp>現在値</stp>
        <tr r="E32" s="1"/>
      </tp>
      <tp>
        <v>616.55999999999995</v>
        <stp/>
        <stp>Market</stp>
        <stp>INDEX</stp>
        <stp>SIXC</stp>
        <stp>現在値</stp>
        <tr r="E33" s="1"/>
      </tp>
      <tp>
        <v>1133.51</v>
        <stp/>
        <stp>Market</stp>
        <stp>INDEX</stp>
        <stp>SIXB</stp>
        <stp>現在値</stp>
        <tr r="E27" s="1"/>
      </tp>
      <tp>
        <v>1170.25</v>
        <stp/>
        <stp>Market</stp>
        <stp>INDEX</stp>
        <stp>SIXE</stp>
        <stp>現在値</stp>
        <tr r="E28" s="1"/>
      </tp>
      <tp>
        <v>1784.64</v>
        <stp/>
        <stp>Market</stp>
        <stp>INDEX</stp>
        <stp>SIXI</stp>
        <stp>現在値</stp>
        <tr r="E34" s="1"/>
      </tp>
      <tp>
        <v>632.86</v>
        <stp/>
        <stp>Market</stp>
        <stp>INDEX</stp>
        <stp>SIXM</stp>
        <stp>現在値</stp>
        <tr r="E29" s="1"/>
      </tp>
    </main>
    <main first="rtdsrv.dff54f4b11dd4e0d9cb19000fb943d8c">
      <tp>
        <v>196915</v>
        <stp/>
        <stp>Market</stp>
        <stp>INDEX</stp>
        <stp>TOPX.FUT02.OS</stp>
        <stp>売買代金</stp>
        <tr r="R87" s="1"/>
      </tp>
      <tp>
        <v>0</v>
        <stp/>
        <stp>Market</stp>
        <stp>INDEX</stp>
        <stp>TOPX.FUT03.OS</stp>
        <stp>売買代金</stp>
        <tr r="R88" s="1"/>
      </tp>
      <tp>
        <v>773138115</v>
        <stp/>
        <stp>Market</stp>
        <stp>INDEX</stp>
        <stp>TOPX.FUT01.OS</stp>
        <stp>売買代金</stp>
        <tr r="R86" s="1"/>
      </tp>
      <tp>
        <v>0</v>
        <stp/>
        <stp>Market</stp>
        <stp>INDEX</stp>
        <stp>TOPX.FUT04.OS</stp>
        <stp>売買代金</stp>
        <tr r="R89" s="1"/>
      </tp>
      <tp>
        <v>0</v>
        <stp/>
        <stp>Market</stp>
        <stp>INDEX</stp>
        <stp>TOPX.FUT05.OS</stp>
        <stp>売買代金</stp>
        <tr r="R90" s="1"/>
      </tp>
    </main>
    <main first="rtdsrv.dff54f4b11dd4e0d9cb19000fb943d8c">
      <tp t="s">
        <v/>
        <stp/>
        <stp>Market</stp>
        <stp>INDEX</stp>
        <stp>TSR20.FUT12.OS</stp>
        <stp>年初来高値</stp>
        <tr r="V164" s="1"/>
      </tp>
    </main>
    <main first="rtdsrv.dff54f4b11dd4e0d9cb19000fb943d8c">
      <tp t="s">
        <v/>
        <stp/>
        <stp>Market</stp>
        <stp>INDEX</stp>
        <stp>TSR20.FUT10.OS</stp>
        <stp>年初来高値</stp>
        <tr r="V162" s="1"/>
      </tp>
    </main>
    <main first="rtdsrv.dff54f4b11dd4e0d9cb19000fb943d8c">
      <tp t="s">
        <v/>
        <stp/>
        <stp>Market</stp>
        <stp>INDEX</stp>
        <stp>TSR20.FUT11.OS</stp>
        <stp>年初来高値</stp>
        <tr r="V163" s="1"/>
      </tp>
      <tp t="s">
        <v/>
        <stp/>
        <stp>Market</stp>
        <stp>INDEX</stp>
        <stp>TSR20.FUT12.OS</stp>
        <stp>上場来高値</stp>
        <tr r="X164" s="1"/>
      </tp>
      <tp t="s">
        <v/>
        <stp/>
        <stp>Market</stp>
        <stp>INDEX</stp>
        <stp>TSR20.FUT10.OS</stp>
        <stp>上場来高値</stp>
        <tr r="X162" s="1"/>
      </tp>
      <tp t="s">
        <v/>
        <stp/>
        <stp>Market</stp>
        <stp>INDEX</stp>
        <stp>TSR20.FUT11.OS</stp>
        <stp>上場来高値</stp>
        <tr r="X163" s="1"/>
      </tp>
    </main>
    <main first="rtdsrv.dff54f4b11dd4e0d9cb19000fb943d8c">
      <tp t="s">
        <v>CSI300</v>
        <stp/>
        <stp>Market</stp>
        <stp>INDEX</stp>
        <stp>CSI300</stp>
        <stp>指標コード</stp>
        <tr r="A71" s="1"/>
      </tp>
    </main>
    <main first="rtdsrv.dff54f4b11dd4e0d9cb19000fb943d8c">
      <tp t="s">
        <v>2026/02/26</v>
        <stp/>
        <stp>Market</stp>
        <stp>INDEX</stp>
        <stp>TSM20</stp>
        <stp>前日日付</stp>
        <tr r="J11" s="1"/>
      </tp>
    </main>
    <main first="rtdsrv.dff54f4b11dd4e0d9cb19000fb943d8c">
      <tp t="s">
        <v/>
        <stp/>
        <stp>Market</stp>
        <stp>INDEX</stp>
        <stp>RSS3.FUT09.OS</stp>
        <stp>指標コード</stp>
        <tr r="A149" s="1"/>
      </tp>
      <tp t="s">
        <v/>
        <stp/>
        <stp>Market</stp>
        <stp>INDEX</stp>
        <stp>RSS3.FUT08.OS</stp>
        <stp>指標コード</stp>
        <tr r="A148" s="1"/>
      </tp>
      <tp>
        <v>7002.28</v>
        <stp/>
        <stp>Market</stp>
        <stp>INDEX</stp>
        <stp>SP500</stp>
        <stp>年初来高値</stp>
        <tr r="V24" s="1"/>
      </tp>
      <tp>
        <v>3477.42</v>
        <stp/>
        <stp>Market</stp>
        <stp>INDEX</stp>
        <stp>SP100</stp>
        <stp>年初来高値</stp>
        <tr r="V23" s="1"/>
      </tp>
      <tp t="s">
        <v/>
        <stp/>
        <stp>Market</stp>
        <stp>INDEX</stp>
        <stp>RSS3.FUT01.OS</stp>
        <stp>指標コード</stp>
        <tr r="A141" s="1"/>
      </tp>
      <tp t="s">
        <v/>
        <stp/>
        <stp>Market</stp>
        <stp>INDEX</stp>
        <stp>RSS3.FUT03.OS</stp>
        <stp>指標コード</stp>
        <tr r="A143" s="1"/>
      </tp>
      <tp t="s">
        <v/>
        <stp/>
        <stp>Market</stp>
        <stp>INDEX</stp>
        <stp>RSS3.FUT02.OS</stp>
        <stp>指標コード</stp>
        <tr r="A142" s="1"/>
      </tp>
      <tp t="s">
        <v/>
        <stp/>
        <stp>Market</stp>
        <stp>INDEX</stp>
        <stp>RSS3.FUT05.OS</stp>
        <stp>指標コード</stp>
        <tr r="A145" s="1"/>
      </tp>
      <tp t="s">
        <v/>
        <stp/>
        <stp>Market</stp>
        <stp>INDEX</stp>
        <stp>RSS3.FUT04.OS</stp>
        <stp>指標コード</stp>
        <tr r="A144" s="1"/>
      </tp>
      <tp t="s">
        <v/>
        <stp/>
        <stp>Market</stp>
        <stp>INDEX</stp>
        <stp>RSS3.FUT07.OS</stp>
        <stp>指標コード</stp>
        <tr r="A147" s="1"/>
      </tp>
      <tp t="s">
        <v/>
        <stp/>
        <stp>Market</stp>
        <stp>INDEX</stp>
        <stp>RSS3.FUT06.OS</stp>
        <stp>指標コード</stp>
        <tr r="A146" s="1"/>
      </tp>
    </main>
    <main first="rtdsrv.dff54f4b11dd4e0d9cb19000fb943d8c">
      <tp>
        <v>3492.8</v>
        <stp/>
        <stp>Market</stp>
        <stp>INDEX</stp>
        <stp>SP100</stp>
        <stp>上場来高値</stp>
        <tr r="X23" s="1"/>
      </tp>
      <tp>
        <v>7002.28</v>
        <stp/>
        <stp>Market</stp>
        <stp>INDEX</stp>
        <stp>SP500</stp>
        <stp>上場来高値</stp>
        <tr r="X24" s="1"/>
      </tp>
      <tp t="s">
        <v>N300</v>
        <stp/>
        <stp>Market</stp>
        <stp>INDEX</stp>
        <stp>N300</stp>
        <stp>指標コード</stp>
        <tr r="A3" s="1"/>
      </tp>
      <tp t="s">
        <v>N500</v>
        <stp/>
        <stp>Market</stp>
        <stp>INDEX</stp>
        <stp>N500</stp>
        <stp>指標コード</stp>
        <tr r="A9" s="1"/>
      </tp>
      <tp t="s">
        <v>-</v>
        <stp/>
        <stp>Market</stp>
        <stp>INDEX</stp>
        <stp>EMCLOUD</stp>
        <stp>売買代金</stp>
        <tr r="R62" s="1"/>
      </tp>
    </main>
    <main first="rtdsrv.dff54f4b11dd4e0d9cb19000fb943d8c">
      <tp t="s">
        <v/>
        <stp/>
        <stp>Market</stp>
        <stp>INDEX</stp>
        <stp>CHF/JPY</stp>
        <stp>売買代金</stp>
        <tr r="R194" s="1"/>
      </tp>
    </main>
    <main first="rtdsrv.dff54f4b11dd4e0d9cb19000fb943d8c">
      <tp t="s">
        <v/>
        <stp/>
        <stp>Market</stp>
        <stp>INDEX</stp>
        <stp>TSR20.FUT08.OS</stp>
        <stp>年初来高値</stp>
        <tr r="V160" s="1"/>
      </tp>
    </main>
    <main first="rtdsrv.dff54f4b11dd4e0d9cb19000fb943d8c">
      <tp t="s">
        <v/>
        <stp/>
        <stp>Market</stp>
        <stp>INDEX</stp>
        <stp>TSR20.FUT09.OS</stp>
        <stp>年初来高値</stp>
        <tr r="V161" s="1"/>
      </tp>
    </main>
    <main first="rtdsrv.dff54f4b11dd4e0d9cb19000fb943d8c">
      <tp t="s">
        <v/>
        <stp/>
        <stp>Market</stp>
        <stp>INDEX</stp>
        <stp>TSR20.FUT02.OS</stp>
        <stp>年初来高値</stp>
        <tr r="V154" s="1"/>
      </tp>
      <tp t="s">
        <v/>
        <stp/>
        <stp>Market</stp>
        <stp>INDEX</stp>
        <stp>TSR20.FUT03.OS</stp>
        <stp>年初来高値</stp>
        <tr r="V155" s="1"/>
      </tp>
    </main>
    <main first="rtdsrv.dff54f4b11dd4e0d9cb19000fb943d8c">
      <tp>
        <v>696.5</v>
        <stp/>
        <stp>Market</stp>
        <stp>INDEX</stp>
        <stp>SIXM</stp>
        <stp>上場来高値</stp>
        <tr r="X29" s="1"/>
      </tp>
    </main>
    <main first="rtdsrv.dff54f4b11dd4e0d9cb19000fb943d8c">
      <tp t="s">
        <v/>
        <stp/>
        <stp>Market</stp>
        <stp>INDEX</stp>
        <stp>TSR20.FUT01.OS</stp>
        <stp>年初来高値</stp>
        <tr r="V153" s="1"/>
      </tp>
      <tp t="s">
        <v/>
        <stp/>
        <stp>Market</stp>
        <stp>INDEX</stp>
        <stp>TSR20.FUT06.OS</stp>
        <stp>年初来高値</stp>
        <tr r="V158" s="1"/>
      </tp>
      <tp>
        <v>1100.78</v>
        <stp/>
        <stp>Market</stp>
        <stp>INDEX</stp>
        <stp>TSGM</stp>
        <stp>上場来高値</stp>
        <tr r="X8" s="1"/>
      </tp>
      <tp>
        <v>1745.7</v>
        <stp/>
        <stp>Market</stp>
        <stp>INDEX</stp>
        <stp>TSSM</stp>
        <stp>上場来高値</stp>
        <tr r="X7" s="1"/>
      </tp>
      <tp>
        <v>2011.36</v>
        <stp/>
        <stp>Market</stp>
        <stp>INDEX</stp>
        <stp>TSPM</stp>
        <stp>上場来高値</stp>
        <tr r="X6" s="1"/>
      </tp>
      <tp t="s">
        <v/>
        <stp/>
        <stp>Market</stp>
        <stp>INDEX</stp>
        <stp>TSR20.FUT07.OS</stp>
        <stp>年初来高値</stp>
        <tr r="V159" s="1"/>
      </tp>
      <tp t="s">
        <v/>
        <stp/>
        <stp>Market</stp>
        <stp>INDEX</stp>
        <stp>TSR20.FUT04.OS</stp>
        <stp>年初来高値</stp>
        <tr r="V156" s="1"/>
      </tp>
      <tp t="s">
        <v/>
        <stp/>
        <stp>Market</stp>
        <stp>INDEX</stp>
        <stp>TSR20.FUT05.OS</stp>
        <stp>年初来高値</stp>
        <tr r="V157" s="1"/>
      </tp>
      <tp t="s">
        <v/>
        <stp/>
        <stp>Market</stp>
        <stp>INDEX</stp>
        <stp>TSR20.FUT08.OS</stp>
        <stp>上場来高値</stp>
        <tr r="X160" s="1"/>
      </tp>
      <tp t="s">
        <v/>
        <stp/>
        <stp>Market</stp>
        <stp>INDEX</stp>
        <stp>TSR20.FUT09.OS</stp>
        <stp>上場来高値</stp>
        <tr r="X161" s="1"/>
      </tp>
      <tp t="s">
        <v/>
        <stp/>
        <stp>Market</stp>
        <stp>INDEX</stp>
        <stp>TSR20.FUT02.OS</stp>
        <stp>上場来高値</stp>
        <tr r="X154" s="1"/>
      </tp>
      <tp t="s">
        <v/>
        <stp/>
        <stp>Market</stp>
        <stp>INDEX</stp>
        <stp>TSR20.FUT03.OS</stp>
        <stp>上場来高値</stp>
        <tr r="X155" s="1"/>
      </tp>
      <tp>
        <v>696.5</v>
        <stp/>
        <stp>Market</stp>
        <stp>INDEX</stp>
        <stp>SIXM</stp>
        <stp>年初来高値</stp>
        <tr r="V29" s="1"/>
      </tp>
      <tp t="s">
        <v/>
        <stp/>
        <stp>Market</stp>
        <stp>INDEX</stp>
        <stp>TSR20.FUT01.OS</stp>
        <stp>上場来高値</stp>
        <tr r="X153" s="1"/>
      </tp>
      <tp t="s">
        <v/>
        <stp/>
        <stp>Market</stp>
        <stp>INDEX</stp>
        <stp>TSR20.FUT06.OS</stp>
        <stp>上場来高値</stp>
        <tr r="X158" s="1"/>
      </tp>
      <tp t="s">
        <v/>
        <stp/>
        <stp>Market</stp>
        <stp>INDEX</stp>
        <stp>TSR20.FUT07.OS</stp>
        <stp>上場来高値</stp>
        <tr r="X159" s="1"/>
      </tp>
      <tp>
        <v>995.9</v>
        <stp/>
        <stp>Market</stp>
        <stp>INDEX</stp>
        <stp>TSGM</stp>
        <stp>年初来高値</stp>
        <tr r="V8" s="1"/>
      </tp>
      <tp>
        <v>1745.7</v>
        <stp/>
        <stp>Market</stp>
        <stp>INDEX</stp>
        <stp>TSSM</stp>
        <stp>年初来高値</stp>
        <tr r="V7" s="1"/>
      </tp>
      <tp>
        <v>2011.36</v>
        <stp/>
        <stp>Market</stp>
        <stp>INDEX</stp>
        <stp>TSPM</stp>
        <stp>年初来高値</stp>
        <tr r="V6" s="1"/>
      </tp>
    </main>
    <main first="rtdsrv.dff54f4b11dd4e0d9cb19000fb943d8c">
      <tp t="s">
        <v/>
        <stp/>
        <stp>Market</stp>
        <stp>INDEX</stp>
        <stp>TSR20.FUT04.OS</stp>
        <stp>上場来高値</stp>
        <tr r="X156" s="1"/>
      </tp>
    </main>
    <main first="rtdsrv.dff54f4b11dd4e0d9cb19000fb943d8c">
      <tp t="s">
        <v/>
        <stp/>
        <stp>Market</stp>
        <stp>INDEX</stp>
        <stp>TSR20.FUT05.OS</stp>
        <stp>上場来高値</stp>
        <tr r="X157" s="1"/>
      </tp>
    </main>
    <main first="rtdsrv.dff54f4b11dd4e0d9cb19000fb943d8c">
      <tp t="s">
        <v>2026/02/26</v>
        <stp/>
        <stp>Market</stp>
        <stp>INDEX</stp>
        <stp>NQUSST</stp>
        <stp>前日日付</stp>
        <tr r="J58" s="1"/>
      </tp>
    </main>
    <main first="rtdsrv.dff54f4b11dd4e0d9cb19000fb943d8c">
      <tp t="s">
        <v/>
        <stp/>
        <stp>Market</stp>
        <stp>INDEX</stp>
        <stp>RSS3.FUT11.OS</stp>
        <stp>指標コード</stp>
        <tr r="A151" s="1"/>
      </tp>
      <tp t="s">
        <v/>
        <stp/>
        <stp>Market</stp>
        <stp>INDEX</stp>
        <stp>RSS3.FUT10.OS</stp>
        <stp>指標コード</stp>
        <tr r="A150" s="1"/>
      </tp>
      <tp t="s">
        <v/>
        <stp/>
        <stp>Market</stp>
        <stp>INDEX</stp>
        <stp>RSS3.FUT12.OS</stp>
        <stp>指標コード</stp>
        <tr r="A152" s="1"/>
      </tp>
      <tp>
        <v>2082.08</v>
        <stp/>
        <stp>Market</stp>
        <stp>INDEX</stp>
        <stp>NQROBO</stp>
        <stp>上場来高値</stp>
        <tr r="X61" s="1"/>
      </tp>
    </main>
    <main first="rtdsrv.dff54f4b11dd4e0d9cb19000fb943d8c">
      <tp>
        <v>0</v>
        <stp/>
        <stp>Market</stp>
        <stp>INDEX</stp>
        <stp>FTSECA50</stp>
        <stp>高値</stp>
        <tr r="L102" s="1"/>
      </tp>
    </main>
    <main first="rtdsrv.dff54f4b11dd4e0d9cb19000fb943d8c">
      <tp>
        <v>1958.15</v>
        <stp/>
        <stp>Market</stp>
        <stp>INDEX</stp>
        <stp>NQROBO</stp>
        <stp>年初来高値</stp>
        <tr r="V61" s="1"/>
      </tp>
      <tp>
        <v>0</v>
        <stp/>
        <stp>Market</stp>
        <stp>INDEX</stp>
        <stp>SILVER.FUT01.OS</stp>
        <stp>高値</stp>
        <tr r="L129" s="1"/>
      </tp>
    </main>
    <main first="rtdsrv.dff54f4b11dd4e0d9cb19000fb943d8c">
      <tp t="s">
        <v/>
        <stp/>
        <stp>Market</stp>
        <stp>INDEX</stp>
        <stp>EUR/GBP</stp>
        <stp>売買代金</stp>
        <tr r="R203" s="1"/>
      </tp>
      <tp t="s">
        <v/>
        <stp/>
        <stp>Market</stp>
        <stp>INDEX</stp>
        <stp>SGD/JPY</stp>
        <stp>売買代金</stp>
        <tr r="R196" s="1"/>
      </tp>
      <tp t="s">
        <v/>
        <stp/>
        <stp>Market</stp>
        <stp>INDEX</stp>
        <stp>GBP/AUD</stp>
        <stp>売買代金</stp>
        <tr r="R214" s="1"/>
      </tp>
    </main>
    <main first="rtdsrv.dff54f4b11dd4e0d9cb19000fb943d8c">
      <tp>
        <v>0</v>
        <stp/>
        <stp>Market</stp>
        <stp>INDEX</stp>
        <stp>SOYBEAN.FUT06.OS</stp>
        <stp>売買代金</stp>
        <tr r="R176" s="1"/>
      </tp>
      <tp>
        <v>0</v>
        <stp/>
        <stp>Market</stp>
        <stp>INDEX</stp>
        <stp>SOYBEAN.FUT05.OS</stp>
        <stp>売買代金</stp>
        <tr r="R175" s="1"/>
      </tp>
      <tp>
        <v>0</v>
        <stp/>
        <stp>Market</stp>
        <stp>INDEX</stp>
        <stp>SOYBEAN.FUT04.OS</stp>
        <stp>売買代金</stp>
        <tr r="R174" s="1"/>
      </tp>
      <tp>
        <v>0</v>
        <stp/>
        <stp>Market</stp>
        <stp>INDEX</stp>
        <stp>SOYBEAN.FUT03.OS</stp>
        <stp>売買代金</stp>
        <tr r="R173" s="1"/>
      </tp>
      <tp>
        <v>0</v>
        <stp/>
        <stp>Market</stp>
        <stp>INDEX</stp>
        <stp>SOYBEAN.FUT02.OS</stp>
        <stp>売買代金</stp>
        <tr r="R172" s="1"/>
      </tp>
      <tp>
        <v>0</v>
        <stp/>
        <stp>Market</stp>
        <stp>INDEX</stp>
        <stp>SOYBEAN.FUT01.OS</stp>
        <stp>売買代金</stp>
        <tr r="R171" s="1"/>
      </tp>
    </main>
    <main first="rtdsrv.dff54f4b11dd4e0d9cb19000fb943d8c">
      <tp>
        <v>0</v>
        <stp/>
        <stp>Market</stp>
        <stp>INDEX</stp>
        <stp>TS1EX</stp>
        <stp>売買代金</stp>
        <tr r="R10" s="1"/>
      </tp>
    </main>
    <main first="rtdsrv.dff54f4b11dd4e0d9cb19000fb943d8c">
      <tp t="s">
        <v>-</v>
        <stp/>
        <stp>Market</stp>
        <stp>INDEX</stp>
        <stp>HSCEI</stp>
        <stp>売買代金</stp>
        <tr r="R66" s="1"/>
      </tp>
    </main>
    <main first="rtdsrv.dff54f4b11dd4e0d9cb19000fb943d8c">
      <tp>
        <v>1149.8800000000001</v>
        <stp/>
        <stp>Market</stp>
        <stp>INDEX</stp>
        <stp>SIXB</stp>
        <stp>上場来高値</stp>
        <tr r="X27" s="1"/>
      </tp>
    </main>
    <main first="rtdsrv.dff54f4b11dd4e0d9cb19000fb943d8c">
      <tp>
        <v>27427</v>
        <stp/>
        <stp>Market</stp>
        <stp>INDEX</stp>
        <stp>GOLDMINI.FUT06.OS</stp>
        <stp>高値</stp>
        <tr r="L114" s="1"/>
      </tp>
    </main>
    <main first="rtdsrv.dff54f4b11dd4e0d9cb19000fb943d8c">
      <tp t="s">
        <v/>
        <stp/>
        <stp>Market</stp>
        <stp>INDEX</stp>
        <stp>AUD/NZD</stp>
        <stp>出来高</stp>
        <tr r="Q207" s="1"/>
      </tp>
      <tp>
        <v>0</v>
        <stp/>
        <stp>Market</stp>
        <stp>INDEX</stp>
        <stp>PLATINUM.FUT02.OS</stp>
        <stp>高値</stp>
        <tr r="L117" s="1"/>
      </tp>
      <tp>
        <v>1149.8800000000001</v>
        <stp/>
        <stp>Market</stp>
        <stp>INDEX</stp>
        <stp>SIXB</stp>
        <stp>年初来高値</stp>
        <tr r="V27" s="1"/>
      </tp>
      <tp t="s">
        <v/>
        <stp/>
        <stp>Market</stp>
        <stp>INDEX</stp>
        <stp>EUR/JPY</stp>
        <stp>出来高</stp>
        <tr r="Q188" s="1"/>
      </tp>
    </main>
    <main first="rtdsrv.dff54f4b11dd4e0d9cb19000fb943d8c">
      <tp>
        <v>0.89</v>
        <stp/>
        <stp>Market</stp>
        <stp>INDEX</stp>
        <stp>TSM20</stp>
        <stp>前日比率</stp>
        <tr r="H11" s="1"/>
      </tp>
    </main>
    <main first="rtdsrv.dff54f4b11dd4e0d9cb19000fb943d8c">
      <tp>
        <v>58405</v>
        <stp/>
        <stp>Market</stp>
        <stp>INDEX</stp>
        <stp>N225.FUT02.S</stp>
        <stp>現在値</stp>
        <tr r="E186" s="1"/>
      </tp>
      <tp>
        <v>58495</v>
        <stp/>
        <stp>Market</stp>
        <stp>INDEX</stp>
        <stp>N225.FUT02.C</stp>
        <stp>現在値</stp>
        <tr r="E184" s="1"/>
      </tp>
      <tp>
        <v>12841.92</v>
        <stp/>
        <stp>Market</stp>
        <stp>INDEX</stp>
        <stp>OFIN</stp>
        <stp>現在値</stp>
        <tr r="E42" s="1"/>
      </tp>
    </main>
    <main first="rtdsrv.dff54f4b11dd4e0d9cb19000fb943d8c">
      <tp>
        <v>1243.3699999999999</v>
        <stp/>
        <stp>Market</stp>
        <stp>INDEX</stp>
        <stp>IXHC</stp>
        <stp>年初来高値</stp>
        <tr r="V48" s="1"/>
      </tp>
      <tp>
        <v>565.55999999999995</v>
        <stp/>
        <stp>Market</stp>
        <stp>INDEX</stp>
        <stp>IXTC</stp>
        <stp>年初来高値</stp>
        <tr r="V44" s="1"/>
      </tp>
    </main>
    <main first="rtdsrv.dff54f4b11dd4e0d9cb19000fb943d8c">
      <tp t="s">
        <v>SHKSC</v>
        <stp/>
        <stp>Market</stp>
        <stp>INDEX</stp>
        <stp>SHKSC</stp>
        <stp>指標コード</stp>
        <tr r="A70" s="1"/>
      </tp>
    </main>
    <main first="rtdsrv.dff54f4b11dd4e0d9cb19000fb943d8c">
      <tp>
        <v>6124.0439500000002</v>
        <stp/>
        <stp>Market</stp>
        <stp>INDEX</stp>
        <stp>SSEC</stp>
        <stp>上場来高値</stp>
        <tr r="X68" s="1"/>
      </tp>
      <tp>
        <v>628.79</v>
        <stp/>
        <stp>Market</stp>
        <stp>INDEX</stp>
        <stp>SIXC</stp>
        <stp>上場来高値</stp>
        <tr r="X33" s="1"/>
      </tp>
    </main>
    <main first="rtdsrv.dff54f4b11dd4e0d9cb19000fb943d8c">
      <tp>
        <v>1378.27</v>
        <stp/>
        <stp>Market</stp>
        <stp>INDEX</stp>
        <stp>IXHC</stp>
        <stp>上場来高値</stp>
        <tr r="X48" s="1"/>
      </tp>
      <tp>
        <v>1248.08</v>
        <stp/>
        <stp>Market</stp>
        <stp>INDEX</stp>
        <stp>IXTC</stp>
        <stp>上場来高値</stp>
        <tr r="X44" s="1"/>
      </tp>
      <tp>
        <v>11524</v>
        <stp/>
        <stp>Market</stp>
        <stp>INDEX</stp>
        <stp>PLATINUM.FUT03.OS</stp>
        <stp>高値</stp>
        <tr r="L118" s="1"/>
      </tp>
      <tp>
        <v>628.79</v>
        <stp/>
        <stp>Market</stp>
        <stp>INDEX</stp>
        <stp>SIXC</stp>
        <stp>年初来高値</stp>
        <tr r="V33" s="1"/>
      </tp>
      <tp>
        <v>4190.8662999999997</v>
        <stp/>
        <stp>Market</stp>
        <stp>INDEX</stp>
        <stp>SSEC</stp>
        <stp>年初来高値</stp>
        <tr r="V68" s="1"/>
      </tp>
    </main>
    <main first="rtdsrv.dff54f4b11dd4e0d9cb19000fb943d8c">
      <tp>
        <v>-1.32</v>
        <stp/>
        <stp>Market</stp>
        <stp>INDEX</stp>
        <stp>NQUSST</stp>
        <stp>前日比率</stp>
        <tr r="H58" s="1"/>
      </tp>
    </main>
    <main first="rtdsrv.dff54f4b11dd4e0d9cb19000fb943d8c">
      <tp t="s">
        <v/>
        <stp/>
        <stp>Market</stp>
        <stp>INDEX</stp>
        <stp>ZAR/JPY</stp>
        <stp>年初来高値</stp>
        <tr r="V192" s="1"/>
      </tp>
      <tp t="s">
        <v/>
        <stp/>
        <stp>Market</stp>
        <stp>INDEX</stp>
        <stp>EUR/JPY</stp>
        <stp>年初来高値</stp>
        <tr r="V188" s="1"/>
      </tp>
    </main>
    <main first="rtdsrv.dff54f4b11dd4e0d9cb19000fb943d8c">
      <tp>
        <v>0</v>
        <stp/>
        <stp>Market</stp>
        <stp>INDEX</stp>
        <stp>JGB:FDI</stp>
        <stp>上場来高値</stp>
        <tr r="X19" s="1"/>
      </tp>
    </main>
    <main first="rtdsrv.dff54f4b11dd4e0d9cb19000fb943d8c">
      <tp t="s">
        <v/>
        <stp/>
        <stp>Market</stp>
        <stp>INDEX</stp>
        <stp>EUR/JPY</stp>
        <stp>上場来高値</stp>
        <tr r="X188" s="1"/>
      </tp>
      <tp t="s">
        <v/>
        <stp/>
        <stp>Market</stp>
        <stp>INDEX</stp>
        <stp>ZAR/JPY</stp>
        <stp>上場来高値</stp>
        <tr r="X192" s="1"/>
      </tp>
    </main>
    <main first="rtdsrv.dff54f4b11dd4e0d9cb19000fb943d8c">
      <tp>
        <v>0</v>
        <stp/>
        <stp>Market</stp>
        <stp>INDEX</stp>
        <stp>JGB:FDI</stp>
        <stp>年初来高値</stp>
        <tr r="V19" s="1"/>
      </tp>
    </main>
    <main first="rtdsrv.dff54f4b11dd4e0d9cb19000fb943d8c">
      <tp>
        <v>59100</v>
        <stp/>
        <stp>Market</stp>
        <stp>INDEX</stp>
        <stp>N225.FUT01.OS</stp>
        <stp>前日終値</stp>
        <tr r="I72" s="1"/>
      </tp>
      <tp>
        <v>58900</v>
        <stp/>
        <stp>Market</stp>
        <stp>INDEX</stp>
        <stp>N225.FUT02.OS</stp>
        <stp>前日終値</stp>
        <tr r="I73" s="1"/>
      </tp>
      <tp>
        <v>59050</v>
        <stp/>
        <stp>Market</stp>
        <stp>INDEX</stp>
        <stp>N225.FUT03.OS</stp>
        <stp>前日終値</stp>
        <tr r="I74" s="1"/>
      </tp>
      <tp>
        <v>58600</v>
        <stp/>
        <stp>Market</stp>
        <stp>INDEX</stp>
        <stp>N225.FUT04.OS</stp>
        <stp>前日終値</stp>
        <tr r="I75" s="1"/>
      </tp>
      <tp>
        <v>58760</v>
        <stp/>
        <stp>Market</stp>
        <stp>INDEX</stp>
        <stp>N225.FUT05.OS</stp>
        <stp>前日終値</stp>
        <tr r="I76" s="1"/>
      </tp>
    </main>
    <main first="rtdsrv.dff54f4b11dd4e0d9cb19000fb943d8c">
      <tp>
        <v>58625</v>
        <stp/>
        <stp>Market</stp>
        <stp>INDEX</stp>
        <stp>N225.FUT01.S</stp>
        <stp>現在値</stp>
        <tr r="E185" s="1"/>
      </tp>
      <tp>
        <v>58620</v>
        <stp/>
        <stp>Market</stp>
        <stp>INDEX</stp>
        <stp>N225.FUT01.C</stp>
        <stp>現在値</stp>
        <tr r="E183" s="1"/>
      </tp>
    </main>
    <main first="rtdsrv.dff54f4b11dd4e0d9cb19000fb943d8c">
      <tp t="s">
        <v/>
        <stp/>
        <stp>Market</stp>
        <stp>INDEX</stp>
        <stp>GOLD.FUT01.OS</stp>
        <stp>前年最高値</stp>
        <tr r="S103" s="1"/>
      </tp>
      <tp t="s">
        <v/>
        <stp/>
        <stp>Market</stp>
        <stp>INDEX</stp>
        <stp>GOLD.FUT02.OS</stp>
        <stp>前年最高値</stp>
        <tr r="S104" s="1"/>
      </tp>
      <tp t="s">
        <v/>
        <stp/>
        <stp>Market</stp>
        <stp>INDEX</stp>
        <stp>GOLD.FUT03.OS</stp>
        <stp>前年最高値</stp>
        <tr r="S105" s="1"/>
      </tp>
      <tp t="s">
        <v/>
        <stp/>
        <stp>Market</stp>
        <stp>INDEX</stp>
        <stp>GOLD.FUT04.OS</stp>
        <stp>前年最高値</stp>
        <tr r="S106" s="1"/>
      </tp>
      <tp t="s">
        <v/>
        <stp/>
        <stp>Market</stp>
        <stp>INDEX</stp>
        <stp>GOLD.FUT05.OS</stp>
        <stp>前年最高値</stp>
        <tr r="S107" s="1"/>
      </tp>
      <tp t="s">
        <v/>
        <stp/>
        <stp>Market</stp>
        <stp>INDEX</stp>
        <stp>GOLD.FUT06.OS</stp>
        <stp>前年最高値</stp>
        <tr r="S108" s="1"/>
      </tp>
    </main>
    <main first="rtdsrv.dff54f4b11dd4e0d9cb19000fb943d8c">
      <tp t="s">
        <v/>
        <stp/>
        <stp>Market</stp>
        <stp>INDEX</stp>
        <stp>NZD/CHF</stp>
        <stp>出来高</stp>
        <tr r="Q206" s="1"/>
      </tp>
      <tp t="s">
        <v/>
        <stp/>
        <stp>Market</stp>
        <stp>INDEX</stp>
        <stp>GBP/JPY</stp>
        <stp>出来高</stp>
        <tr r="Q189" s="1"/>
      </tp>
      <tp>
        <v>26783</v>
        <stp/>
        <stp>Market</stp>
        <stp>INDEX</stp>
        <stp>GOLDMINI.FUT04.OS</stp>
        <stp>高値</stp>
        <tr r="L112" s="1"/>
      </tp>
    </main>
    <main first="rtdsrv.dff54f4b11dd4e0d9cb19000fb943d8c">
      <tp>
        <v>-0.28999999999999998</v>
        <stp/>
        <stp>Market</stp>
        <stp>INDEX</stp>
        <stp>NQ100</stp>
        <stp>前日比率</stp>
        <tr r="H22" s="1"/>
      </tp>
    </main>
    <main first="rtdsrv.dff54f4b11dd4e0d9cb19000fb943d8c">
      <tp>
        <v>1.31</v>
        <stp/>
        <stp>Market</stp>
        <stp>INDEX</stp>
        <stp>JN400</stp>
        <stp>前日比率</stp>
        <tr r="H5" s="1"/>
      </tp>
      <tp>
        <v>-0.43</v>
        <stp/>
        <stp>Market</stp>
        <stp>INDEX</stp>
        <stp>SP500</stp>
        <stp>前日比率</stp>
        <tr r="H24" s="1"/>
      </tp>
      <tp>
        <v>-0.59</v>
        <stp/>
        <stp>Market</stp>
        <stp>INDEX</stp>
        <stp>SP100</stp>
        <stp>前日比率</stp>
        <tr r="H23" s="1"/>
      </tp>
    </main>
    <main first="rtdsrv.dff54f4b11dd4e0d9cb19000fb943d8c">
      <tp t="s">
        <v/>
        <stp/>
        <stp>Market</stp>
        <stp>INDEX</stp>
        <stp>PALLADIUM.FUT06.OS</stp>
        <stp>更新時刻</stp>
        <tr r="D140" s="1"/>
      </tp>
      <tp t="s">
        <v/>
        <stp/>
        <stp>Market</stp>
        <stp>INDEX</stp>
        <stp>PALLADIUM.FUT05.OS</stp>
        <stp>更新時刻</stp>
        <tr r="D139" s="1"/>
      </tp>
      <tp t="s">
        <v/>
        <stp/>
        <stp>Market</stp>
        <stp>INDEX</stp>
        <stp>PALLADIUM.FUT04.OS</stp>
        <stp>更新時刻</stp>
        <tr r="D138" s="1"/>
      </tp>
      <tp t="s">
        <v/>
        <stp/>
        <stp>Market</stp>
        <stp>INDEX</stp>
        <stp>PALLADIUM.FUT03.OS</stp>
        <stp>更新時刻</stp>
        <tr r="D137" s="1"/>
      </tp>
      <tp t="s">
        <v/>
        <stp/>
        <stp>Market</stp>
        <stp>INDEX</stp>
        <stp>PALLADIUM.FUT02.OS</stp>
        <stp>更新時刻</stp>
        <tr r="D136" s="1"/>
      </tp>
      <tp t="s">
        <v/>
        <stp/>
        <stp>Market</stp>
        <stp>INDEX</stp>
        <stp>PALLADIUM.FUT01.OS</stp>
        <stp>更新時刻</stp>
        <tr r="D135" s="1"/>
      </tp>
    </main>
    <main first="rtdsrv.dff54f4b11dd4e0d9cb19000fb943d8c">
      <tp>
        <v>12292.71</v>
        <stp/>
        <stp>Market</stp>
        <stp>INDEX</stp>
        <stp>NDXT</stp>
        <stp>現在値</stp>
        <tr r="E49" s="1"/>
      </tp>
    </main>
    <main first="rtdsrv.dff54f4b11dd4e0d9cb19000fb943d8c">
      <tp>
        <v>5423.2479000000003</v>
        <stp/>
        <stp>Market</stp>
        <stp>INDEX</stp>
        <stp>SSEA</stp>
        <stp>上場来高値</stp>
        <tr r="X69" s="1"/>
      </tp>
    </main>
    <main first="rtdsrv.dff54f4b11dd4e0d9cb19000fb943d8c">
      <tp>
        <v>27175.5</v>
        <stp/>
        <stp>Market</stp>
        <stp>INDEX</stp>
        <stp>GOLDMINI.FUT05.OS</stp>
        <stp>高値</stp>
        <tr r="L113" s="1"/>
      </tp>
    </main>
    <main first="rtdsrv.dff54f4b11dd4e0d9cb19000fb943d8c">
      <tp>
        <v>50512.79</v>
        <stp/>
        <stp>Market</stp>
        <stp>INDEX</stp>
        <stp>DJIA</stp>
        <stp>年初来高値</stp>
        <tr r="V20" s="1"/>
      </tp>
      <tp>
        <v>0</v>
        <stp/>
        <stp>Market</stp>
        <stp>INDEX</stp>
        <stp>PLATINUM.FUT01.OS</stp>
        <stp>高値</stp>
        <tr r="L116" s="1"/>
      </tp>
      <tp>
        <v>4394.4501</v>
        <stp/>
        <stp>Market</stp>
        <stp>INDEX</stp>
        <stp>SSEA</stp>
        <stp>年初来高値</stp>
        <tr r="V69" s="1"/>
      </tp>
      <tp>
        <v>0</v>
        <stp/>
        <stp>Market</stp>
        <stp>INDEX</stp>
        <stp>JGB:FDI</stp>
        <stp>出来高</stp>
        <tr r="Q19" s="1"/>
      </tp>
      <tp>
        <v>50512.79</v>
        <stp/>
        <stp>Market</stp>
        <stp>INDEX</stp>
        <stp>DJIA</stp>
        <stp>上場来高値</stp>
        <tr r="X20" s="1"/>
      </tp>
    </main>
    <main first="rtdsrv.dff54f4b11dd4e0d9cb19000fb943d8c">
      <tp t="s">
        <v/>
        <stp/>
        <stp>Market</stp>
        <stp>INDEX</stp>
        <stp>GBP/JPY</stp>
        <stp>年初来高値</stp>
        <tr r="V189" s="1"/>
      </tp>
      <tp t="s">
        <v/>
        <stp/>
        <stp>Market</stp>
        <stp>INDEX</stp>
        <stp>GBP/JPY</stp>
        <stp>上場来高値</stp>
        <tr r="X189" s="1"/>
      </tp>
    </main>
    <main first="rtdsrv.dff54f4b11dd4e0d9cb19000fb943d8c">
      <tp>
        <v>359</v>
        <stp/>
        <stp>Market</stp>
        <stp>INDEX</stp>
        <stp>RSS3.FUT11.OS</stp>
        <stp>前日終値</stp>
        <tr r="I151" s="1"/>
      </tp>
      <tp>
        <v>0</v>
        <stp/>
        <stp>Market</stp>
        <stp>INDEX</stp>
        <stp>RSS3.FUT10.OS</stp>
        <stp>前日終値</stp>
        <tr r="I150" s="1"/>
      </tp>
      <tp>
        <v>0</v>
        <stp/>
        <stp>Market</stp>
        <stp>INDEX</stp>
        <stp>RSS3.FUT12.OS</stp>
        <stp>前日終値</stp>
        <tr r="I152" s="1"/>
      </tp>
      <tp>
        <v>373.3</v>
        <stp/>
        <stp>Market</stp>
        <stp>INDEX</stp>
        <stp>RSS3.FUT01.OS</stp>
        <stp>前日終値</stp>
        <tr r="I141" s="1"/>
      </tp>
      <tp>
        <v>373.2</v>
        <stp/>
        <stp>Market</stp>
        <stp>INDEX</stp>
        <stp>RSS3.FUT03.OS</stp>
        <stp>前日終値</stp>
        <tr r="I143" s="1"/>
      </tp>
      <tp>
        <v>372.9</v>
        <stp/>
        <stp>Market</stp>
        <stp>INDEX</stp>
        <stp>RSS3.FUT02.OS</stp>
        <stp>前日終値</stp>
        <tr r="I142" s="1"/>
      </tp>
      <tp>
        <v>371.9</v>
        <stp/>
        <stp>Market</stp>
        <stp>INDEX</stp>
        <stp>RSS3.FUT05.OS</stp>
        <stp>前日終値</stp>
        <tr r="I145" s="1"/>
      </tp>
      <tp>
        <v>369.7</v>
        <stp/>
        <stp>Market</stp>
        <stp>INDEX</stp>
        <stp>RSS3.FUT04.OS</stp>
        <stp>前日終値</stp>
        <tr r="I144" s="1"/>
      </tp>
      <tp>
        <v>0</v>
        <stp/>
        <stp>Market</stp>
        <stp>INDEX</stp>
        <stp>RSS3.FUT07.OS</stp>
        <stp>前日終値</stp>
        <tr r="I147" s="1"/>
      </tp>
      <tp>
        <v>375.5</v>
        <stp/>
        <stp>Market</stp>
        <stp>INDEX</stp>
        <stp>RSS3.FUT06.OS</stp>
        <stp>前日終値</stp>
        <tr r="I146" s="1"/>
      </tp>
      <tp>
        <v>327.5</v>
        <stp/>
        <stp>Market</stp>
        <stp>INDEX</stp>
        <stp>RSS3.FUT09.OS</stp>
        <stp>前日終値</stp>
        <tr r="I149" s="1"/>
      </tp>
      <tp>
        <v>0</v>
        <stp/>
        <stp>Market</stp>
        <stp>INDEX</stp>
        <stp>RSS3.FUT08.OS</stp>
        <stp>前日終値</stp>
        <tr r="I148" s="1"/>
      </tp>
      <tp>
        <v>215.36</v>
        <stp/>
        <stp>Market</stp>
        <stp>INDEX</stp>
        <stp>SIXRE</stp>
        <stp>現在値</stp>
        <tr r="E30" s="1"/>
      </tp>
    </main>
    <main first="rtdsrv.dff54f4b11dd4e0d9cb19000fb943d8c">
      <tp>
        <v>26351</v>
        <stp/>
        <stp>Market</stp>
        <stp>INDEX</stp>
        <stp>GOLDMINI.FUT02.OS</stp>
        <stp>高値</stp>
        <tr r="L110" s="1"/>
      </tp>
      <tp>
        <v>11786</v>
        <stp/>
        <stp>Market</stp>
        <stp>INDEX</stp>
        <stp>PLATINUM.FUT06.OS</stp>
        <stp>高値</stp>
        <tr r="L121" s="1"/>
      </tp>
      <tp t="s">
        <v/>
        <stp/>
        <stp>Market</stp>
        <stp>INDEX</stp>
        <stp>AUD/JPY</stp>
        <stp>出来高</stp>
        <tr r="Q190" s="1"/>
      </tp>
    </main>
    <main first="rtdsrv.dff54f4b11dd4e0d9cb19000fb943d8c">
      <tp>
        <v>-0.7</v>
        <stp/>
        <stp>Market</stp>
        <stp>INDEX</stp>
        <stp>N225M.FUT01.OS</stp>
        <stp>前日比率</stp>
        <tr r="H77" s="1"/>
      </tp>
      <tp>
        <v>-0.82</v>
        <stp/>
        <stp>Market</stp>
        <stp>INDEX</stp>
        <stp>N225M.FUT02.OS</stp>
        <stp>前日比率</stp>
        <tr r="H78" s="1"/>
      </tp>
      <tp>
        <v>-0.44</v>
        <stp/>
        <stp>Market</stp>
        <stp>INDEX</stp>
        <stp>N225M.FUT03.OS</stp>
        <stp>前日比率</stp>
        <tr r="H79" s="1"/>
      </tp>
      <tp>
        <v>-0.7</v>
        <stp/>
        <stp>Market</stp>
        <stp>INDEX</stp>
        <stp>N225M.FUT04.OS</stp>
        <stp>前日比率</stp>
        <tr r="H80" s="1"/>
      </tp>
      <tp>
        <v>-0.28000000000000003</v>
        <stp/>
        <stp>Market</stp>
        <stp>INDEX</stp>
        <stp>N225M.FUT05.OS</stp>
        <stp>前日比率</stp>
        <tr r="H81" s="1"/>
      </tp>
    </main>
    <main first="rtdsrv.dff54f4b11dd4e0d9cb19000fb943d8c">
      <tp t="s">
        <v/>
        <stp/>
        <stp>Market</stp>
        <stp>INDEX</stp>
        <stp>N225.FUT02.S</stp>
        <stp>指標コード</stp>
        <tr r="A186" s="1"/>
      </tp>
      <tp t="s">
        <v/>
        <stp/>
        <stp>Market</stp>
        <stp>INDEX</stp>
        <stp>N225.FUT01.S</stp>
        <stp>指標コード</stp>
        <tr r="A185" s="1"/>
      </tp>
      <tp>
        <v>0</v>
        <stp/>
        <stp>Market</stp>
        <stp>INDEX</stp>
        <stp>TS1EX</stp>
        <stp>前年最高値</stp>
        <tr r="S10" s="1"/>
      </tp>
      <tp>
        <v>0</v>
        <stp/>
        <stp>Market</stp>
        <stp>INDEX</stp>
        <stp>JGB:F</stp>
        <stp>前年最高値</stp>
        <tr r="S16" s="1"/>
      </tp>
    </main>
    <main first="rtdsrv.dff54f4b11dd4e0d9cb19000fb943d8c">
      <tp t="s">
        <v/>
        <stp/>
        <stp>Market</stp>
        <stp>INDEX</stp>
        <stp>GBP/JPY</stp>
        <stp>売買代金</stp>
        <tr r="R189" s="1"/>
      </tp>
    </main>
    <main first="rtdsrv.dff54f4b11dd4e0d9cb19000fb943d8c">
      <tp t="s">
        <v/>
        <stp/>
        <stp>Market</stp>
        <stp>INDEX</stp>
        <stp>NZD/CHF</stp>
        <stp>売買代金</stp>
        <tr r="R206" s="1"/>
      </tp>
      <tp t="s">
        <v/>
        <stp/>
        <stp>Market</stp>
        <stp>INDEX</stp>
        <stp>USD/CAD</stp>
        <stp>売買代金</stp>
        <tr r="R212" s="1"/>
      </tp>
    </main>
    <main first="rtdsrv.dff54f4b11dd4e0d9cb19000fb943d8c">
      <tp t="s">
        <v>-</v>
        <stp/>
        <stp>Market</stp>
        <stp>INDEX</stp>
        <stp>EMCLOUD</stp>
        <stp>出来高</stp>
        <tr r="Q62" s="1"/>
      </tp>
    </main>
    <main first="rtdsrv.dff54f4b11dd4e0d9cb19000fb943d8c">
      <tp>
        <v>26488</v>
        <stp/>
        <stp>Market</stp>
        <stp>INDEX</stp>
        <stp>GOLDMINI.FUT03.OS</stp>
        <stp>高値</stp>
        <tr r="L111" s="1"/>
      </tp>
    </main>
    <main first="rtdsrv.dff54f4b11dd4e0d9cb19000fb943d8c">
      <tp t="s">
        <v>SPESG</v>
        <stp/>
        <stp>Market</stp>
        <stp>INDEX</stp>
        <stp>SPESG</stp>
        <stp>指標コード</stp>
        <tr r="A38" s="1"/>
      </tp>
    </main>
    <main first="rtdsrv.dff54f4b11dd4e0d9cb19000fb943d8c">
      <tp t="s">
        <v/>
        <stp/>
        <stp>Market</stp>
        <stp>INDEX</stp>
        <stp>ZAR/JPY</stp>
        <stp>売買代金</stp>
        <tr r="R192" s="1"/>
      </tp>
    </main>
    <main first="rtdsrv.dff54f4b11dd4e0d9cb19000fb943d8c">
      <tp t="s">
        <v/>
        <stp/>
        <stp>Market</stp>
        <stp>INDEX</stp>
        <stp>CAD/JPY</stp>
        <stp>売買代金</stp>
        <tr r="R193" s="1"/>
      </tp>
      <tp t="s">
        <v/>
        <stp/>
        <stp>Market</stp>
        <stp>INDEX</stp>
        <stp>GBP/USD</stp>
        <stp>売買代金</stp>
        <tr r="R198" s="1"/>
      </tp>
    </main>
    <main first="rtdsrv.dff54f4b11dd4e0d9cb19000fb943d8c">
      <tp>
        <v>4654.1099999999997</v>
        <stp/>
        <stp>Market</stp>
        <stp>INDEX</stp>
        <stp>BANK</stp>
        <stp>現在値</stp>
        <tr r="E40" s="1"/>
      </tp>
    </main>
    <main first="rtdsrv.dff54f4b11dd4e0d9cb19000fb943d8c">
      <tp t="s">
        <v>-</v>
        <stp/>
        <stp>Market</stp>
        <stp>INDEX</stp>
        <stp>HSCCI</stp>
        <stp>売買代金</stp>
        <tr r="R67" s="1"/>
      </tp>
      <tp>
        <v>1817.95</v>
        <stp/>
        <stp>Market</stp>
        <stp>INDEX</stp>
        <stp>NQROBO</stp>
        <stp>前日終値</stp>
        <tr r="I61" s="1"/>
      </tp>
    </main>
    <main first="rtdsrv.dff54f4b11dd4e0d9cb19000fb943d8c">
      <tp>
        <v>3060.71</v>
        <stp/>
        <stp>Market</stp>
        <stp>INDEX</stp>
        <stp>NQCYBR</stp>
        <stp>前日終値</stp>
        <tr r="I59" s="1"/>
      </tp>
      <tp>
        <v>8831.89</v>
        <stp/>
        <stp>Market</stp>
        <stp>INDEX</stp>
        <stp>JGB:FI</stp>
        <stp>前日終値</stp>
        <tr r="I18" s="1"/>
      </tp>
      <tp>
        <v>12429.49</v>
        <stp/>
        <stp>Market</stp>
        <stp>INDEX</stp>
        <stp>JGB:FL</stp>
        <stp>前日終値</stp>
        <tr r="I17" s="1"/>
      </tp>
      <tp t="s">
        <v/>
        <stp/>
        <stp>Market</stp>
        <stp>INDEX</stp>
        <stp>CORN.FUT01.OS</stp>
        <stp>前年最高値</stp>
        <tr r="S177" s="1"/>
      </tp>
      <tp t="s">
        <v/>
        <stp/>
        <stp>Market</stp>
        <stp>INDEX</stp>
        <stp>CHF/JPY</stp>
        <stp>出来高</stp>
        <tr r="Q194" s="1"/>
      </tp>
      <tp t="s">
        <v/>
        <stp/>
        <stp>Market</stp>
        <stp>INDEX</stp>
        <stp>CORN.FUT02.OS</stp>
        <stp>前年最高値</stp>
        <tr r="S178" s="1"/>
      </tp>
      <tp t="s">
        <v/>
        <stp/>
        <stp>Market</stp>
        <stp>INDEX</stp>
        <stp>CORN.FUT03.OS</stp>
        <stp>前年最高値</stp>
        <tr r="S179" s="1"/>
      </tp>
      <tp t="s">
        <v/>
        <stp/>
        <stp>Market</stp>
        <stp>INDEX</stp>
        <stp>CORN.FUT04.OS</stp>
        <stp>前年最高値</stp>
        <tr r="S180" s="1"/>
      </tp>
      <tp t="s">
        <v/>
        <stp/>
        <stp>Market</stp>
        <stp>INDEX</stp>
        <stp>CORN.FUT05.OS</stp>
        <stp>前年最高値</stp>
        <tr r="S181" s="1"/>
      </tp>
      <tp t="s">
        <v/>
        <stp/>
        <stp>Market</stp>
        <stp>INDEX</stp>
        <stp>CORN.FUT06.OS</stp>
        <stp>前年最高値</stp>
        <tr r="S182" s="1"/>
      </tp>
      <tp t="s">
        <v/>
        <stp/>
        <stp>Market</stp>
        <stp>INDEX</stp>
        <stp>CNH/JPY</stp>
        <stp>出来高</stp>
        <tr r="Q210" s="1"/>
      </tp>
      <tp t="s">
        <v/>
        <stp/>
        <stp>Market</stp>
        <stp>INDEX</stp>
        <stp>CAD/JPY</stp>
        <stp>出来高</stp>
        <tr r="Q193" s="1"/>
      </tp>
      <tp>
        <v>0</v>
        <stp/>
        <stp>Market</stp>
        <stp>INDEX</stp>
        <stp>SOYBEAN.FUT01.OS</stp>
        <stp>出来高</stp>
        <tr r="Q171" s="1"/>
      </tp>
      <tp>
        <v>0</v>
        <stp/>
        <stp>Market</stp>
        <stp>INDEX</stp>
        <stp>SOYBEAN.FUT02.OS</stp>
        <stp>出来高</stp>
        <tr r="Q172" s="1"/>
      </tp>
      <tp>
        <v>0</v>
        <stp/>
        <stp>Market</stp>
        <stp>INDEX</stp>
        <stp>SOYBEAN.FUT03.OS</stp>
        <stp>出来高</stp>
        <tr r="Q173" s="1"/>
      </tp>
      <tp>
        <v>0</v>
        <stp/>
        <stp>Market</stp>
        <stp>INDEX</stp>
        <stp>SOYBEAN.FUT04.OS</stp>
        <stp>出来高</stp>
        <tr r="Q174" s="1"/>
      </tp>
      <tp>
        <v>0</v>
        <stp/>
        <stp>Market</stp>
        <stp>INDEX</stp>
        <stp>SOYBEAN.FUT05.OS</stp>
        <stp>出来高</stp>
        <tr r="Q175" s="1"/>
      </tp>
      <tp>
        <v>0</v>
        <stp/>
        <stp>Market</stp>
        <stp>INDEX</stp>
        <stp>SOYBEAN.FUT06.OS</stp>
        <stp>出来高</stp>
        <tr r="Q176" s="1"/>
      </tp>
      <tp>
        <v>11672</v>
        <stp/>
        <stp>Market</stp>
        <stp>INDEX</stp>
        <stp>PLATINUM.FUT04.OS</stp>
        <stp>高値</stp>
        <tr r="L119" s="1"/>
      </tp>
    </main>
    <main first="rtdsrv.dff54f4b11dd4e0d9cb19000fb943d8c">
      <tp t="s">
        <v>TSGMC</v>
        <stp/>
        <stp>Market</stp>
        <stp>INDEX</stp>
        <stp>TSGMC</stp>
        <stp>指標コード</stp>
        <tr r="A12" s="1"/>
      </tp>
    </main>
    <main first="rtdsrv.dff54f4b11dd4e0d9cb19000fb943d8c">
      <tp t="s">
        <v>2026/02/26</v>
        <stp/>
        <stp>Market</stp>
        <stp>INDEX</stp>
        <stp>JGB:F</stp>
        <stp>前日日付</stp>
        <tr r="J16" s="1"/>
      </tp>
    </main>
    <main first="rtdsrv.dff54f4b11dd4e0d9cb19000fb943d8c">
      <tp>
        <v>895481</v>
        <stp/>
        <stp>Market</stp>
        <stp>INDEX</stp>
        <stp>PLATINUM.SPOT.OS</stp>
        <stp>売買代金</stp>
        <tr r="R128" s="1"/>
      </tp>
    </main>
    <main first="rtdsrv.dff54f4b11dd4e0d9cb19000fb943d8c">
      <tp t="s">
        <v>SIXRE</v>
        <stp/>
        <stp>Market</stp>
        <stp>INDEX</stp>
        <stp>SIXRE</stp>
        <stp>指標コード</stp>
        <tr r="A30" s="1"/>
      </tp>
      <tp>
        <v>1170.3900000000001</v>
        <stp/>
        <stp>Market</stp>
        <stp>INDEX</stp>
        <stp>SIXE</stp>
        <stp>上場来高値</stp>
        <tr r="X28" s="1"/>
      </tp>
      <tp>
        <v>26320</v>
        <stp/>
        <stp>Market</stp>
        <stp>INDEX</stp>
        <stp>GOLDMINI.FUT01.OS</stp>
        <stp>高値</stp>
        <tr r="L109" s="1"/>
      </tp>
      <tp>
        <v>11732</v>
        <stp/>
        <stp>Market</stp>
        <stp>INDEX</stp>
        <stp>PLATINUM.FUT05.OS</stp>
        <stp>高値</stp>
        <tr r="L120" s="1"/>
      </tp>
      <tp>
        <v>1170.3900000000001</v>
        <stp/>
        <stp>Market</stp>
        <stp>INDEX</stp>
        <stp>SIXE</stp>
        <stp>年初来高値</stp>
        <tr r="V28" s="1"/>
      </tp>
    </main>
    <main first="rtdsrv.dff54f4b11dd4e0d9cb19000fb943d8c">
      <tp>
        <v>0</v>
        <stp/>
        <stp>Market</stp>
        <stp>INDEX</stp>
        <stp>PLATINUM.FUT01.OS</stp>
        <stp>出来高</stp>
        <tr r="Q116" s="1"/>
      </tp>
      <tp>
        <v>0</v>
        <stp/>
        <stp>Market</stp>
        <stp>INDEX</stp>
        <stp>PLATINUM.FUT02.OS</stp>
        <stp>出来高</stp>
        <tr r="Q117" s="1"/>
      </tp>
      <tp>
        <v>2</v>
        <stp/>
        <stp>Market</stp>
        <stp>INDEX</stp>
        <stp>PLATINUM.FUT03.OS</stp>
        <stp>出来高</stp>
        <tr r="Q118" s="1"/>
      </tp>
      <tp>
        <v>5</v>
        <stp/>
        <stp>Market</stp>
        <stp>INDEX</stp>
        <stp>PLATINUM.FUT04.OS</stp>
        <stp>出来高</stp>
        <tr r="Q119" s="1"/>
      </tp>
      <tp>
        <v>947</v>
        <stp/>
        <stp>Market</stp>
        <stp>INDEX</stp>
        <stp>PLATINUM.FUT05.OS</stp>
        <stp>出来高</stp>
        <tr r="Q120" s="1"/>
      </tp>
      <tp>
        <v>1234</v>
        <stp/>
        <stp>Market</stp>
        <stp>INDEX</stp>
        <stp>PLATINUM.FUT06.OS</stp>
        <stp>出来高</stp>
        <tr r="Q121" s="1"/>
      </tp>
      <tp t="s">
        <v/>
        <stp/>
        <stp>Market</stp>
        <stp>INDEX</stp>
        <stp>MOT.FUT02.OS</stp>
        <stp>上場来高値</stp>
        <tr r="X92" s="1"/>
      </tp>
      <tp t="s">
        <v/>
        <stp/>
        <stp>Market</stp>
        <stp>INDEX</stp>
        <stp>MOT.FUT03.OS</stp>
        <stp>上場来高値</stp>
        <tr r="X93" s="1"/>
      </tp>
      <tp t="s">
        <v/>
        <stp/>
        <stp>Market</stp>
        <stp>INDEX</stp>
        <stp>MOT.FUT01.OS</stp>
        <stp>上場来高値</stp>
        <tr r="X91" s="1"/>
      </tp>
      <tp t="s">
        <v/>
        <stp/>
        <stp>Market</stp>
        <stp>INDEX</stp>
        <stp>MOT.FUT04.OS</stp>
        <stp>上場来高値</stp>
        <tr r="X94" s="1"/>
      </tp>
      <tp t="s">
        <v/>
        <stp/>
        <stp>Market</stp>
        <stp>INDEX</stp>
        <stp>MOT.FUT05.OS</stp>
        <stp>上場来高値</stp>
        <tr r="X95" s="1"/>
      </tp>
      <tp t="s">
        <v/>
        <stp/>
        <stp>Market</stp>
        <stp>INDEX</stp>
        <stp>MOT.FUT02.OS</stp>
        <stp>年初来高値</stp>
        <tr r="V92" s="1"/>
      </tp>
      <tp t="s">
        <v/>
        <stp/>
        <stp>Market</stp>
        <stp>INDEX</stp>
        <stp>MOT.FUT03.OS</stp>
        <stp>年初来高値</stp>
        <tr r="V93" s="1"/>
      </tp>
      <tp t="s">
        <v/>
        <stp/>
        <stp>Market</stp>
        <stp>INDEX</stp>
        <stp>MOT.FUT01.OS</stp>
        <stp>年初来高値</stp>
        <tr r="V91" s="1"/>
      </tp>
      <tp t="s">
        <v/>
        <stp/>
        <stp>Market</stp>
        <stp>INDEX</stp>
        <stp>MOT.FUT04.OS</stp>
        <stp>年初来高値</stp>
        <tr r="V94" s="1"/>
      </tp>
      <tp t="s">
        <v/>
        <stp/>
        <stp>Market</stp>
        <stp>INDEX</stp>
        <stp>MOT.FUT05.OS</stp>
        <stp>年初来高値</stp>
        <tr r="V95" s="1"/>
      </tp>
      <tp t="s">
        <v/>
        <stp/>
        <stp>Market</stp>
        <stp>INDEX</stp>
        <stp>AUD/NZD</stp>
        <stp>売買代金</stp>
        <tr r="R207" s="1"/>
      </tp>
    </main>
    <main first="rtdsrv.dff54f4b11dd4e0d9cb19000fb943d8c">
      <tp>
        <v>0</v>
        <stp/>
        <stp>Market</stp>
        <stp>INDEX</stp>
        <stp>CORN.FUT02.OS</stp>
        <stp>売買代金</stp>
        <tr r="R178" s="1"/>
      </tp>
      <tp>
        <v>0</v>
        <stp/>
        <stp>Market</stp>
        <stp>INDEX</stp>
        <stp>CORN.FUT03.OS</stp>
        <stp>売買代金</stp>
        <tr r="R179" s="1"/>
      </tp>
      <tp>
        <v>0</v>
        <stp/>
        <stp>Market</stp>
        <stp>INDEX</stp>
        <stp>CORN.FUT01.OS</stp>
        <stp>売買代金</stp>
        <tr r="R177" s="1"/>
      </tp>
      <tp>
        <v>0</v>
        <stp/>
        <stp>Market</stp>
        <stp>INDEX</stp>
        <stp>CORN.FUT06.OS</stp>
        <stp>売買代金</stp>
        <tr r="R182" s="1"/>
      </tp>
      <tp>
        <v>0</v>
        <stp/>
        <stp>Market</stp>
        <stp>INDEX</stp>
        <stp>CORN.FUT04.OS</stp>
        <stp>売買代金</stp>
        <tr r="R180" s="1"/>
      </tp>
      <tp>
        <v>0</v>
        <stp/>
        <stp>Market</stp>
        <stp>INDEX</stp>
        <stp>CORN.FUT05.OS</stp>
        <stp>売買代金</stp>
        <tr r="R181" s="1"/>
      </tp>
      <tp t="s">
        <v>-</v>
        <stp/>
        <stp>Market</stp>
        <stp>INDEX</stp>
        <stp>CSI300</stp>
        <stp>売買代金</stp>
        <tr r="R71" s="1"/>
      </tp>
    </main>
    <main first="rtdsrv.dff54f4b11dd4e0d9cb19000fb943d8c">
      <tp>
        <v>0</v>
        <stp/>
        <stp>Market</stp>
        <stp>INDEX</stp>
        <stp>PALLADIUM.FUT06.OS</stp>
        <stp>高値</stp>
        <tr r="L140" s="1"/>
      </tp>
      <tp t="s">
        <v/>
        <stp/>
        <stp>Market</stp>
        <stp>INDEX</stp>
        <stp>NOK/JPY</stp>
        <stp>年初来高値</stp>
        <tr r="V208" s="1"/>
      </tp>
    </main>
    <main first="rtdsrv.dff54f4b11dd4e0d9cb19000fb943d8c">
      <tp t="s">
        <v/>
        <stp/>
        <stp>Market</stp>
        <stp>INDEX</stp>
        <stp>NOK/JPY</stp>
        <stp>上場来高値</stp>
        <tr r="X208" s="1"/>
      </tp>
    </main>
    <main first="rtdsrv.dff54f4b11dd4e0d9cb19000fb943d8c">
      <tp>
        <v>0</v>
        <stp/>
        <stp>Market</stp>
        <stp>INDEX</stp>
        <stp>JGB:FI</stp>
        <stp>出来高</stp>
        <tr r="Q18" s="1"/>
      </tp>
      <tp>
        <v>0</v>
        <stp/>
        <stp>Market</stp>
        <stp>INDEX</stp>
        <stp>JGB:FL</stp>
        <stp>出来高</stp>
        <tr r="Q17" s="1"/>
      </tp>
    </main>
    <main first="rtdsrv.dff54f4b11dd4e0d9cb19000fb943d8c">
      <tp>
        <v>3717.0509999999999</v>
        <stp/>
        <stp>Market</stp>
        <stp>INDEX</stp>
        <stp>SHKSC</stp>
        <stp>前年最高値</stp>
        <tr r="S70" s="1"/>
      </tp>
    </main>
    <main first="rtdsrv.dff54f4b11dd4e0d9cb19000fb943d8c">
      <tp>
        <v>1999.33</v>
        <stp/>
        <stp>Market</stp>
        <stp>INDEX</stp>
        <stp>TREIT</stp>
        <stp>現在値</stp>
        <tr r="E15" s="1"/>
      </tp>
      <tp>
        <v>610.04999999999995</v>
        <stp/>
        <stp>Market</stp>
        <stp>INDEX</stp>
        <stp>SPESG</stp>
        <stp>現在値</stp>
        <tr r="E38" s="1"/>
      </tp>
    </main>
    <main first="rtdsrv.dff54f4b11dd4e0d9cb19000fb943d8c">
      <tp t="s">
        <v/>
        <stp/>
        <stp>Market</stp>
        <stp>INDEX</stp>
        <stp>USD/CHF</stp>
        <stp>出来高</stp>
        <tr r="Q201" s="1"/>
      </tp>
    </main>
    <main first="rtdsrv.dff54f4b11dd4e0d9cb19000fb943d8c">
      <tp t="s">
        <v/>
        <stp/>
        <stp>Market</stp>
        <stp>INDEX</stp>
        <stp>USD/CAD</stp>
        <stp>出来高</stp>
        <tr r="Q212" s="1"/>
      </tp>
    </main>
    <main first="rtdsrv.dff54f4b11dd4e0d9cb19000fb943d8c">
      <tp>
        <v>3903.35</v>
        <stp/>
        <stp>Market</stp>
        <stp>INDEX</stp>
        <stp>TOPX</stp>
        <stp>上場来高値</stp>
        <tr r="X4" s="1"/>
      </tp>
    </main>
    <main first="rtdsrv.dff54f4b11dd4e0d9cb19000fb943d8c">
      <tp>
        <v>989.19</v>
        <stp/>
        <stp>Market</stp>
        <stp>INDEX</stp>
        <stp>VVIX</stp>
        <stp>上場来高値</stp>
        <tr r="X26" s="1"/>
      </tp>
    </main>
    <main first="rtdsrv.dff54f4b11dd4e0d9cb19000fb943d8c">
      <tp>
        <v>3903.35</v>
        <stp/>
        <stp>Market</stp>
        <stp>INDEX</stp>
        <stp>TOPX</stp>
        <stp>年初来高値</stp>
        <tr r="V4" s="1"/>
      </tp>
      <tp>
        <v>120.21</v>
        <stp/>
        <stp>Market</stp>
        <stp>INDEX</stp>
        <stp>VVIX</stp>
        <stp>年初来高値</stp>
        <tr r="V26" s="1"/>
      </tp>
    </main>
    <main first="rtdsrv.dff54f4b11dd4e0d9cb19000fb943d8c">
      <tp t="s">
        <v>2026/02/27</v>
        <stp/>
        <stp>Market</stp>
        <stp>INDEX</stp>
        <stp>N225.FUT04.OS</stp>
        <stp>前日日付</stp>
        <tr r="J75" s="1"/>
      </tp>
      <tp t="s">
        <v>2026/02/27</v>
        <stp/>
        <stp>Market</stp>
        <stp>INDEX</stp>
        <stp>N225.FUT05.OS</stp>
        <stp>前日日付</stp>
        <tr r="J76" s="1"/>
      </tp>
      <tp t="s">
        <v>2026/02/27</v>
        <stp/>
        <stp>Market</stp>
        <stp>INDEX</stp>
        <stp>N225.FUT01.OS</stp>
        <stp>前日日付</stp>
        <tr r="J72" s="1"/>
      </tp>
      <tp t="s">
        <v>2026/02/27</v>
        <stp/>
        <stp>Market</stp>
        <stp>INDEX</stp>
        <stp>N225.FUT02.OS</stp>
        <stp>前日日付</stp>
        <tr r="J73" s="1"/>
      </tp>
      <tp t="s">
        <v>2026/02/27</v>
        <stp/>
        <stp>Market</stp>
        <stp>INDEX</stp>
        <stp>N225.FUT03.OS</stp>
        <stp>前日日付</stp>
        <tr r="J74" s="1"/>
      </tp>
    </main>
    <main first="rtdsrv.dff54f4b11dd4e0d9cb19000fb943d8c">
      <tp>
        <v>0</v>
        <stp/>
        <stp>Market</stp>
        <stp>INDEX</stp>
        <stp>PALLADIUM.FUT04.OS</stp>
        <stp>高値</stp>
        <tr r="L138" s="1"/>
      </tp>
      <tp>
        <v>0</v>
        <stp/>
        <stp>Market</stp>
        <stp>INDEX</stp>
        <stp>JGB:FL</stp>
        <stp>年初来高値</stp>
        <tr r="V17" s="1"/>
      </tp>
    </main>
    <main first="rtdsrv.dff54f4b11dd4e0d9cb19000fb943d8c">
      <tp>
        <v>0</v>
        <stp/>
        <stp>Market</stp>
        <stp>INDEX</stp>
        <stp>JGB:FL</stp>
        <stp>上場来高値</stp>
        <tr r="X17" s="1"/>
      </tp>
      <tp>
        <v>904.67</v>
        <stp/>
        <stp>Market</stp>
        <stp>INDEX</stp>
        <stp>TSGMC</stp>
        <stp>現在値</stp>
        <tr r="E12" s="1"/>
      </tp>
    </main>
    <main first="rtdsrv.dff54f4b11dd4e0d9cb19000fb943d8c">
      <tp>
        <v>2527.64</v>
        <stp/>
        <stp>Market</stp>
        <stp>INDEX</stp>
        <stp>SIXY</stp>
        <stp>上場来高値</stp>
        <tr r="X32" s="1"/>
      </tp>
    </main>
    <main first="rtdsrv.dff54f4b11dd4e0d9cb19000fb943d8c">
      <tp>
        <v>2527.64</v>
        <stp/>
        <stp>Market</stp>
        <stp>INDEX</stp>
        <stp>SIXY</stp>
        <stp>年初来高値</stp>
        <tr r="V32" s="1"/>
      </tp>
      <tp t="s">
        <v/>
        <stp/>
        <stp>Market</stp>
        <stp>INDEX</stp>
        <stp>AUD/USD</stp>
        <stp>出来高</stp>
        <tr r="Q199" s="1"/>
      </tp>
    </main>
    <main first="rtdsrv.dff54f4b11dd4e0d9cb19000fb943d8c">
      <tp>
        <v>0</v>
        <stp/>
        <stp>Market</stp>
        <stp>INDEX</stp>
        <stp>PALLADIUM.FUT05.OS</stp>
        <stp>高値</stp>
        <tr r="L139" s="1"/>
      </tp>
      <tp t="s">
        <v/>
        <stp/>
        <stp>Market</stp>
        <stp>INDEX</stp>
        <stp>CNH/JPY</stp>
        <stp>年初来高値</stp>
        <tr r="V210" s="1"/>
      </tp>
      <tp t="s">
        <v/>
        <stp/>
        <stp>Market</stp>
        <stp>INDEX</stp>
        <stp>CNH/JPY</stp>
        <stp>上場来高値</stp>
        <tr r="X210" s="1"/>
      </tp>
      <tp t="s">
        <v/>
        <stp/>
        <stp>Market</stp>
        <stp>INDEX</stp>
        <stp>GOLD.FUT05.OS</stp>
        <stp>指標コード</stp>
        <tr r="A107" s="1"/>
      </tp>
      <tp t="s">
        <v/>
        <stp/>
        <stp>Market</stp>
        <stp>INDEX</stp>
        <stp>GOLD.FUT04.OS</stp>
        <stp>指標コード</stp>
        <tr r="A106" s="1"/>
      </tp>
      <tp t="s">
        <v/>
        <stp/>
        <stp>Market</stp>
        <stp>INDEX</stp>
        <stp>GOLD.FUT06.OS</stp>
        <stp>指標コード</stp>
        <tr r="A108" s="1"/>
      </tp>
      <tp t="s">
        <v/>
        <stp/>
        <stp>Market</stp>
        <stp>INDEX</stp>
        <stp>GOLD.FUT01.OS</stp>
        <stp>指標コード</stp>
        <tr r="A103" s="1"/>
      </tp>
      <tp t="s">
        <v/>
        <stp/>
        <stp>Market</stp>
        <stp>INDEX</stp>
        <stp>GOLD.FUT03.OS</stp>
        <stp>指標コード</stp>
        <tr r="A105" s="1"/>
      </tp>
      <tp t="s">
        <v/>
        <stp/>
        <stp>Market</stp>
        <stp>INDEX</stp>
        <stp>GOLD.FUT02.OS</stp>
        <stp>指標コード</stp>
        <tr r="A104" s="1"/>
      </tp>
    </main>
    <main first="rtdsrv.dff54f4b11dd4e0d9cb19000fb943d8c">
      <tp>
        <v>0</v>
        <stp/>
        <stp>Market</stp>
        <stp>INDEX</stp>
        <stp>JGB:FDI</stp>
        <stp>高値</stp>
        <tr r="L19" s="1"/>
      </tp>
    </main>
    <main first="rtdsrv.dff54f4b11dd4e0d9cb19000fb943d8c">
      <tp t="s">
        <v>2025/12/11</v>
        <stp/>
        <stp>Market</stp>
        <stp>INDEX</stp>
        <stp>RSS3.FUT09.OS</stp>
        <stp>前日日付</stp>
        <tr r="J149" s="1"/>
      </tp>
      <tp t="s">
        <v/>
        <stp/>
        <stp>Market</stp>
        <stp>INDEX</stp>
        <stp>RSS3.FUT08.OS</stp>
        <stp>前日日付</stp>
        <tr r="J148" s="1"/>
      </tp>
      <tp t="s">
        <v>2026/02/27</v>
        <stp/>
        <stp>Market</stp>
        <stp>INDEX</stp>
        <stp>RSS3.FUT05.OS</stp>
        <stp>前日日付</stp>
        <tr r="J145" s="1"/>
      </tp>
      <tp t="s">
        <v>2026/02/27</v>
        <stp/>
        <stp>Market</stp>
        <stp>INDEX</stp>
        <stp>RSS3.FUT04.OS</stp>
        <stp>前日日付</stp>
        <tr r="J144" s="1"/>
      </tp>
      <tp t="s">
        <v/>
        <stp/>
        <stp>Market</stp>
        <stp>INDEX</stp>
        <stp>RSS3.FUT07.OS</stp>
        <stp>前日日付</stp>
        <tr r="J147" s="1"/>
      </tp>
      <tp t="s">
        <v>2026/02/27</v>
        <stp/>
        <stp>Market</stp>
        <stp>INDEX</stp>
        <stp>RSS3.FUT06.OS</stp>
        <stp>前日日付</stp>
        <tr r="J146" s="1"/>
      </tp>
      <tp t="s">
        <v>2026/02/27</v>
        <stp/>
        <stp>Market</stp>
        <stp>INDEX</stp>
        <stp>RSS3.FUT01.OS</stp>
        <stp>前日日付</stp>
        <tr r="J141" s="1"/>
      </tp>
      <tp t="s">
        <v>2026/02/27</v>
        <stp/>
        <stp>Market</stp>
        <stp>INDEX</stp>
        <stp>RSS3.FUT03.OS</stp>
        <stp>前日日付</stp>
        <tr r="J143" s="1"/>
      </tp>
      <tp t="s">
        <v>2026/02/27</v>
        <stp/>
        <stp>Market</stp>
        <stp>INDEX</stp>
        <stp>RSS3.FUT02.OS</stp>
        <stp>前日日付</stp>
        <tr r="J142" s="1"/>
      </tp>
    </main>
    <main first="rtdsrv.dff54f4b11dd4e0d9cb19000fb943d8c">
      <tp t="s">
        <v>2026/02/20</v>
        <stp/>
        <stp>Market</stp>
        <stp>INDEX</stp>
        <stp>RSS3.FUT11.OS</stp>
        <stp>前日日付</stp>
        <tr r="J151" s="1"/>
      </tp>
      <tp t="s">
        <v/>
        <stp/>
        <stp>Market</stp>
        <stp>INDEX</stp>
        <stp>RSS3.FUT10.OS</stp>
        <stp>前日日付</stp>
        <tr r="J150" s="1"/>
      </tp>
      <tp t="s">
        <v/>
        <stp/>
        <stp>Market</stp>
        <stp>INDEX</stp>
        <stp>RSS3.FUT12.OS</stp>
        <stp>前日日付</stp>
        <tr r="J152" s="1"/>
      </tp>
    </main>
    <main first="rtdsrv.dff54f4b11dd4e0d9cb19000fb943d8c">
      <tp>
        <v>-0.79</v>
        <stp/>
        <stp>Market</stp>
        <stp>INDEX</stp>
        <stp>N225U.FUT01.OS</stp>
        <stp>前日比率</stp>
        <tr r="H82" s="1"/>
      </tp>
      <tp>
        <v>-0.71</v>
        <stp/>
        <stp>Market</stp>
        <stp>INDEX</stp>
        <stp>N225U.FUT02.OS</stp>
        <stp>前日比率</stp>
        <tr r="H83" s="1"/>
      </tp>
      <tp>
        <v>-0.35</v>
        <stp/>
        <stp>Market</stp>
        <stp>INDEX</stp>
        <stp>N225U.FUT03.OS</stp>
        <stp>前日比率</stp>
        <tr r="H84" s="1"/>
      </tp>
      <tp>
        <v>-0.79</v>
        <stp/>
        <stp>Market</stp>
        <stp>INDEX</stp>
        <stp>N225U.FUT04.OS</stp>
        <stp>前日比率</stp>
        <tr r="H85" s="1"/>
      </tp>
    </main>
    <main first="rtdsrv.dff54f4b11dd4e0d9cb19000fb943d8c">
      <tp>
        <v>0</v>
        <stp/>
        <stp>Market</stp>
        <stp>INDEX</stp>
        <stp>PALLADIUM.FUT02.OS</stp>
        <stp>高値</stp>
        <tr r="L136" s="1"/>
      </tp>
      <tp t="s">
        <v/>
        <stp/>
        <stp>Market</stp>
        <stp>INDEX</stp>
        <stp>EUR/USD</stp>
        <stp>年初来高値</stp>
        <tr r="V197" s="1"/>
      </tp>
      <tp t="s">
        <v/>
        <stp/>
        <stp>Market</stp>
        <stp>INDEX</stp>
        <stp>GBP/CHF</stp>
        <stp>年初来高値</stp>
        <tr r="V202" s="1"/>
      </tp>
      <tp t="s">
        <v/>
        <stp/>
        <stp>Market</stp>
        <stp>INDEX</stp>
        <stp>EUR/AUD</stp>
        <stp>年初来高値</stp>
        <tr r="V213" s="1"/>
      </tp>
      <tp t="s">
        <v/>
        <stp/>
        <stp>Market</stp>
        <stp>INDEX</stp>
        <stp>EUR/AUD</stp>
        <stp>上場来高値</stp>
        <tr r="X213" s="1"/>
      </tp>
      <tp t="s">
        <v/>
        <stp/>
        <stp>Market</stp>
        <stp>INDEX</stp>
        <stp>GBP/CHF</stp>
        <stp>上場来高値</stp>
        <tr r="X202" s="1"/>
      </tp>
      <tp t="s">
        <v/>
        <stp/>
        <stp>Market</stp>
        <stp>INDEX</stp>
        <stp>EUR/USD</stp>
        <stp>上場来高値</stp>
        <tr r="X197" s="1"/>
      </tp>
      <tp>
        <v>613.37</v>
        <stp/>
        <stp>Market</stp>
        <stp>INDEX</stp>
        <stp>SPESG</stp>
        <stp>前年最高値</stp>
        <tr r="S38" s="1"/>
      </tp>
    </main>
    <main first="rtdsrv.dff54f4b11dd4e0d9cb19000fb943d8c">
      <tp t="s">
        <v/>
        <stp/>
        <stp>Market</stp>
        <stp>INDEX</stp>
        <stp>NZD/JPY</stp>
        <stp>売買代金</stp>
        <tr r="R191" s="1"/>
      </tp>
      <tp t="s">
        <v/>
        <stp/>
        <stp>Market</stp>
        <stp>INDEX</stp>
        <stp>GBP/CHF</stp>
        <stp>売買代金</stp>
        <tr r="R202" s="1"/>
      </tp>
    </main>
    <main first="rtdsrv.dff54f4b11dd4e0d9cb19000fb943d8c">
      <tp>
        <v>0</v>
        <stp/>
        <stp>Market</stp>
        <stp>INDEX</stp>
        <stp>REDBEAN.FUT06.OS</stp>
        <stp>売買代金</stp>
        <tr r="R170" s="1"/>
      </tp>
      <tp>
        <v>0</v>
        <stp/>
        <stp>Market</stp>
        <stp>INDEX</stp>
        <stp>REDBEAN.FUT04.OS</stp>
        <stp>売買代金</stp>
        <tr r="R168" s="1"/>
      </tp>
      <tp>
        <v>0</v>
        <stp/>
        <stp>Market</stp>
        <stp>INDEX</stp>
        <stp>REDBEAN.FUT05.OS</stp>
        <stp>売買代金</stp>
        <tr r="R169" s="1"/>
      </tp>
      <tp>
        <v>0</v>
        <stp/>
        <stp>Market</stp>
        <stp>INDEX</stp>
        <stp>REDBEAN.FUT02.OS</stp>
        <stp>売買代金</stp>
        <tr r="R166" s="1"/>
      </tp>
      <tp>
        <v>0</v>
        <stp/>
        <stp>Market</stp>
        <stp>INDEX</stp>
        <stp>REDBEAN.FUT03.OS</stp>
        <stp>売買代金</stp>
        <tr r="R167" s="1"/>
      </tp>
      <tp>
        <v>0</v>
        <stp/>
        <stp>Market</stp>
        <stp>INDEX</stp>
        <stp>REDBEAN.FUT01.OS</stp>
        <stp>売買代金</stp>
        <tr r="R165" s="1"/>
      </tp>
    </main>
    <main first="rtdsrv.dff54f4b11dd4e0d9cb19000fb943d8c">
      <tp t="s">
        <v/>
        <stp/>
        <stp>Market</stp>
        <stp>INDEX</stp>
        <stp>GBP/USD</stp>
        <stp>出来高</stp>
        <tr r="Q198" s="1"/>
      </tp>
    </main>
    <main first="rtdsrv.dff54f4b11dd4e0d9cb19000fb943d8c">
      <tp t="s">
        <v>JGB:F</v>
        <stp/>
        <stp>Market</stp>
        <stp>INDEX</stp>
        <stp>JGB:F</stp>
        <stp>指標コード</stp>
        <tr r="A16" s="1"/>
      </tp>
    </main>
    <main first="rtdsrv.dff54f4b11dd4e0d9cb19000fb943d8c">
      <tp t="s">
        <v/>
        <stp/>
        <stp>Market</stp>
        <stp>INDEX</stp>
        <stp>N225.FUT01.S</stp>
        <stp>前年最高値</stp>
        <tr r="S185" s="1"/>
      </tp>
      <tp t="s">
        <v/>
        <stp/>
        <stp>Market</stp>
        <stp>INDEX</stp>
        <stp>N225.FUT02.S</stp>
        <stp>前年最高値</stp>
        <tr r="S186" s="1"/>
      </tp>
      <tp t="s">
        <v>TS1EX</v>
        <stp/>
        <stp>Market</stp>
        <stp>INDEX</stp>
        <stp>TS1EX</stp>
        <stp>指標コード</stp>
        <tr r="A10" s="1"/>
      </tp>
    </main>
    <main first="rtdsrv.dff54f4b11dd4e0d9cb19000fb943d8c">
      <tp>
        <v>0</v>
        <stp/>
        <stp>Market</stp>
        <stp>INDEX</stp>
        <stp>PALLADIUM.FUT03.OS</stp>
        <stp>高値</stp>
        <tr r="L137" s="1"/>
      </tp>
      <tp t="s">
        <v/>
        <stp/>
        <stp>Market</stp>
        <stp>INDEX</stp>
        <stp>MXN/JPY</stp>
        <stp>年初来高値</stp>
        <tr r="V211" s="1"/>
      </tp>
    </main>
    <main first="rtdsrv.dff54f4b11dd4e0d9cb19000fb943d8c">
      <tp t="s">
        <v/>
        <stp/>
        <stp>Market</stp>
        <stp>INDEX</stp>
        <stp>MXN/JPY</stp>
        <stp>上場来高値</stp>
        <tr r="X211" s="1"/>
      </tp>
      <tp>
        <v>0</v>
        <stp/>
        <stp>Market</stp>
        <stp>INDEX</stp>
        <stp>FTSECA50</stp>
        <stp>前日比率</stp>
        <tr r="H102" s="1"/>
      </tp>
    </main>
    <main first="rtdsrv.dff54f4b11dd4e0d9cb19000fb943d8c">
      <tp>
        <v>11206.4</v>
        <stp/>
        <stp>Market</stp>
        <stp>INDEX</stp>
        <stp>JGB:F</stp>
        <stp>前日終値</stp>
        <tr r="I16" s="1"/>
      </tp>
      <tp t="s">
        <v/>
        <stp/>
        <stp>Market</stp>
        <stp>INDEX</stp>
        <stp>NZD/USD</stp>
        <stp>売買代金</stp>
        <tr r="R200" s="1"/>
      </tp>
    </main>
    <main first="rtdsrv.dff54f4b11dd4e0d9cb19000fb943d8c">
      <tp>
        <v>1070985</v>
        <stp/>
        <stp>Market</stp>
        <stp>INDEX</stp>
        <stp>PLATINUMMINI.FUT06.OS</stp>
        <stp>売買代金</stp>
        <tr r="R127" s="1"/>
      </tp>
      <tp>
        <v>0</v>
        <stp/>
        <stp>Market</stp>
        <stp>INDEX</stp>
        <stp>PLATINUMMINI.FUT04.OS</stp>
        <stp>売買代金</stp>
        <tr r="R125" s="1"/>
      </tp>
      <tp>
        <v>310571</v>
        <stp/>
        <stp>Market</stp>
        <stp>INDEX</stp>
        <stp>PLATINUMMINI.FUT05.OS</stp>
        <stp>売買代金</stp>
        <tr r="R126" s="1"/>
      </tp>
      <tp>
        <v>0</v>
        <stp/>
        <stp>Market</stp>
        <stp>INDEX</stp>
        <stp>PLATINUMMINI.FUT02.OS</stp>
        <stp>売買代金</stp>
        <tr r="R123" s="1"/>
      </tp>
      <tp>
        <v>0</v>
        <stp/>
        <stp>Market</stp>
        <stp>INDEX</stp>
        <stp>PLATINUMMINI.FUT03.OS</stp>
        <stp>売買代金</stp>
        <tr r="R124" s="1"/>
      </tp>
      <tp>
        <v>0</v>
        <stp/>
        <stp>Market</stp>
        <stp>INDEX</stp>
        <stp>PLATINUMMINI.FUT01.OS</stp>
        <stp>売買代金</stp>
        <tr r="R122" s="1"/>
      </tp>
      <tp>
        <v>11229.23</v>
        <stp/>
        <stp>Market</stp>
        <stp>INDEX</stp>
        <stp>JGB:F</stp>
        <stp>現在値</stp>
        <tr r="E16" s="1"/>
      </tp>
    </main>
    <main first="rtdsrv.dff54f4b11dd4e0d9cb19000fb943d8c">
      <tp t="s">
        <v>2026/02/26</v>
        <stp/>
        <stp>Market</stp>
        <stp>INDEX</stp>
        <stp>JGB:FI</stp>
        <stp>前日日付</stp>
        <tr r="J18" s="1"/>
      </tp>
    </main>
    <main first="rtdsrv.dff54f4b11dd4e0d9cb19000fb943d8c">
      <tp>
        <v>-0.48</v>
        <stp/>
        <stp>Market</stp>
        <stp>INDEX</stp>
        <stp>NQUSLT</stp>
        <stp>前日比率</stp>
        <tr r="H56" s="1"/>
      </tp>
      <tp t="s">
        <v>2026/02/26</v>
        <stp/>
        <stp>Market</stp>
        <stp>INDEX</stp>
        <stp>JGB:FL</stp>
        <stp>前日日付</stp>
        <tr r="J17" s="1"/>
      </tp>
      <tp t="s">
        <v/>
        <stp/>
        <stp>Market</stp>
        <stp>INDEX</stp>
        <stp>GBP/USD</stp>
        <stp>年初来高値</stp>
        <tr r="V198" s="1"/>
      </tp>
      <tp t="s">
        <v/>
        <stp/>
        <stp>Market</stp>
        <stp>INDEX</stp>
        <stp>EUR/CHF</stp>
        <stp>年初来高値</stp>
        <tr r="V204" s="1"/>
      </tp>
      <tp t="s">
        <v/>
        <stp/>
        <stp>Market</stp>
        <stp>INDEX</stp>
        <stp>GBP/AUD</stp>
        <stp>年初来高値</stp>
        <tr r="V214" s="1"/>
      </tp>
      <tp t="s">
        <v>2026/02/26</v>
        <stp/>
        <stp>Market</stp>
        <stp>INDEX</stp>
        <stp>NQCYBR</stp>
        <stp>前日日付</stp>
        <tr r="J59" s="1"/>
      </tp>
    </main>
    <main first="rtdsrv.dff54f4b11dd4e0d9cb19000fb943d8c">
      <tp t="s">
        <v>2026/02/26</v>
        <stp/>
        <stp>Market</stp>
        <stp>INDEX</stp>
        <stp>NQROBO</stp>
        <stp>前日日付</stp>
        <tr r="J61" s="1"/>
      </tp>
      <tp t="s">
        <v/>
        <stp/>
        <stp>Market</stp>
        <stp>INDEX</stp>
        <stp>GBP/AUD</stp>
        <stp>上場来高値</stp>
        <tr r="X214" s="1"/>
      </tp>
      <tp t="s">
        <v/>
        <stp/>
        <stp>Market</stp>
        <stp>INDEX</stp>
        <stp>EUR/CHF</stp>
        <stp>上場来高値</stp>
        <tr r="X204" s="1"/>
      </tp>
      <tp t="s">
        <v/>
        <stp/>
        <stp>Market</stp>
        <stp>INDEX</stp>
        <stp>GBP/USD</stp>
        <stp>上場来高値</stp>
        <tr r="X198" s="1"/>
      </tp>
      <tp>
        <v>215.29</v>
        <stp/>
        <stp>Market</stp>
        <stp>INDEX</stp>
        <stp>SIXRE</stp>
        <stp>前年最高値</stp>
        <tr r="S30" s="1"/>
      </tp>
    </main>
    <main first="rtdsrv.dff54f4b11dd4e0d9cb19000fb943d8c">
      <tp>
        <v>8859.49</v>
        <stp/>
        <stp>Market</stp>
        <stp>INDEX</stp>
        <stp>HSCEI</stp>
        <stp>現在値</stp>
        <tr r="E66" s="1"/>
      </tp>
      <tp>
        <v>4439.6499999999996</v>
        <stp/>
        <stp>Market</stp>
        <stp>INDEX</stp>
        <stp>HSCCI</stp>
        <stp>現在値</stp>
        <tr r="E67" s="1"/>
      </tp>
    </main>
    <main first="rtdsrv.dff54f4b11dd4e0d9cb19000fb943d8c">
      <tp t="s">
        <v/>
        <stp/>
        <stp>Market</stp>
        <stp>INDEX</stp>
        <stp>MXN/JPY</stp>
        <stp>売買代金</stp>
        <tr r="R211" s="1"/>
      </tp>
    </main>
    <main first="rtdsrv.dff54f4b11dd4e0d9cb19000fb943d8c">
      <tp>
        <v>21737.96</v>
        <stp/>
        <stp>Market</stp>
        <stp>INDEX</stp>
        <stp>IXCO</stp>
        <stp>現在値</stp>
        <tr r="E45" s="1"/>
      </tp>
    </main>
    <main first="rtdsrv.dff54f4b11dd4e0d9cb19000fb943d8c">
      <tp>
        <v>1218.8499999999999</v>
        <stp/>
        <stp>Market</stp>
        <stp>INDEX</stp>
        <stp>IXHC</stp>
        <stp>現在値</stp>
        <tr r="E48" s="1"/>
      </tp>
    </main>
    <main first="rtdsrv.dff54f4b11dd4e0d9cb19000fb943d8c">
      <tp>
        <v>557.96</v>
        <stp/>
        <stp>Market</stp>
        <stp>INDEX</stp>
        <stp>IXTC</stp>
        <stp>現在値</stp>
        <tr r="E44" s="1"/>
      </tp>
    </main>
    <main first="rtdsrv.dff54f4b11dd4e0d9cb19000fb943d8c">
      <tp t="s">
        <v/>
        <stp/>
        <stp>Market</stp>
        <stp>INDEX</stp>
        <stp>ZAR/JPY</stp>
        <stp>出来高</stp>
        <tr r="Q192" s="1"/>
      </tp>
    </main>
    <main first="rtdsrv.dff54f4b11dd4e0d9cb19000fb943d8c">
      <tp t="s">
        <v/>
        <stp/>
        <stp>Market</stp>
        <stp>INDEX</stp>
        <stp>EUR/USD</stp>
        <stp>出来高</stp>
        <tr r="Q197" s="1"/>
      </tp>
    </main>
    <main first="rtdsrv.dff54f4b11dd4e0d9cb19000fb943d8c">
      <tp>
        <v>-0.71</v>
        <stp/>
        <stp>Market</stp>
        <stp>INDEX</stp>
        <stp>NQUSMT</stp>
        <stp>前日比率</stp>
        <tr r="H57" s="1"/>
      </tp>
      <tp>
        <v>0</v>
        <stp/>
        <stp>Market</stp>
        <stp>INDEX</stp>
        <stp>PALLADIUM.FUT01.OS</stp>
        <stp>高値</stp>
        <tr r="L135" s="1"/>
      </tp>
    </main>
    <main first="rtdsrv.dff54f4b11dd4e0d9cb19000fb943d8c">
      <tp>
        <v>976.51</v>
        <stp/>
        <stp>Market</stp>
        <stp>INDEX</stp>
        <stp>TSGMC</stp>
        <stp>前年最高値</stp>
        <tr r="S12" s="1"/>
      </tp>
      <tp>
        <v>0</v>
        <stp/>
        <stp>Market</stp>
        <stp>INDEX</stp>
        <stp>JGB:FI</stp>
        <stp>年初来高値</stp>
        <tr r="V18" s="1"/>
      </tp>
      <tp t="s">
        <v/>
        <stp/>
        <stp>Market</stp>
        <stp>INDEX</stp>
        <stp>CORN.FUT05.OS</stp>
        <stp>指標コード</stp>
        <tr r="A181" s="1"/>
      </tp>
      <tp t="s">
        <v/>
        <stp/>
        <stp>Market</stp>
        <stp>INDEX</stp>
        <stp>CORN.FUT04.OS</stp>
        <stp>指標コード</stp>
        <tr r="A180" s="1"/>
      </tp>
      <tp t="s">
        <v/>
        <stp/>
        <stp>Market</stp>
        <stp>INDEX</stp>
        <stp>CORN.FUT06.OS</stp>
        <stp>指標コード</stp>
        <tr r="A182" s="1"/>
      </tp>
      <tp t="s">
        <v/>
        <stp/>
        <stp>Market</stp>
        <stp>INDEX</stp>
        <stp>CORN.FUT01.OS</stp>
        <stp>指標コード</stp>
        <tr r="A177" s="1"/>
      </tp>
      <tp t="s">
        <v/>
        <stp/>
        <stp>Market</stp>
        <stp>INDEX</stp>
        <stp>CORN.FUT03.OS</stp>
        <stp>指標コード</stp>
        <tr r="A179" s="1"/>
      </tp>
      <tp t="s">
        <v/>
        <stp/>
        <stp>Market</stp>
        <stp>INDEX</stp>
        <stp>CORN.FUT02.OS</stp>
        <stp>指標コード</stp>
        <tr r="A178" s="1"/>
      </tp>
    </main>
    <main first="rtdsrv.dff54f4b11dd4e0d9cb19000fb943d8c">
      <tp>
        <v>0</v>
        <stp/>
        <stp>Market</stp>
        <stp>INDEX</stp>
        <stp>JGB:FI</stp>
        <stp>上場来高値</stp>
        <tr r="X18" s="1"/>
      </tp>
    </main>
    <main first="rtdsrv.dff54f4b11dd4e0d9cb19000fb943d8c">
      <tp>
        <v>15949.43</v>
        <stp/>
        <stp>Market</stp>
        <stp>INDEX</stp>
        <stp>INSR</stp>
        <stp>年初来高値</stp>
        <tr r="V41" s="1"/>
      </tp>
      <tp>
        <v>764.96</v>
        <stp/>
        <stp>Market</stp>
        <stp>INDEX</stp>
        <stp>MTHR</stp>
        <stp>年初来高値</stp>
        <tr r="V13" s="1"/>
      </tp>
    </main>
    <main first="rtdsrv.dff54f4b11dd4e0d9cb19000fb943d8c">
      <tp>
        <v>909.62</v>
        <stp/>
        <stp>Market</stp>
        <stp>INDEX</stp>
        <stp>SIXR</stp>
        <stp>上場来高値</stp>
        <tr r="X35" s="1"/>
      </tp>
      <tp>
        <v>16871.93</v>
        <stp/>
        <stp>Market</stp>
        <stp>INDEX</stp>
        <stp>INSR</stp>
        <stp>上場来高値</stp>
        <tr r="X41" s="1"/>
      </tp>
      <tp>
        <v>2800.68</v>
        <stp/>
        <stp>Market</stp>
        <stp>INDEX</stp>
        <stp>MTHR</stp>
        <stp>上場来高値</stp>
        <tr r="X13" s="1"/>
      </tp>
    </main>
    <main first="rtdsrv.dff54f4b11dd4e0d9cb19000fb943d8c">
      <tp>
        <v>909.62</v>
        <stp/>
        <stp>Market</stp>
        <stp>INDEX</stp>
        <stp>SIXR</stp>
        <stp>年初来高値</stp>
        <tr r="V35" s="1"/>
      </tp>
      <tp t="s">
        <v/>
        <stp/>
        <stp>Market</stp>
        <stp>INDEX</stp>
        <stp>USD/JPY</stp>
        <stp>出来高</stp>
        <tr r="Q187" s="1"/>
      </tp>
      <tp t="s">
        <v>HSCEI</v>
        <stp/>
        <stp>Market</stp>
        <stp>INDEX</stp>
        <stp>HSCEI</stp>
        <stp>指標コード</stp>
        <tr r="A66" s="1"/>
      </tp>
      <tp t="s">
        <v>HSCCI</v>
        <stp/>
        <stp>Market</stp>
        <stp>INDEX</stp>
        <stp>HSCCI</stp>
        <stp>指標コード</stp>
        <tr r="A67" s="1"/>
      </tp>
      <tp>
        <v>-1.43</v>
        <stp/>
        <stp>Market</stp>
        <stp>INDEX</stp>
        <stp>NQCYBR</stp>
        <stp>前日比率</stp>
        <tr r="H59" s="1"/>
      </tp>
      <tp t="s">
        <v>2026/02/26</v>
        <stp/>
        <stp>Market</stp>
        <stp>INDEX</stp>
        <stp>NQUSLT</stp>
        <stp>前日日付</stp>
        <tr r="J56" s="1"/>
      </tp>
      <tp>
        <v>0.41</v>
        <stp/>
        <stp>Market</stp>
        <stp>INDEX</stp>
        <stp>JGB:FL</stp>
        <stp>前日比率</stp>
        <tr r="H17" s="1"/>
      </tp>
      <tp>
        <v>-0.2</v>
        <stp/>
        <stp>Market</stp>
        <stp>INDEX</stp>
        <stp>JGB:FI</stp>
        <stp>前日比率</stp>
        <tr r="H18" s="1"/>
      </tp>
      <tp>
        <v>-1.39</v>
        <stp/>
        <stp>Market</stp>
        <stp>INDEX</stp>
        <stp>NQROBO</stp>
        <stp>前日比率</stp>
        <tr r="H61" s="1"/>
      </tp>
    </main>
    <main first="rtdsrv.dff54f4b11dd4e0d9cb19000fb943d8c">
      <tp t="s">
        <v/>
        <stp/>
        <stp>Market</stp>
        <stp>INDEX</stp>
        <stp>AUD/USD</stp>
        <stp>売買代金</stp>
        <tr r="R199" s="1"/>
      </tp>
    </main>
    <main first="rtdsrv.dff54f4b11dd4e0d9cb19000fb943d8c">
      <tp t="s">
        <v>15:45</v>
        <stp/>
        <stp>Market</stp>
        <stp>INDEX</stp>
        <stp>N225</stp>
        <stp>更新時刻</stp>
        <tr r="D2" s="1"/>
      </tp>
      <tp t="s">
        <v/>
        <stp/>
        <stp>Market</stp>
        <stp>INDEX</stp>
        <stp>EUR/USD</stp>
        <stp>売買代金</stp>
        <tr r="R197" s="1"/>
      </tp>
    </main>
    <main first="rtdsrv.dff54f4b11dd4e0d9cb19000fb943d8c">
      <tp>
        <v>110.89</v>
        <stp/>
        <stp>Market</stp>
        <stp>INDEX</stp>
        <stp>VVIX</stp>
        <stp>現在値</stp>
        <tr r="E26" s="1"/>
      </tp>
    </main>
    <main first="rtdsrv.dff54f4b11dd4e0d9cb19000fb943d8c">
      <tp>
        <v>1626.91</v>
        <stp/>
        <stp>Market</stp>
        <stp>INDEX</stp>
        <stp>TSM20</stp>
        <stp>現在値</stp>
        <tr r="E11" s="1"/>
      </tp>
      <tp>
        <v>13059.43</v>
        <stp/>
        <stp>Market</stp>
        <stp>INDEX</stp>
        <stp>INDS</stp>
        <stp>年初来高値</stp>
        <tr r="V39" s="1"/>
      </tp>
      <tp t="s">
        <v/>
        <stp/>
        <stp>Market</stp>
        <stp>INDEX</stp>
        <stp>PLATINUMMINI.FUT04.OS</stp>
        <stp>前年最高値</stp>
        <tr r="S125" s="1"/>
      </tp>
      <tp t="s">
        <v/>
        <stp/>
        <stp>Market</stp>
        <stp>INDEX</stp>
        <stp>TOPX.FUT01.OS</stp>
        <stp>前年最高値</stp>
        <tr r="S86" s="1"/>
      </tp>
      <tp t="s">
        <v/>
        <stp/>
        <stp>Market</stp>
        <stp>INDEX</stp>
        <stp>PLATINUMMINI.FUT05.OS</stp>
        <stp>前年最高値</stp>
        <tr r="S126" s="1"/>
      </tp>
      <tp t="s">
        <v/>
        <stp/>
        <stp>Market</stp>
        <stp>INDEX</stp>
        <stp>TOPX.FUT02.OS</stp>
        <stp>前年最高値</stp>
        <tr r="S87" s="1"/>
      </tp>
      <tp t="s">
        <v/>
        <stp/>
        <stp>Market</stp>
        <stp>INDEX</stp>
        <stp>PLATINUMMINI.FUT06.OS</stp>
        <stp>前年最高値</stp>
        <tr r="S127" s="1"/>
      </tp>
      <tp t="s">
        <v/>
        <stp/>
        <stp>Market</stp>
        <stp>INDEX</stp>
        <stp>TOPX.FUT03.OS</stp>
        <stp>前年最高値</stp>
        <tr r="S88" s="1"/>
      </tp>
      <tp t="s">
        <v/>
        <stp/>
        <stp>Market</stp>
        <stp>INDEX</stp>
        <stp>TOPX.FUT04.OS</stp>
        <stp>前年最高値</stp>
        <tr r="S89" s="1"/>
      </tp>
      <tp t="s">
        <v/>
        <stp/>
        <stp>Market</stp>
        <stp>INDEX</stp>
        <stp>TOPX.FUT05.OS</stp>
        <stp>前年最高値</stp>
        <tr r="S90" s="1"/>
      </tp>
      <tp t="s">
        <v/>
        <stp/>
        <stp>Market</stp>
        <stp>INDEX</stp>
        <stp>PLATINUMMINI.FUT01.OS</stp>
        <stp>前年最高値</stp>
        <tr r="S122" s="1"/>
      </tp>
      <tp t="s">
        <v/>
        <stp/>
        <stp>Market</stp>
        <stp>INDEX</stp>
        <stp>PLATINUMMINI.FUT02.OS</stp>
        <stp>前年最高値</stp>
        <tr r="S123" s="1"/>
      </tp>
      <tp t="s">
        <v/>
        <stp/>
        <stp>Market</stp>
        <stp>INDEX</stp>
        <stp>PLATINUMMINI.FUT03.OS</stp>
        <stp>前年最高値</stp>
        <tr r="S124" s="1"/>
      </tp>
    </main>
    <main first="rtdsrv.dff54f4b11dd4e0d9cb19000fb943d8c">
      <tp>
        <v>13160.46</v>
        <stp/>
        <stp>Market</stp>
        <stp>INDEX</stp>
        <stp>INDS</stp>
        <stp>上場来高値</stp>
        <tr r="X39" s="1"/>
      </tp>
      <tp t="s">
        <v>-</v>
        <stp/>
        <stp>Market</stp>
        <stp>INDEX</stp>
        <stp>CSI300</stp>
        <stp>出来高</stp>
        <tr r="Q71" s="1"/>
      </tp>
    </main>
    <main first="rtdsrv.dff54f4b11dd4e0d9cb19000fb943d8c">
      <tp t="s">
        <v/>
        <stp/>
        <stp>Market</stp>
        <stp>INDEX</stp>
        <stp>TRY/JPY</stp>
        <stp>出来高</stp>
        <tr r="Q209" s="1"/>
      </tp>
      <tp t="s">
        <v>TREIT</v>
        <stp/>
        <stp>Market</stp>
        <stp>INDEX</stp>
        <stp>TREIT</stp>
        <stp>指標コード</stp>
        <tr r="A15" s="1"/>
      </tp>
    </main>
    <main first="rtdsrv.dff54f4b11dd4e0d9cb19000fb943d8c">
      <tp t="s">
        <v>2026/02/26</v>
        <stp/>
        <stp>Market</stp>
        <stp>INDEX</stp>
        <stp>NQUSMT</stp>
        <stp>前日日付</stp>
        <tr r="J57" s="1"/>
      </tp>
      <tp>
        <v>46</v>
        <stp/>
        <stp>Market</stp>
        <stp>INDEX</stp>
        <stp>GOLDMINI.FUT04.OS</stp>
        <stp>出来高</stp>
        <tr r="Q112" s="1"/>
      </tp>
      <tp>
        <v>760</v>
        <stp/>
        <stp>Market</stp>
        <stp>INDEX</stp>
        <stp>GOLDMINI.FUT05.OS</stp>
        <stp>出来高</stp>
        <tr r="Q113" s="1"/>
      </tp>
      <tp>
        <v>6359</v>
        <stp/>
        <stp>Market</stp>
        <stp>INDEX</stp>
        <stp>GOLDMINI.FUT06.OS</stp>
        <stp>出来高</stp>
        <tr r="Q114" s="1"/>
      </tp>
      <tp>
        <v>5</v>
        <stp/>
        <stp>Market</stp>
        <stp>INDEX</stp>
        <stp>GOLDMINI.FUT01.OS</stp>
        <stp>出来高</stp>
        <tr r="Q109" s="1"/>
      </tp>
      <tp>
        <v>1</v>
        <stp/>
        <stp>Market</stp>
        <stp>INDEX</stp>
        <stp>GOLDMINI.FUT02.OS</stp>
        <stp>出来高</stp>
        <tr r="Q110" s="1"/>
      </tp>
      <tp>
        <v>6</v>
        <stp/>
        <stp>Market</stp>
        <stp>INDEX</stp>
        <stp>GOLDMINI.FUT03.OS</stp>
        <stp>出来高</stp>
        <tr r="Q111" s="1"/>
      </tp>
    </main>
    <main first="rtdsrv.dff54f4b11dd4e0d9cb19000fb943d8c">
      <tp t="s">
        <v/>
        <stp/>
        <stp>Market</stp>
        <stp>INDEX</stp>
        <stp>EUR/JPY</stp>
        <stp>売買代金</stp>
        <tr r="R188" s="1"/>
      </tp>
      <tp>
        <v>58600</v>
        <stp/>
        <stp>Market</stp>
        <stp>INDEX</stp>
        <stp>N225M.FUT03.OS</stp>
        <stp>前日終値</stp>
        <tr r="I79" s="1"/>
      </tp>
      <tp>
        <v>58795</v>
        <stp/>
        <stp>Market</stp>
        <stp>INDEX</stp>
        <stp>N225M.FUT02.OS</stp>
        <stp>前日終値</stp>
        <tr r="I78" s="1"/>
      </tp>
      <tp>
        <v>59100</v>
        <stp/>
        <stp>Market</stp>
        <stp>INDEX</stp>
        <stp>N225M.FUT01.OS</stp>
        <stp>前日終値</stp>
        <tr r="I77" s="1"/>
      </tp>
      <tp>
        <v>58745</v>
        <stp/>
        <stp>Market</stp>
        <stp>INDEX</stp>
        <stp>N225M.FUT05.OS</stp>
        <stp>前日終値</stp>
        <tr r="I81" s="1"/>
      </tp>
      <tp>
        <v>58895</v>
        <stp/>
        <stp>Market</stp>
        <stp>INDEX</stp>
        <stp>N225M.FUT04.OS</stp>
        <stp>前日終値</stp>
        <tr r="I80" s="1"/>
      </tp>
      <tp t="s">
        <v/>
        <stp/>
        <stp>Market</stp>
        <stp>INDEX</stp>
        <stp>AUD/JPY</stp>
        <stp>売買代金</stp>
        <tr r="R190" s="1"/>
      </tp>
      <tp>
        <v>22668.212</v>
        <stp/>
        <stp>Market</stp>
        <stp>INDEX</stp>
        <stp>NQ</stp>
        <stp>現在値</stp>
        <tr r="E21" s="1"/>
      </tp>
    </main>
    <main first="rtdsrv.dff54f4b11dd4e0d9cb19000fb943d8c">
      <tp>
        <v>419413</v>
        <stp/>
        <stp>Market</stp>
        <stp>INDEX</stp>
        <stp>GOLD.FUT02.OS</stp>
        <stp>売買代金</stp>
        <tr r="R104" s="1"/>
      </tp>
      <tp>
        <v>554976</v>
        <stp/>
        <stp>Market</stp>
        <stp>INDEX</stp>
        <stp>GOLD.FUT03.OS</stp>
        <stp>売買代金</stp>
        <tr r="R105" s="1"/>
      </tp>
      <tp>
        <v>1575322</v>
        <stp/>
        <stp>Market</stp>
        <stp>INDEX</stp>
        <stp>GOLD.FUT01.OS</stp>
        <stp>売買代金</stp>
        <tr r="R103" s="1"/>
      </tp>
      <tp>
        <v>187137179</v>
        <stp/>
        <stp>Market</stp>
        <stp>INDEX</stp>
        <stp>GOLD.FUT06.OS</stp>
        <stp>売買代金</stp>
        <tr r="R108" s="1"/>
      </tp>
      <tp>
        <v>2772628</v>
        <stp/>
        <stp>Market</stp>
        <stp>INDEX</stp>
        <stp>GOLD.FUT04.OS</stp>
        <stp>売買代金</stp>
        <tr r="R106" s="1"/>
      </tp>
      <tp>
        <v>45463237</v>
        <stp/>
        <stp>Market</stp>
        <stp>INDEX</stp>
        <stp>GOLD.FUT05.OS</stp>
        <stp>売買代金</stp>
        <tr r="R107" s="1"/>
      </tp>
    </main>
    <main first="rtdsrv.dff54f4b11dd4e0d9cb19000fb943d8c">
      <tp t="s">
        <v/>
        <stp/>
        <stp>Market</stp>
        <stp>INDEX</stp>
        <stp>N225.FUT01.OS</stp>
        <stp>指標コード</stp>
        <tr r="A72" s="1"/>
      </tp>
      <tp t="s">
        <v/>
        <stp/>
        <stp>Market</stp>
        <stp>INDEX</stp>
        <stp>N225.FUT02.OS</stp>
        <stp>指標コード</stp>
        <tr r="A73" s="1"/>
      </tp>
      <tp>
        <v>52636.87</v>
        <stp/>
        <stp>Market</stp>
        <stp>INDEX</stp>
        <stp>N225</stp>
        <stp>前年最高値</stp>
        <tr r="S2" s="1"/>
      </tp>
      <tp t="s">
        <v/>
        <stp/>
        <stp>Market</stp>
        <stp>INDEX</stp>
        <stp>N225.FUT03.OS</stp>
        <stp>指標コード</stp>
        <tr r="A74" s="1"/>
      </tp>
      <tp t="s">
        <v/>
        <stp/>
        <stp>Market</stp>
        <stp>INDEX</stp>
        <stp>N225.FUT04.OS</stp>
        <stp>指標コード</stp>
        <tr r="A75" s="1"/>
      </tp>
      <tp t="s">
        <v/>
        <stp/>
        <stp>Market</stp>
        <stp>INDEX</stp>
        <stp>N225.FUT05.OS</stp>
        <stp>指標コード</stp>
        <tr r="A76" s="1"/>
      </tp>
      <tp t="s">
        <v/>
        <stp/>
        <stp>Market</stp>
        <stp>INDEX</stp>
        <stp>N225M.FUT03.OS</stp>
        <stp>指標コード</stp>
        <tr r="A79" s="1"/>
      </tp>
      <tp t="s">
        <v/>
        <stp/>
        <stp>Market</stp>
        <stp>INDEX</stp>
        <stp>N225U.FUT03.OS</stp>
        <stp>指標コード</stp>
        <tr r="A84" s="1"/>
      </tp>
      <tp t="s">
        <v/>
        <stp/>
        <stp>Market</stp>
        <stp>INDEX</stp>
        <stp>N225M.FUT02.OS</stp>
        <stp>指標コード</stp>
        <tr r="A78" s="1"/>
      </tp>
      <tp t="s">
        <v/>
        <stp/>
        <stp>Market</stp>
        <stp>INDEX</stp>
        <stp>N225U.FUT02.OS</stp>
        <stp>指標コード</stp>
        <tr r="A83" s="1"/>
      </tp>
      <tp t="s">
        <v/>
        <stp/>
        <stp>Market</stp>
        <stp>INDEX</stp>
        <stp>N225M.FUT01.OS</stp>
        <stp>指標コード</stp>
        <tr r="A77" s="1"/>
      </tp>
      <tp t="s">
        <v/>
        <stp/>
        <stp>Market</stp>
        <stp>INDEX</stp>
        <stp>N225U.FUT01.OS</stp>
        <stp>指標コード</stp>
        <tr r="A82" s="1"/>
      </tp>
      <tp t="s">
        <v/>
        <stp/>
        <stp>Market</stp>
        <stp>INDEX</stp>
        <stp>N225M.FUT05.OS</stp>
        <stp>指標コード</stp>
        <tr r="A81" s="1"/>
      </tp>
    </main>
    <main first="rtdsrv.dff54f4b11dd4e0d9cb19000fb943d8c">
      <tp t="s">
        <v/>
        <stp/>
        <stp>Market</stp>
        <stp>INDEX</stp>
        <stp>N225M.FUT04.OS</stp>
        <stp>指標コード</stp>
        <tr r="A80" s="1"/>
      </tp>
      <tp t="s">
        <v/>
        <stp/>
        <stp>Market</stp>
        <stp>INDEX</stp>
        <stp>N225U.FUT04.OS</stp>
        <stp>指標コード</stp>
        <tr r="A85" s="1"/>
      </tp>
    </main>
    <main first="rtdsrv.dff54f4b11dd4e0d9cb19000fb943d8c">
      <tp>
        <v>0</v>
        <stp/>
        <stp>Market</stp>
        <stp>INDEX</stp>
        <stp>RSS3.FUT02.OS</stp>
        <stp>前日比率</stp>
        <tr r="H142" s="1"/>
      </tp>
      <tp>
        <v>0</v>
        <stp/>
        <stp>Market</stp>
        <stp>INDEX</stp>
        <stp>RSS3.FUT03.OS</stp>
        <stp>前日比率</stp>
        <tr r="H143" s="1"/>
      </tp>
      <tp>
        <v>0</v>
        <stp/>
        <stp>Market</stp>
        <stp>INDEX</stp>
        <stp>RSS3.FUT01.OS</stp>
        <stp>前日比率</stp>
        <tr r="H141" s="1"/>
      </tp>
      <tp>
        <v>0.43</v>
        <stp/>
        <stp>Market</stp>
        <stp>INDEX</stp>
        <stp>RSS3.FUT06.OS</stp>
        <stp>前日比率</stp>
        <tr r="H146" s="1"/>
      </tp>
      <tp>
        <v>0</v>
        <stp/>
        <stp>Market</stp>
        <stp>INDEX</stp>
        <stp>RSS3.FUT07.OS</stp>
        <stp>前日比率</stp>
        <tr r="H147" s="1"/>
      </tp>
      <tp>
        <v>0.49</v>
        <stp/>
        <stp>Market</stp>
        <stp>INDEX</stp>
        <stp>RSS3.FUT04.OS</stp>
        <stp>前日比率</stp>
        <tr r="H144" s="1"/>
      </tp>
      <tp>
        <v>0.56000000000000005</v>
        <stp/>
        <stp>Market</stp>
        <stp>INDEX</stp>
        <stp>RSS3.FUT05.OS</stp>
        <stp>前日比率</stp>
        <tr r="H145" s="1"/>
      </tp>
      <tp>
        <v>0</v>
        <stp/>
        <stp>Market</stp>
        <stp>INDEX</stp>
        <stp>RSS3.FUT08.OS</stp>
        <stp>前日比率</stp>
        <tr r="H148" s="1"/>
      </tp>
      <tp>
        <v>0</v>
        <stp/>
        <stp>Market</stp>
        <stp>INDEX</stp>
        <stp>RSS3.FUT09.OS</stp>
        <stp>前日比率</stp>
        <tr r="H149" s="1"/>
      </tp>
      <tp>
        <v>0</v>
        <stp/>
        <stp>Market</stp>
        <stp>INDEX</stp>
        <stp>RSS3.FUT12.OS</stp>
        <stp>前日比率</stp>
        <tr r="H152" s="1"/>
      </tp>
      <tp>
        <v>0</v>
        <stp/>
        <stp>Market</stp>
        <stp>INDEX</stp>
        <stp>RSS3.FUT10.OS</stp>
        <stp>前日比率</stp>
        <tr r="H150" s="1"/>
      </tp>
      <tp>
        <v>0</v>
        <stp/>
        <stp>Market</stp>
        <stp>INDEX</stp>
        <stp>RSS3.FUT11.OS</stp>
        <stp>前日比率</stp>
        <tr r="H151" s="1"/>
      </tp>
    </main>
    <main first="rtdsrv.dff54f4b11dd4e0d9cb19000fb943d8c">
      <tp t="s">
        <v>2026/02/27</v>
        <stp/>
        <stp>Market</stp>
        <stp>INDEX</stp>
        <stp>N225U.FUT04.OS</stp>
        <stp>前日日付</stp>
        <tr r="J85" s="1"/>
      </tp>
      <tp t="s">
        <v>2026/02/27</v>
        <stp/>
        <stp>Market</stp>
        <stp>INDEX</stp>
        <stp>N225U.FUT03.OS</stp>
        <stp>前日日付</stp>
        <tr r="J84" s="1"/>
      </tp>
      <tp t="s">
        <v>2026/02/27</v>
        <stp/>
        <stp>Market</stp>
        <stp>INDEX</stp>
        <stp>N225U.FUT02.OS</stp>
        <stp>前日日付</stp>
        <tr r="J83" s="1"/>
      </tp>
      <tp t="s">
        <v>2026/02/27</v>
        <stp/>
        <stp>Market</stp>
        <stp>INDEX</stp>
        <stp>N225U.FUT01.OS</stp>
        <stp>前日日付</stp>
        <tr r="J82" s="1"/>
      </tp>
    </main>
    <main first="rtdsrv.dff54f4b11dd4e0d9cb19000fb943d8c">
      <tp t="s">
        <v/>
        <stp/>
        <stp>Market</stp>
        <stp>INDEX</stp>
        <stp>GOLD.SPOT.OS</stp>
        <stp>上場来高値</stp>
        <tr r="X115" s="1"/>
      </tp>
    </main>
    <main first="rtdsrv.dff54f4b11dd4e0d9cb19000fb943d8c">
      <tp t="s">
        <v/>
        <stp/>
        <stp>Market</stp>
        <stp>INDEX</stp>
        <stp>JN400.FUT04.OS</stp>
        <stp>年初来高値</stp>
        <tr r="V99" s="1"/>
      </tp>
      <tp t="s">
        <v/>
        <stp/>
        <stp>Market</stp>
        <stp>INDEX</stp>
        <stp>JN400.FUT05.OS</stp>
        <stp>年初来高値</stp>
        <tr r="V100" s="1"/>
      </tp>
      <tp>
        <v>3543.35</v>
        <stp/>
        <stp>Market</stp>
        <stp>INDEX</stp>
        <stp>NQCYBR</stp>
        <stp>年初来高値</stp>
        <tr r="V59" s="1"/>
      </tp>
      <tp t="s">
        <v/>
        <stp/>
        <stp>Market</stp>
        <stp>INDEX</stp>
        <stp>JN400.FUT01.OS</stp>
        <stp>年初来高値</stp>
        <tr r="V96" s="1"/>
      </tp>
    </main>
    <main first="rtdsrv.dff54f4b11dd4e0d9cb19000fb943d8c">
      <tp t="s">
        <v/>
        <stp/>
        <stp>Market</stp>
        <stp>INDEX</stp>
        <stp>JN400.FUT02.OS</stp>
        <stp>年初来高値</stp>
        <tr r="V97" s="1"/>
      </tp>
    </main>
    <main first="rtdsrv.dff54f4b11dd4e0d9cb19000fb943d8c">
      <tp t="s">
        <v/>
        <stp/>
        <stp>Market</stp>
        <stp>INDEX</stp>
        <stp>JN400.FUT03.OS</stp>
        <stp>年初来高値</stp>
        <tr r="V98" s="1"/>
      </tp>
    </main>
    <main first="rtdsrv.dff54f4b11dd4e0d9cb19000fb943d8c">
      <tp t="s">
        <v/>
        <stp/>
        <stp>Market</stp>
        <stp>INDEX</stp>
        <stp>GOLD.SPOT.OS</stp>
        <stp>年初来高値</stp>
        <tr r="V115" s="1"/>
      </tp>
      <tp t="s">
        <v/>
        <stp/>
        <stp>Market</stp>
        <stp>INDEX</stp>
        <stp>JN400.FUT04.OS</stp>
        <stp>上場来高値</stp>
        <tr r="X99" s="1"/>
      </tp>
    </main>
    <main first="rtdsrv.dff54f4b11dd4e0d9cb19000fb943d8c">
      <tp t="s">
        <v/>
        <stp/>
        <stp>Market</stp>
        <stp>INDEX</stp>
        <stp>JN400.FUT05.OS</stp>
        <stp>上場来高値</stp>
        <tr r="X100" s="1"/>
      </tp>
    </main>
    <main first="rtdsrv.dff54f4b11dd4e0d9cb19000fb943d8c">
      <tp t="s">
        <v/>
        <stp/>
        <stp>Market</stp>
        <stp>INDEX</stp>
        <stp>JN400.FUT01.OS</stp>
        <stp>上場来高値</stp>
        <tr r="X96" s="1"/>
      </tp>
      <tp>
        <v>3757.08</v>
        <stp/>
        <stp>Market</stp>
        <stp>INDEX</stp>
        <stp>NQCYBR</stp>
        <stp>上場来高値</stp>
        <tr r="X59" s="1"/>
      </tp>
    </main>
    <main first="rtdsrv.dff54f4b11dd4e0d9cb19000fb943d8c">
      <tp t="s">
        <v/>
        <stp/>
        <stp>Market</stp>
        <stp>INDEX</stp>
        <stp>JN400.FUT02.OS</stp>
        <stp>上場来高値</stp>
        <tr r="X97" s="1"/>
      </tp>
    </main>
    <main first="rtdsrv.dff54f4b11dd4e0d9cb19000fb943d8c">
      <tp t="s">
        <v/>
        <stp/>
        <stp>Market</stp>
        <stp>INDEX</stp>
        <stp>JN400.FUT03.OS</stp>
        <stp>上場来高値</stp>
        <tr r="X98" s="1"/>
      </tp>
    </main>
    <main first="rtdsrv.dff54f4b11dd4e0d9cb19000fb943d8c">
      <tp t="s">
        <v>15:45</v>
        <stp/>
        <stp>Market</stp>
        <stp>INDEX</stp>
        <stp>N500</stp>
        <stp>更新時刻</stp>
        <tr r="D9" s="1"/>
      </tp>
      <tp t="s">
        <v>15:45</v>
        <stp/>
        <stp>Market</stp>
        <stp>INDEX</stp>
        <stp>N300</stp>
        <stp>更新時刻</stp>
        <tr r="D3" s="1"/>
      </tp>
    </main>
    <main first="rtdsrv.dff54f4b11dd4e0d9cb19000fb943d8c">
      <tp>
        <v>777.7</v>
        <stp/>
        <stp>Market</stp>
        <stp>INDEX</stp>
        <stp>MTHR</stp>
        <stp>現在値</stp>
        <tr r="E13" s="1"/>
      </tp>
    </main>
    <main first="rtdsrv.dff54f4b11dd4e0d9cb19000fb943d8c">
      <tp>
        <v>0</v>
        <stp/>
        <stp>Market</stp>
        <stp>INDEX</stp>
        <stp>VOLQ</stp>
        <stp>上場来高値</stp>
        <tr r="X64" s="1"/>
      </tp>
    </main>
    <main first="rtdsrv.dff54f4b11dd4e0d9cb19000fb943d8c">
      <tp>
        <v>0</v>
        <stp/>
        <stp>Market</stp>
        <stp>INDEX</stp>
        <stp>VOLQ</stp>
        <stp>年初来高値</stp>
        <tr r="V64" s="1"/>
      </tp>
    </main>
    <main first="rtdsrv.dff54f4b11dd4e0d9cb19000fb943d8c">
      <tp>
        <v>26165.081999999999</v>
        <stp/>
        <stp>Market</stp>
        <stp>INDEX</stp>
        <stp>NQ100</stp>
        <stp>年初来高値</stp>
        <tr r="V22" s="1"/>
      </tp>
    </main>
    <main first="rtdsrv.dff54f4b11dd4e0d9cb19000fb943d8c">
      <tp t="s">
        <v/>
        <stp/>
        <stp>Market</stp>
        <stp>INDEX</stp>
        <stp>FTSECA50</stp>
        <stp>前日日付</stp>
        <tr r="J102" s="1"/>
      </tp>
    </main>
    <main first="rtdsrv.dff54f4b11dd4e0d9cb19000fb943d8c">
      <tp>
        <v>26182.102999999999</v>
        <stp/>
        <stp>Market</stp>
        <stp>INDEX</stp>
        <stp>NQ100</stp>
        <stp>上場来高値</stp>
        <tr r="X22" s="1"/>
      </tp>
    </main>
    <main first="rtdsrv.dff54f4b11dd4e0d9cb19000fb943d8c">
      <tp>
        <v>0</v>
        <stp/>
        <stp>Market</stp>
        <stp>INDEX</stp>
        <stp>JGB:FDI</stp>
        <stp>売買代金</stp>
        <tr r="R19" s="1"/>
      </tp>
      <tp>
        <v>0</v>
        <stp/>
        <stp>Market</stp>
        <stp>INDEX</stp>
        <stp>TSR20.FUT04.OS</stp>
        <stp>売買代金</stp>
        <tr r="R156" s="1"/>
      </tp>
      <tp>
        <v>0</v>
        <stp/>
        <stp>Market</stp>
        <stp>INDEX</stp>
        <stp>TSR20.FUT05.OS</stp>
        <stp>売買代金</stp>
        <tr r="R157" s="1"/>
      </tp>
      <tp>
        <v>0</v>
        <stp/>
        <stp>Market</stp>
        <stp>INDEX</stp>
        <stp>TSR20.FUT06.OS</stp>
        <stp>売買代金</stp>
        <tr r="R158" s="1"/>
      </tp>
      <tp>
        <v>0</v>
        <stp/>
        <stp>Market</stp>
        <stp>INDEX</stp>
        <stp>TSR20.FUT07.OS</stp>
        <stp>売買代金</stp>
        <tr r="R159" s="1"/>
      </tp>
      <tp>
        <v>0</v>
        <stp/>
        <stp>Market</stp>
        <stp>INDEX</stp>
        <stp>TSR20.FUT01.OS</stp>
        <stp>売買代金</stp>
        <tr r="R153" s="1"/>
      </tp>
      <tp>
        <v>0</v>
        <stp/>
        <stp>Market</stp>
        <stp>INDEX</stp>
        <stp>TSR20.FUT02.OS</stp>
        <stp>売買代金</stp>
        <tr r="R154" s="1"/>
      </tp>
      <tp>
        <v>0</v>
        <stp/>
        <stp>Market</stp>
        <stp>INDEX</stp>
        <stp>TSR20.FUT03.OS</stp>
        <stp>売買代金</stp>
        <tr r="R155" s="1"/>
      </tp>
      <tp>
        <v>0</v>
        <stp/>
        <stp>Market</stp>
        <stp>INDEX</stp>
        <stp>TSR20.FUT08.OS</stp>
        <stp>売買代金</stp>
        <tr r="R160" s="1"/>
      </tp>
      <tp>
        <v>0</v>
        <stp/>
        <stp>Market</stp>
        <stp>INDEX</stp>
        <stp>TSR20.FUT09.OS</stp>
        <stp>売買代金</stp>
        <tr r="R161" s="1"/>
      </tp>
      <tp>
        <v>0</v>
        <stp/>
        <stp>Market</stp>
        <stp>INDEX</stp>
        <stp>TSR20.FUT10.OS</stp>
        <stp>売買代金</stp>
        <tr r="R162" s="1"/>
      </tp>
      <tp>
        <v>0</v>
        <stp/>
        <stp>Market</stp>
        <stp>INDEX</stp>
        <stp>TSR20.FUT11.OS</stp>
        <stp>売買代金</stp>
        <tr r="R163" s="1"/>
      </tp>
      <tp>
        <v>0</v>
        <stp/>
        <stp>Market</stp>
        <stp>INDEX</stp>
        <stp>TSR20.FUT12.OS</stp>
        <stp>売買代金</stp>
        <tr r="R164" s="1"/>
      </tp>
      <tp t="s">
        <v/>
        <stp/>
        <stp>Market</stp>
        <stp>INDEX</stp>
        <stp>USD/JPY</stp>
        <stp>売買代金</stp>
        <tr r="R187" s="1"/>
      </tp>
    </main>
    <main first="rtdsrv.dff54f4b11dd4e0d9cb19000fb943d8c">
      <tp>
        <v>4365.1071000000002</v>
        <stp/>
        <stp>Market</stp>
        <stp>INDEX</stp>
        <stp>SSEA</stp>
        <stp>現在値</stp>
        <tr r="E69" s="1"/>
      </tp>
      <tp>
        <v>4162.8815000000004</v>
        <stp/>
        <stp>Market</stp>
        <stp>INDEX</stp>
        <stp>SSEC</stp>
        <stp>現在値</stp>
        <tr r="E68" s="1"/>
      </tp>
      <tp>
        <v>1011.05</v>
        <stp/>
        <stp>Market</stp>
        <stp>INDEX</stp>
        <stp>TSGM</stp>
        <stp>現在値</stp>
        <tr r="E8" s="1"/>
      </tp>
      <tp>
        <v>2029.95</v>
        <stp/>
        <stp>Market</stp>
        <stp>INDEX</stp>
        <stp>TSPM</stp>
        <stp>現在値</stp>
        <tr r="E6" s="1"/>
      </tp>
      <tp>
        <v>1765.34</v>
        <stp/>
        <stp>Market</stp>
        <stp>INDEX</stp>
        <stp>TSSM</stp>
        <stp>現在値</stp>
        <tr r="E7" s="1"/>
      </tp>
    </main>
    <main first="rtdsrv.dff54f4b11dd4e0d9cb19000fb943d8c">
      <tp>
        <v>6908.86</v>
        <stp/>
        <stp>Market</stp>
        <stp>INDEX</stp>
        <stp>SP500</stp>
        <stp>前日終値</stp>
        <tr r="I24" s="1"/>
      </tp>
      <tp>
        <v>3367.4</v>
        <stp/>
        <stp>Market</stp>
        <stp>INDEX</stp>
        <stp>SP100</stp>
        <stp>前日終値</stp>
        <tr r="I23" s="1"/>
      </tp>
      <tp>
        <v>35163.919999999998</v>
        <stp/>
        <stp>Market</stp>
        <stp>INDEX</stp>
        <stp>JN400</stp>
        <stp>前日終値</stp>
        <tr r="I5" s="1"/>
      </tp>
      <tp>
        <v>25034.370999999999</v>
        <stp/>
        <stp>Market</stp>
        <stp>INDEX</stp>
        <stp>NQ100</stp>
        <stp>前日終値</stp>
        <tr r="I22" s="1"/>
      </tp>
    </main>
    <main first="rtdsrv.dff54f4b11dd4e0d9cb19000fb943d8c">
      <tp>
        <v>1623.62</v>
        <stp/>
        <stp>Market</stp>
        <stp>INDEX</stp>
        <stp>SIXV</stp>
        <stp>上場来高値</stp>
        <tr r="X37" s="1"/>
      </tp>
      <tp t="s">
        <v/>
        <stp/>
        <stp>Market</stp>
        <stp>INDEX</stp>
        <stp>NZD/USD</stp>
        <stp>出来高</stp>
        <tr r="Q200" s="1"/>
      </tp>
    </main>
    <main first="rtdsrv.dff54f4b11dd4e0d9cb19000fb943d8c">
      <tp>
        <v>1623.62</v>
        <stp/>
        <stp>Market</stp>
        <stp>INDEX</stp>
        <stp>SIXV</stp>
        <stp>年初来高値</stp>
        <tr r="V37" s="1"/>
      </tp>
    </main>
    <main first="rtdsrv.dff54f4b11dd4e0d9cb19000fb943d8c">
      <tp>
        <v>-0.95</v>
        <stp/>
        <stp>Market</stp>
        <stp>INDEX</stp>
        <stp>N225.FUT03.OS</stp>
        <stp>前日比率</stp>
        <tr r="H74" s="1"/>
      </tp>
      <tp>
        <v>-0.78</v>
        <stp/>
        <stp>Market</stp>
        <stp>INDEX</stp>
        <stp>N225.FUT02.OS</stp>
        <stp>前日比率</stp>
        <tr r="H73" s="1"/>
      </tp>
      <tp>
        <v>-0.78</v>
        <stp/>
        <stp>Market</stp>
        <stp>INDEX</stp>
        <stp>N225.FUT01.OS</stp>
        <stp>前日比率</stp>
        <tr r="H72" s="1"/>
      </tp>
      <tp>
        <v>0.41</v>
        <stp/>
        <stp>Market</stp>
        <stp>INDEX</stp>
        <stp>N225.FUT05.OS</stp>
        <stp>前日比率</stp>
        <tr r="H76" s="1"/>
      </tp>
      <tp>
        <v>-0.55000000000000004</v>
        <stp/>
        <stp>Market</stp>
        <stp>INDEX</stp>
        <stp>N225.FUT04.OS</stp>
        <stp>前日比率</stp>
        <tr r="H75" s="1"/>
      </tp>
    </main>
    <main first="rtdsrv.dff54f4b11dd4e0d9cb19000fb943d8c">
      <tp t="s">
        <v/>
        <stp/>
        <stp>Market</stp>
        <stp>INDEX</stp>
        <stp>N225.FUT02.C</stp>
        <stp>指標コード</stp>
        <tr r="A184" s="1"/>
      </tp>
      <tp t="s">
        <v/>
        <stp/>
        <stp>Market</stp>
        <stp>INDEX</stp>
        <stp>N225.FUT01.C</stp>
        <stp>指標コード</stp>
        <tr r="A183" s="1"/>
      </tp>
    </main>
    <main first="rtdsrv.dff54f4b11dd4e0d9cb19000fb943d8c">
      <tp>
        <v>3696.66</v>
        <stp/>
        <stp>Market</stp>
        <stp>INDEX</stp>
        <stp>NQUSMT</stp>
        <stp>上場来高値</stp>
        <tr r="X57" s="1"/>
      </tp>
      <tp>
        <v>5367.98</v>
        <stp/>
        <stp>Market</stp>
        <stp>INDEX</stp>
        <stp>NQUSLT</stp>
        <stp>上場来高値</stp>
        <tr r="X56" s="1"/>
      </tp>
      <tp>
        <v>3528.45</v>
        <stp/>
        <stp>Market</stp>
        <stp>INDEX</stp>
        <stp>NQUSST</stp>
        <stp>上場来高値</stp>
        <tr r="X58" s="1"/>
      </tp>
    </main>
    <main first="rtdsrv.dff54f4b11dd4e0d9cb19000fb943d8c">
      <tp>
        <v>5367.98</v>
        <stp/>
        <stp>Market</stp>
        <stp>INDEX</stp>
        <stp>NQUSLT</stp>
        <stp>年初来高値</stp>
        <tr r="V56" s="1"/>
      </tp>
      <tp>
        <v>3696.66</v>
        <stp/>
        <stp>Market</stp>
        <stp>INDEX</stp>
        <stp>NQUSMT</stp>
        <stp>年初来高値</stp>
        <tr r="V57" s="1"/>
      </tp>
      <tp>
        <v>3528.45</v>
        <stp/>
        <stp>Market</stp>
        <stp>INDEX</stp>
        <stp>NQUSST</stp>
        <stp>年初来高値</stp>
        <tr r="V58" s="1"/>
      </tp>
    </main>
    <main first="rtdsrv.dff54f4b11dd4e0d9cb19000fb943d8c">
      <tp t="s">
        <v/>
        <stp/>
        <stp>Market</stp>
        <stp>INDEX</stp>
        <stp>TRY/JPY</stp>
        <stp>売買代金</stp>
        <tr r="R209" s="1"/>
      </tp>
      <tp>
        <v>8679.91</v>
        <stp/>
        <stp>Market</stp>
        <stp>INDEX</stp>
        <stp>TRAN</stp>
        <stp>現在値</stp>
        <tr r="E43" s="1"/>
      </tp>
    </main>
    <main first="rtdsrv.dff54f4b11dd4e0d9cb19000fb943d8c">
      <tp>
        <v>58440</v>
        <stp/>
        <stp>Market</stp>
        <stp>INDEX</stp>
        <stp>N225.FUT02.OS</stp>
        <stp>現在値</stp>
        <tr r="E73" s="1"/>
      </tp>
      <tp>
        <v>58490</v>
        <stp/>
        <stp>Market</stp>
        <stp>INDEX</stp>
        <stp>N225.FUT03.OS</stp>
        <stp>現在値</stp>
        <tr r="E74" s="1"/>
      </tp>
      <tp>
        <v>58640</v>
        <stp/>
        <stp>Market</stp>
        <stp>INDEX</stp>
        <stp>N225.FUT01.OS</stp>
        <stp>現在値</stp>
        <tr r="E72" s="1"/>
      </tp>
      <tp>
        <v>58280</v>
        <stp/>
        <stp>Market</stp>
        <stp>INDEX</stp>
        <stp>N225.FUT04.OS</stp>
        <stp>現在値</stp>
        <tr r="E75" s="1"/>
      </tp>
      <tp>
        <v>59000</v>
        <stp/>
        <stp>Market</stp>
        <stp>INDEX</stp>
        <stp>N225.FUT05.OS</stp>
        <stp>現在値</stp>
        <tr r="E76" s="1"/>
      </tp>
    </main>
    <main first="rtdsrv.dff54f4b11dd4e0d9cb19000fb943d8c">
      <tp t="s">
        <v/>
        <stp/>
        <stp>Market</stp>
        <stp>INDEX</stp>
        <stp>CHF/JPY</stp>
        <stp>年初来高値</stp>
        <tr r="V194" s="1"/>
      </tp>
      <tp t="s">
        <v/>
        <stp/>
        <stp>Market</stp>
        <stp>INDEX</stp>
        <stp>CHF/JPY</stp>
        <stp>上場来高値</stp>
        <tr r="X194" s="1"/>
      </tp>
    </main>
    <main first="rtdsrv.dff54f4b11dd4e0d9cb19000fb943d8c">
      <tp t="s">
        <v/>
        <stp/>
        <stp>Market</stp>
        <stp>INDEX</stp>
        <stp>TCWSI</stp>
        <stp>前年最高値</stp>
        <tr r="S101" s="1"/>
      </tp>
    </main>
    <main first="rtdsrv.dff54f4b11dd4e0d9cb19000fb943d8c">
      <tp>
        <v>1612.59</v>
        <stp/>
        <stp>Market</stp>
        <stp>INDEX</stp>
        <stp>TSM20</stp>
        <stp>前日終値</stp>
        <tr r="I11" s="1"/>
      </tp>
      <tp>
        <v>0</v>
        <stp/>
        <stp>Market</stp>
        <stp>INDEX</stp>
        <stp>TCWSI</stp>
        <stp>売買代金</stp>
        <tr r="R101" s="1"/>
      </tp>
      <tp t="s">
        <v>-</v>
        <stp/>
        <stp>Market</stp>
        <stp>INDEX</stp>
        <stp>SHKSC</stp>
        <stp>売買代金</stp>
        <tr r="R70" s="1"/>
      </tp>
      <tp t="s">
        <v>-</v>
        <stp/>
        <stp>Market</stp>
        <stp>INDEX</stp>
        <stp>SPESG</stp>
        <stp>売買代金</stp>
        <tr r="R38" s="1"/>
      </tp>
    </main>
    <main first="rtdsrv.dff54f4b11dd4e0d9cb19000fb943d8c">
      <tp>
        <v>13556.71</v>
        <stp/>
        <stp>Market</stp>
        <stp>INDEX</stp>
        <stp>NDXT</stp>
        <stp>年初来高値</stp>
        <tr r="V49" s="1"/>
      </tp>
    </main>
    <main first="rtdsrv.dff54f4b11dd4e0d9cb19000fb943d8c">
      <tp>
        <v>3081.96</v>
        <stp/>
        <stp>Market</stp>
        <stp>INDEX</stp>
        <stp>SIXT</stp>
        <stp>上場来高値</stp>
        <tr r="X36" s="1"/>
      </tp>
    </main>
    <main first="rtdsrv.dff54f4b11dd4e0d9cb19000fb943d8c">
      <tp t="s">
        <v/>
        <stp/>
        <stp>Market</stp>
        <stp>INDEX</stp>
        <stp>SGD/JPY</stp>
        <stp>出来高</stp>
        <tr r="Q196" s="1"/>
      </tp>
    </main>
    <main first="rtdsrv.dff54f4b11dd4e0d9cb19000fb943d8c">
      <tp>
        <v>13556.71</v>
        <stp/>
        <stp>Market</stp>
        <stp>INDEX</stp>
        <stp>NDXT</stp>
        <stp>上場来高値</stp>
        <tr r="X49" s="1"/>
      </tp>
    </main>
    <main first="rtdsrv.dff54f4b11dd4e0d9cb19000fb943d8c">
      <tp>
        <v>3019.54</v>
        <stp/>
        <stp>Market</stp>
        <stp>INDEX</stp>
        <stp>SIXT</stp>
        <stp>年初来高値</stp>
        <tr r="V36" s="1"/>
      </tp>
      <tp t="s">
        <v/>
        <stp/>
        <stp>Market</stp>
        <stp>INDEX</stp>
        <stp>RSS3.FUT10.OS</stp>
        <stp>前年最高値</stp>
        <tr r="S150" s="1"/>
      </tp>
      <tp t="s">
        <v/>
        <stp/>
        <stp>Market</stp>
        <stp>INDEX</stp>
        <stp>RSS3.FUT11.OS</stp>
        <stp>前年最高値</stp>
        <tr r="S151" s="1"/>
      </tp>
      <tp t="s">
        <v/>
        <stp/>
        <stp>Market</stp>
        <stp>INDEX</stp>
        <stp>RSS3.FUT12.OS</stp>
        <stp>前年最高値</stp>
        <tr r="S152" s="1"/>
      </tp>
    </main>
    <main first="rtdsrv.dff54f4b11dd4e0d9cb19000fb943d8c">
      <tp>
        <v>0</v>
        <stp/>
        <stp>Market</stp>
        <stp>INDEX</stp>
        <stp>SILVER.FUT03.OS</stp>
        <stp>売買代金</stp>
        <tr r="R131" s="1"/>
      </tp>
      <tp>
        <v>0</v>
        <stp/>
        <stp>Market</stp>
        <stp>INDEX</stp>
        <stp>SILVER.FUT02.OS</stp>
        <stp>売買代金</stp>
        <tr r="R130" s="1"/>
      </tp>
      <tp>
        <v>0</v>
        <stp/>
        <stp>Market</stp>
        <stp>INDEX</stp>
        <stp>SILVER.FUT01.OS</stp>
        <stp>売買代金</stp>
        <tr r="R129" s="1"/>
      </tp>
      <tp>
        <v>0</v>
        <stp/>
        <stp>Market</stp>
        <stp>INDEX</stp>
        <stp>SILVER.FUT06.OS</stp>
        <stp>売買代金</stp>
        <tr r="R134" s="1"/>
      </tp>
      <tp>
        <v>13668</v>
        <stp/>
        <stp>Market</stp>
        <stp>INDEX</stp>
        <stp>SILVER.FUT05.OS</stp>
        <stp>売買代金</stp>
        <tr r="R133" s="1"/>
      </tp>
      <tp>
        <v>13050</v>
        <stp/>
        <stp>Market</stp>
        <stp>INDEX</stp>
        <stp>SILVER.FUT04.OS</stp>
        <stp>売買代金</stp>
        <tr r="R132" s="1"/>
      </tp>
      <tp t="s">
        <v/>
        <stp/>
        <stp>Market</stp>
        <stp>INDEX</stp>
        <stp>EUR/AUD</stp>
        <stp>売買代金</stp>
        <tr r="R213" s="1"/>
      </tp>
      <tp>
        <v>3933.9857999999999</v>
        <stp/>
        <stp>Market</stp>
        <stp>INDEX</stp>
        <stp>SHKSC</stp>
        <stp>現在値</stp>
        <tr r="E70" s="1"/>
      </tp>
    </main>
    <main first="rtdsrv.dff54f4b11dd4e0d9cb19000fb943d8c">
      <tp>
        <v>3467.04</v>
        <stp/>
        <stp>Market</stp>
        <stp>INDEX</stp>
        <stp>NQUSST</stp>
        <stp>前日終値</stp>
        <tr r="I58" s="1"/>
      </tp>
      <tp t="s">
        <v>-</v>
        <stp/>
        <stp>Market</stp>
        <stp>INDEX</stp>
        <stp>SIXRE</stp>
        <stp>売買代金</stp>
        <tr r="R30" s="1"/>
      </tp>
    </main>
    <main first="rtdsrv.dff54f4b11dd4e0d9cb19000fb943d8c">
      <tp>
        <v>957.81</v>
        <stp/>
        <stp>Market</stp>
        <stp>INDEX</stp>
        <stp>SIXU</stp>
        <stp>上場来高値</stp>
        <tr r="X31" s="1"/>
      </tp>
    </main>
    <main first="rtdsrv.dff54f4b11dd4e0d9cb19000fb943d8c">
      <tp>
        <v>732.99</v>
        <stp/>
        <stp>Market</stp>
        <stp>INDEX</stp>
        <stp>N300</stp>
        <stp>前年最高値</stp>
        <tr r="S3" s="1"/>
      </tp>
      <tp>
        <v>3914.13</v>
        <stp/>
        <stp>Market</stp>
        <stp>INDEX</stp>
        <stp>N500</stp>
        <stp>前年最高値</stp>
        <tr r="S9" s="1"/>
      </tp>
    </main>
    <main first="rtdsrv.dff54f4b11dd4e0d9cb19000fb943d8c">
      <tp t="s">
        <v/>
        <stp/>
        <stp>Market</stp>
        <stp>INDEX</stp>
        <stp>RSS3.FUT08.OS</stp>
        <stp>前年最高値</stp>
        <tr r="S148" s="1"/>
      </tp>
      <tp t="s">
        <v/>
        <stp/>
        <stp>Market</stp>
        <stp>INDEX</stp>
        <stp>RSS3.FUT09.OS</stp>
        <stp>前年最高値</stp>
        <tr r="S149" s="1"/>
      </tp>
    </main>
    <main first="rtdsrv.dff54f4b11dd4e0d9cb19000fb943d8c">
      <tp t="s">
        <v/>
        <stp/>
        <stp>Market</stp>
        <stp>INDEX</stp>
        <stp>RSS3.FUT04.OS</stp>
        <stp>前年最高値</stp>
        <tr r="S144" s="1"/>
      </tp>
      <tp t="s">
        <v/>
        <stp/>
        <stp>Market</stp>
        <stp>INDEX</stp>
        <stp>RSS3.FUT05.OS</stp>
        <stp>前年最高値</stp>
        <tr r="S145" s="1"/>
      </tp>
      <tp>
        <v>957.81</v>
        <stp/>
        <stp>Market</stp>
        <stp>INDEX</stp>
        <stp>SIXU</stp>
        <stp>年初来高値</stp>
        <tr r="V31" s="1"/>
      </tp>
      <tp t="s">
        <v/>
        <stp/>
        <stp>Market</stp>
        <stp>INDEX</stp>
        <stp>RSS3.FUT06.OS</stp>
        <stp>前年最高値</stp>
        <tr r="S146" s="1"/>
      </tp>
      <tp t="s">
        <v/>
        <stp/>
        <stp>Market</stp>
        <stp>INDEX</stp>
        <stp>RSS3.FUT07.OS</stp>
        <stp>前年最高値</stp>
        <tr r="S147" s="1"/>
      </tp>
      <tp t="s">
        <v/>
        <stp/>
        <stp>Market</stp>
        <stp>INDEX</stp>
        <stp>RSS3.FUT01.OS</stp>
        <stp>前年最高値</stp>
        <tr r="S141" s="1"/>
      </tp>
      <tp t="s">
        <v/>
        <stp/>
        <stp>Market</stp>
        <stp>INDEX</stp>
        <stp>RSS3.FUT02.OS</stp>
        <stp>前年最高値</stp>
        <tr r="S142" s="1"/>
      </tp>
      <tp t="s">
        <v/>
        <stp/>
        <stp>Market</stp>
        <stp>INDEX</stp>
        <stp>RSS3.FUT03.OS</stp>
        <stp>前年最高値</stp>
        <tr r="S143" s="1"/>
      </tp>
    </main>
    <main first="rtdsrv.dff54f4b11dd4e0d9cb19000fb943d8c">
      <tp t="s">
        <v/>
        <stp/>
        <stp>Market</stp>
        <stp>INDEX</stp>
        <stp>SGD/JPY</stp>
        <stp>年初来高値</stp>
        <tr r="V196" s="1"/>
      </tp>
      <tp t="s">
        <v/>
        <stp/>
        <stp>Market</stp>
        <stp>INDEX</stp>
        <stp>USD/JPY</stp>
        <stp>年初来高値</stp>
        <tr r="V187" s="1"/>
      </tp>
      <tp t="s">
        <v/>
        <stp/>
        <stp>Market</stp>
        <stp>INDEX</stp>
        <stp>CAD/JPY</stp>
        <stp>年初来高値</stp>
        <tr r="V193" s="1"/>
      </tp>
      <tp t="s">
        <v/>
        <stp/>
        <stp>Market</stp>
        <stp>INDEX</stp>
        <stp>AUD/JPY</stp>
        <stp>年初来高値</stp>
        <tr r="V190" s="1"/>
      </tp>
      <tp t="s">
        <v/>
        <stp/>
        <stp>Market</stp>
        <stp>INDEX</stp>
        <stp>HKD/JPY</stp>
        <stp>年初来高値</stp>
        <tr r="V195" s="1"/>
      </tp>
      <tp t="s">
        <v/>
        <stp/>
        <stp>Market</stp>
        <stp>INDEX</stp>
        <stp>NZD/JPY</stp>
        <stp>年初来高値</stp>
        <tr r="V191" s="1"/>
      </tp>
    </main>
    <main first="rtdsrv.dff54f4b11dd4e0d9cb19000fb943d8c">
      <tp t="s">
        <v/>
        <stp/>
        <stp>Market</stp>
        <stp>INDEX</stp>
        <stp>CAD/JPY</stp>
        <stp>上場来高値</stp>
        <tr r="X193" s="1"/>
      </tp>
      <tp t="s">
        <v/>
        <stp/>
        <stp>Market</stp>
        <stp>INDEX</stp>
        <stp>AUD/JPY</stp>
        <stp>上場来高値</stp>
        <tr r="X190" s="1"/>
      </tp>
      <tp t="s">
        <v/>
        <stp/>
        <stp>Market</stp>
        <stp>INDEX</stp>
        <stp>NZD/JPY</stp>
        <stp>上場来高値</stp>
        <tr r="X191" s="1"/>
      </tp>
      <tp t="s">
        <v/>
        <stp/>
        <stp>Market</stp>
        <stp>INDEX</stp>
        <stp>HKD/JPY</stp>
        <stp>上場来高値</stp>
        <tr r="X195" s="1"/>
      </tp>
      <tp t="s">
        <v/>
        <stp/>
        <stp>Market</stp>
        <stp>INDEX</stp>
        <stp>USD/JPY</stp>
        <stp>上場来高値</stp>
        <tr r="X187" s="1"/>
      </tp>
      <tp t="s">
        <v/>
        <stp/>
        <stp>Market</stp>
        <stp>INDEX</stp>
        <stp>SGD/JPY</stp>
        <stp>上場来高値</stp>
        <tr r="X196" s="1"/>
      </tp>
    </main>
    <main first="rtdsrv.dff54f4b11dd4e0d9cb19000fb943d8c">
      <tp>
        <v>0</v>
        <stp/>
        <stp>Market</stp>
        <stp>INDEX</stp>
        <stp>CSI300</stp>
        <stp>前年最高値</stp>
        <tr r="S71" s="1"/>
      </tp>
      <tp>
        <v>35390.720000000001</v>
        <stp/>
        <stp>Market</stp>
        <stp>INDEX</stp>
        <stp>JN400</stp>
        <stp>上場来高値</stp>
        <tr r="X5" s="1"/>
      </tp>
    </main>
    <main first="rtdsrv.dff54f4b11dd4e0d9cb19000fb943d8c">
      <tp>
        <v>35390.720000000001</v>
        <stp/>
        <stp>Market</stp>
        <stp>INDEX</stp>
        <stp>JN400</stp>
        <stp>年初来高値</stp>
        <tr r="V5" s="1"/>
      </tp>
    </main>
    <main first="rtdsrv.dff54f4b11dd4e0d9cb19000fb943d8c">
      <tp t="s">
        <v/>
        <stp/>
        <stp>Market</stp>
        <stp>INDEX</stp>
        <stp>PLATINUM.SPOT.OS</stp>
        <stp>更新時刻</stp>
        <tr r="D128" s="1"/>
      </tp>
    </main>
    <main first="rtdsrv.dff54f4b11dd4e0d9cb19000fb943d8c">
      <tp>
        <v>4146.6310999999996</v>
        <stp/>
        <stp>Market</stp>
        <stp>INDEX</stp>
        <stp>SSEC</stp>
        <stp>前日終値</stp>
        <tr r="I68" s="1"/>
      </tp>
      <tp>
        <v>4348.0463</v>
        <stp/>
        <stp>Market</stp>
        <stp>INDEX</stp>
        <stp>SSEA</stp>
        <stp>前日終値</stp>
        <tr r="I69" s="1"/>
      </tp>
    </main>
    <main first="rtdsrv.dff54f4b11dd4e0d9cb19000fb943d8c">
      <tp>
        <v>0.02</v>
        <stp/>
        <stp>Market</stp>
        <stp>INDEX</stp>
        <stp>INSR</stp>
        <stp>前日比率</stp>
        <tr r="H41" s="1"/>
      </tp>
      <tp>
        <v>-0.56000000000000005</v>
        <stp/>
        <stp>Market</stp>
        <stp>INDEX</stp>
        <stp>GOLD.SPOT.OS</stp>
        <stp>前日比率</stp>
        <tr r="H115" s="1"/>
      </tp>
    </main>
    <main first="rtdsrv.dff54f4b11dd4e0d9cb19000fb943d8c">
      <tp>
        <v>1.34</v>
        <stp/>
        <stp>Market</stp>
        <stp>INDEX</stp>
        <stp>TSSM</stp>
        <stp>前日比率</stp>
        <tr r="H7" s="1"/>
      </tp>
    </main>
    <main first="rtdsrv.dff54f4b11dd4e0d9cb19000fb943d8c">
      <tp>
        <v>59425</v>
        <stp/>
        <stp>Market</stp>
        <stp>INDEX</stp>
        <stp>N225M.FUT01.OS</stp>
        <stp>高値</stp>
        <tr r="L77" s="1"/>
      </tp>
      <tp>
        <v>59425</v>
        <stp/>
        <stp>Market</stp>
        <stp>INDEX</stp>
        <stp>N225U.FUT01.OS</stp>
        <stp>高値</stp>
        <tr r="L82" s="1"/>
      </tp>
      <tp t="s">
        <v>17:08</v>
        <stp/>
        <stp>Market</stp>
        <stp>INDEX</stp>
        <stp>HSCCI</stp>
        <stp>更新時刻</stp>
        <tr r="D67" s="1"/>
      </tp>
      <tp t="s">
        <v/>
        <stp/>
        <stp>Market</stp>
        <stp>INDEX</stp>
        <stp>GBP/USD</stp>
        <stp>現在値</stp>
        <tr r="E198" s="1"/>
      </tp>
    </main>
    <main first="rtdsrv.dff54f4b11dd4e0d9cb19000fb943d8c">
      <tp t="s">
        <v/>
        <stp/>
        <stp>Market</stp>
        <stp>INDEX</stp>
        <stp>ZAR/JPY</stp>
        <stp>更新時刻</stp>
        <tr r="D192" s="1"/>
      </tp>
      <tp t="s">
        <v/>
        <stp/>
        <stp>Market</stp>
        <stp>INDEX</stp>
        <stp>CAD/JPY</stp>
        <stp>更新時刻</stp>
        <tr r="D193" s="1"/>
      </tp>
      <tp>
        <v>12386.62</v>
        <stp/>
        <stp>Market</stp>
        <stp>INDEX</stp>
        <stp>INDS</stp>
        <stp>前日終値</stp>
        <tr r="I39" s="1"/>
      </tp>
      <tp t="s">
        <v/>
        <stp/>
        <stp>Market</stp>
        <stp>INDEX</stp>
        <stp>GBP/USD</stp>
        <stp>更新時刻</stp>
        <tr r="D198" s="1"/>
      </tp>
      <tp>
        <v>6.6</v>
        <stp/>
        <stp>Market</stp>
        <stp>INDEX</stp>
        <stp>VIX</stp>
        <stp>前日比率</stp>
        <tr r="H25" s="1"/>
      </tp>
      <tp t="s">
        <v>2026/02/26</v>
        <stp/>
        <stp>Market</stp>
        <stp>INDEX</stp>
        <stp>HGX</stp>
        <stp>前日日付</stp>
        <tr r="J52" s="1"/>
      </tp>
      <tp t="s">
        <v>2026/02/26</v>
        <stp/>
        <stp>Market</stp>
        <stp>INDEX</stp>
        <stp>NGX</stp>
        <stp>前日日付</stp>
        <tr r="J63" s="1"/>
      </tp>
    </main>
    <main first="rtdsrv.dff54f4b11dd4e0d9cb19000fb943d8c">
      <tp>
        <v>7747.22</v>
        <stp/>
        <stp>Market</stp>
        <stp>INDEX</stp>
        <stp>IXF</stp>
        <stp>前年最高値</stp>
        <tr r="S46" s="1"/>
      </tp>
    </main>
    <main first="rtdsrv.dff54f4b11dd4e0d9cb19000fb943d8c">
      <tp t="s">
        <v/>
        <stp/>
        <stp>Market</stp>
        <stp>INDEX</stp>
        <stp>GBP/JPY</stp>
        <stp>更新時刻</stp>
        <tr r="D189" s="1"/>
      </tp>
    </main>
    <main first="rtdsrv.dff54f4b11dd4e0d9cb19000fb943d8c">
      <tp>
        <v>977.02</v>
        <stp/>
        <stp>Market</stp>
        <stp>INDEX</stp>
        <stp>TSGM</stp>
        <stp>前日終値</stp>
        <tr r="I8" s="1"/>
      </tp>
      <tp t="s">
        <v/>
        <stp/>
        <stp>Market</stp>
        <stp>INDEX</stp>
        <stp>USD/CAD</stp>
        <stp>更新時刻</stp>
        <tr r="D212" s="1"/>
      </tp>
      <tp t="s">
        <v/>
        <stp/>
        <stp>Market</stp>
        <stp>INDEX</stp>
        <stp>NZD/CHF</stp>
        <stp>更新時刻</stp>
        <tr r="D206" s="1"/>
      </tp>
    </main>
    <main first="rtdsrv.dff54f4b11dd4e0d9cb19000fb943d8c">
      <tp t="s">
        <v/>
        <stp/>
        <stp>Market</stp>
        <stp>INDEX</stp>
        <stp>GOLDMINI.FUT05.OS</stp>
        <stp>年初来高値</stp>
        <tr r="V113" s="1"/>
      </tp>
    </main>
    <main first="rtdsrv.dff54f4b11dd4e0d9cb19000fb943d8c">
      <tp t="s">
        <v/>
        <stp/>
        <stp>Market</stp>
        <stp>INDEX</stp>
        <stp>GOLDMINI.FUT04.OS</stp>
        <stp>年初来高値</stp>
        <tr r="V112" s="1"/>
      </tp>
      <tp t="s">
        <v/>
        <stp/>
        <stp>Market</stp>
        <stp>INDEX</stp>
        <stp>GOLDMINI.FUT06.OS</stp>
        <stp>年初来高値</stp>
        <tr r="V114" s="1"/>
      </tp>
      <tp t="s">
        <v/>
        <stp/>
        <stp>Market</stp>
        <stp>INDEX</stp>
        <stp>GOLDMINI.FUT01.OS</stp>
        <stp>年初来高値</stp>
        <tr r="V109" s="1"/>
      </tp>
      <tp t="s">
        <v/>
        <stp/>
        <stp>Market</stp>
        <stp>INDEX</stp>
        <stp>GOLDMINI.FUT03.OS</stp>
        <stp>年初来高値</stp>
        <tr r="V111" s="1"/>
      </tp>
      <tp t="s">
        <v/>
        <stp/>
        <stp>Market</stp>
        <stp>INDEX</stp>
        <stp>GOLDMINI.FUT02.OS</stp>
        <stp>年初来高値</stp>
        <tr r="V110" s="1"/>
      </tp>
    </main>
    <main first="rtdsrv.dff54f4b11dd4e0d9cb19000fb943d8c">
      <tp t="s">
        <v/>
        <stp/>
        <stp>Market</stp>
        <stp>INDEX</stp>
        <stp>GOLDMINI.FUT05.OS</stp>
        <stp>上場来高値</stp>
        <tr r="X113" s="1"/>
      </tp>
      <tp t="s">
        <v/>
        <stp/>
        <stp>Market</stp>
        <stp>INDEX</stp>
        <stp>GOLDMINI.FUT04.OS</stp>
        <stp>上場来高値</stp>
        <tr r="X112" s="1"/>
      </tp>
      <tp t="s">
        <v/>
        <stp/>
        <stp>Market</stp>
        <stp>INDEX</stp>
        <stp>GOLDMINI.FUT06.OS</stp>
        <stp>上場来高値</stp>
        <tr r="X114" s="1"/>
      </tp>
      <tp t="s">
        <v/>
        <stp/>
        <stp>Market</stp>
        <stp>INDEX</stp>
        <stp>GOLDMINI.FUT01.OS</stp>
        <stp>上場来高値</stp>
        <tr r="X109" s="1"/>
      </tp>
      <tp t="s">
        <v/>
        <stp/>
        <stp>Market</stp>
        <stp>INDEX</stp>
        <stp>GOLDMINI.FUT03.OS</stp>
        <stp>上場来高値</stp>
        <tr r="X111" s="1"/>
      </tp>
      <tp t="s">
        <v/>
        <stp/>
        <stp>Market</stp>
        <stp>INDEX</stp>
        <stp>GOLDMINI.FUT02.OS</stp>
        <stp>上場来高値</stp>
        <tr r="X110" s="1"/>
      </tp>
      <tp t="s">
        <v>2026/02/27</v>
        <stp/>
        <stp>Market</stp>
        <stp>INDEX</stp>
        <stp>PLATINUM.FUT04.OS</stp>
        <stp>前日日付</stp>
        <tr r="J119" s="1"/>
      </tp>
      <tp t="s">
        <v>2026/02/27</v>
        <stp/>
        <stp>Market</stp>
        <stp>INDEX</stp>
        <stp>PLATINUM.FUT05.OS</stp>
        <stp>前日日付</stp>
        <tr r="J120" s="1"/>
      </tp>
      <tp t="s">
        <v>2026/02/27</v>
        <stp/>
        <stp>Market</stp>
        <stp>INDEX</stp>
        <stp>PLATINUM.FUT06.OS</stp>
        <stp>前日日付</stp>
        <tr r="J121" s="1"/>
      </tp>
      <tp t="s">
        <v>2026/02/27</v>
        <stp/>
        <stp>Market</stp>
        <stp>INDEX</stp>
        <stp>PLATINUM.FUT01.OS</stp>
        <stp>前日日付</stp>
        <tr r="J116" s="1"/>
      </tp>
      <tp t="s">
        <v>2026/02/27</v>
        <stp/>
        <stp>Market</stp>
        <stp>INDEX</stp>
        <stp>PLATINUM.FUT02.OS</stp>
        <stp>前日日付</stp>
        <tr r="J117" s="1"/>
      </tp>
      <tp t="s">
        <v>2026/02/27</v>
        <stp/>
        <stp>Market</stp>
        <stp>INDEX</stp>
        <stp>PLATINUM.FUT03.OS</stp>
        <stp>前日日付</stp>
        <tr r="J118" s="1"/>
      </tp>
    </main>
    <main first="rtdsrv.dff54f4b11dd4e0d9cb19000fb943d8c">
      <tp>
        <v>0</v>
        <stp/>
        <stp>Market</stp>
        <stp>INDEX</stp>
        <stp>JGB:F</stp>
        <stp>出来高</stp>
        <tr r="Q16" s="1"/>
      </tp>
      <tp>
        <v>59150</v>
        <stp/>
        <stp>Market</stp>
        <stp>INDEX</stp>
        <stp>N225M.FUT03.OS</stp>
        <stp>高値</stp>
        <tr r="L79" s="1"/>
      </tp>
      <tp>
        <v>59130</v>
        <stp/>
        <stp>Market</stp>
        <stp>INDEX</stp>
        <stp>N225U.FUT03.OS</stp>
        <stp>高値</stp>
        <tr r="L84" s="1"/>
      </tp>
      <tp>
        <v>0</v>
        <stp/>
        <stp>Market</stp>
        <stp>INDEX</stp>
        <stp>JN400.FUT05.OS</stp>
        <stp>高値</stp>
        <tr r="L100" s="1"/>
      </tp>
    </main>
    <main first="rtdsrv.dff54f4b11dd4e0d9cb19000fb943d8c">
      <tp t="s">
        <v/>
        <stp/>
        <stp>Market</stp>
        <stp>INDEX</stp>
        <stp>ZAR/JPY</stp>
        <stp>現在値</stp>
        <tr r="E192" s="1"/>
      </tp>
      <tp t="s">
        <v/>
        <stp/>
        <stp>Market</stp>
        <stp>INDEX</stp>
        <stp>EUR/USD</stp>
        <stp>現在値</stp>
        <tr r="E197" s="1"/>
      </tp>
    </main>
    <main first="rtdsrv.dff54f4b11dd4e0d9cb19000fb943d8c">
      <tp t="s">
        <v>-</v>
        <stp/>
        <stp>Market</stp>
        <stp>INDEX</stp>
        <stp>HSCCI</stp>
        <stp>出来高</stp>
        <tr r="Q67" s="1"/>
      </tp>
    </main>
    <main first="rtdsrv.dff54f4b11dd4e0d9cb19000fb943d8c">
      <tp t="s">
        <v>-</v>
        <stp/>
        <stp>Market</stp>
        <stp>INDEX</stp>
        <stp>HSCEI</stp>
        <stp>出来高</stp>
        <tr r="Q66" s="1"/>
      </tp>
    </main>
    <main first="rtdsrv.dff54f4b11dd4e0d9cb19000fb943d8c">
      <tp t="s">
        <v>-</v>
        <stp/>
        <stp>Market</stp>
        <stp>INDEX</stp>
        <stp>IXCO</stp>
        <stp>出来高</stp>
        <tr r="Q45" s="1"/>
      </tp>
      <tp>
        <v>1.5</v>
        <stp/>
        <stp>Market</stp>
        <stp>INDEX</stp>
        <stp>TOPX</stp>
        <stp>前日比率</stp>
        <tr r="H4" s="1"/>
      </tp>
      <tp t="s">
        <v>-</v>
        <stp/>
        <stp>Market</stp>
        <stp>INDEX</stp>
        <stp>IXHC</stp>
        <stp>出来高</stp>
        <tr r="Q48" s="1"/>
      </tp>
      <tp t="s">
        <v>-</v>
        <stp/>
        <stp>Market</stp>
        <stp>INDEX</stp>
        <stp>IXTC</stp>
        <stp>出来高</stp>
        <tr r="Q44" s="1"/>
      </tp>
      <tp>
        <v>1.51</v>
        <stp/>
        <stp>Market</stp>
        <stp>INDEX</stp>
        <stp>TSPM</stp>
        <stp>前日比率</stp>
        <tr r="H6" s="1"/>
      </tp>
    </main>
    <main first="rtdsrv.dff54f4b11dd4e0d9cb19000fb943d8c">
      <tp>
        <v>59110</v>
        <stp/>
        <stp>Market</stp>
        <stp>INDEX</stp>
        <stp>N225M.FUT02.OS</stp>
        <stp>高値</stp>
        <tr r="L78" s="1"/>
      </tp>
    </main>
    <main first="rtdsrv.dff54f4b11dd4e0d9cb19000fb943d8c">
      <tp>
        <v>59110</v>
        <stp/>
        <stp>Market</stp>
        <stp>INDEX</stp>
        <stp>N225U.FUT02.OS</stp>
        <stp>高値</stp>
        <tr r="L83" s="1"/>
      </tp>
      <tp>
        <v>0</v>
        <stp/>
        <stp>Market</stp>
        <stp>INDEX</stp>
        <stp>JN400.FUT04.OS</stp>
        <stp>高値</stp>
        <tr r="L99" s="1"/>
      </tp>
    </main>
    <main first="rtdsrv.dff54f4b11dd4e0d9cb19000fb943d8c">
      <tp>
        <v>0</v>
        <stp/>
        <stp>Market</stp>
        <stp>INDEX</stp>
        <stp>PALLADIUM.FUT03.OS</stp>
        <stp>売買代金</stp>
        <tr r="R137" s="1"/>
      </tp>
      <tp>
        <v>0</v>
        <stp/>
        <stp>Market</stp>
        <stp>INDEX</stp>
        <stp>PALLADIUM.FUT02.OS</stp>
        <stp>売買代金</stp>
        <tr r="R136" s="1"/>
      </tp>
      <tp>
        <v>0</v>
        <stp/>
        <stp>Market</stp>
        <stp>INDEX</stp>
        <stp>PALLADIUM.FUT01.OS</stp>
        <stp>売買代金</stp>
        <tr r="R135" s="1"/>
      </tp>
      <tp>
        <v>0</v>
        <stp/>
        <stp>Market</stp>
        <stp>INDEX</stp>
        <stp>PALLADIUM.FUT06.OS</stp>
        <stp>売買代金</stp>
        <tr r="R140" s="1"/>
      </tp>
      <tp>
        <v>0</v>
        <stp/>
        <stp>Market</stp>
        <stp>INDEX</stp>
        <stp>PALLADIUM.FUT05.OS</stp>
        <stp>売買代金</stp>
        <tr r="R139" s="1"/>
      </tp>
      <tp>
        <v>0</v>
        <stp/>
        <stp>Market</stp>
        <stp>INDEX</stp>
        <stp>PALLADIUM.FUT04.OS</stp>
        <stp>売買代金</stp>
        <tr r="R138" s="1"/>
      </tp>
    </main>
    <main first="rtdsrv.dff54f4b11dd4e0d9cb19000fb943d8c">
      <tp>
        <v>8733.9</v>
        <stp/>
        <stp>Market</stp>
        <stp>INDEX</stp>
        <stp>TRAN</stp>
        <stp>前日終値</stp>
        <tr r="I43" s="1"/>
      </tp>
      <tp>
        <v>12480.13</v>
        <stp/>
        <stp>Market</stp>
        <stp>INDEX</stp>
        <stp>JGB:FL</stp>
        <stp>現在値</stp>
        <tr r="E17" s="1"/>
      </tp>
      <tp>
        <v>8813.9</v>
        <stp/>
        <stp>Market</stp>
        <stp>INDEX</stp>
        <stp>JGB:FI</stp>
        <stp>現在値</stp>
        <tr r="E18" s="1"/>
      </tp>
    </main>
    <main first="rtdsrv.dff54f4b11dd4e0d9cb19000fb943d8c">
      <tp t="s">
        <v>2026/02/26</v>
        <stp/>
        <stp>Market</stp>
        <stp>INDEX</stp>
        <stp>NBI</stp>
        <stp>前日日付</stp>
        <tr r="J47" s="1"/>
      </tp>
    </main>
    <main first="rtdsrv.dff54f4b11dd4e0d9cb19000fb943d8c">
      <tp>
        <v>8945.2000000000007</v>
        <stp/>
        <stp>Market</stp>
        <stp>INDEX</stp>
        <stp>HXC</stp>
        <stp>前年最高値</stp>
        <tr r="S55" s="1"/>
      </tp>
    </main>
    <main first="rtdsrv.dff54f4b11dd4e0d9cb19000fb943d8c">
      <tp>
        <v>59075</v>
        <stp/>
        <stp>Market</stp>
        <stp>INDEX</stp>
        <stp>N225M.FUT05.OS</stp>
        <stp>高値</stp>
        <tr r="L81" s="1"/>
      </tp>
      <tp>
        <v>0</v>
        <stp/>
        <stp>Market</stp>
        <stp>INDEX</stp>
        <stp>JN400.FUT03.OS</stp>
        <stp>高値</stp>
        <tr r="L98" s="1"/>
      </tp>
      <tp t="s">
        <v/>
        <stp/>
        <stp>Market</stp>
        <stp>INDEX</stp>
        <stp>USD/CHF</stp>
        <stp>現在値</stp>
        <tr r="E201" s="1"/>
      </tp>
      <tp t="s">
        <v/>
        <stp/>
        <stp>Market</stp>
        <stp>INDEX</stp>
        <stp>USD/CAD</stp>
        <stp>現在値</stp>
        <tr r="E212" s="1"/>
      </tp>
    </main>
    <main first="rtdsrv.dff54f4b11dd4e0d9cb19000fb943d8c">
      <tp>
        <v>0</v>
        <stp/>
        <stp>Market</stp>
        <stp>INDEX</stp>
        <stp>TREIT</stp>
        <stp>出来高</stp>
        <tr r="Q15" s="1"/>
      </tp>
    </main>
    <main first="rtdsrv.dff54f4b11dd4e0d9cb19000fb943d8c">
      <tp t="s">
        <v>-</v>
        <stp/>
        <stp>Market</stp>
        <stp>INDEX</stp>
        <stp>SPESG</stp>
        <stp>出来高</stp>
        <tr r="Q38" s="1"/>
      </tp>
    </main>
    <main first="rtdsrv.dff54f4b11dd4e0d9cb19000fb943d8c">
      <tp t="s">
        <v>2026/02/26</v>
        <stp/>
        <stp>Market</stp>
        <stp>INDEX</stp>
        <stp>SIXY</stp>
        <stp>前日日付</stp>
        <tr r="J32" s="1"/>
      </tp>
      <tp t="s">
        <v>2026/02/26</v>
        <stp/>
        <stp>Market</stp>
        <stp>INDEX</stp>
        <stp>SIXV</stp>
        <stp>前日日付</stp>
        <tr r="J37" s="1"/>
      </tp>
    </main>
    <main first="rtdsrv.dff54f4b11dd4e0d9cb19000fb943d8c">
      <tp t="s">
        <v>2026/02/26</v>
        <stp/>
        <stp>Market</stp>
        <stp>INDEX</stp>
        <stp>SIXT</stp>
        <stp>前日日付</stp>
        <tr r="J36" s="1"/>
      </tp>
      <tp t="s">
        <v>2026/02/26</v>
        <stp/>
        <stp>Market</stp>
        <stp>INDEX</stp>
        <stp>NDXT</stp>
        <stp>前日日付</stp>
        <tr r="J49" s="1"/>
      </tp>
      <tp t="s">
        <v>2026/02/26</v>
        <stp/>
        <stp>Market</stp>
        <stp>INDEX</stp>
        <stp>SIXU</stp>
        <stp>前日日付</stp>
        <tr r="J31" s="1"/>
      </tp>
      <tp t="s">
        <v>2026/02/26</v>
        <stp/>
        <stp>Market</stp>
        <stp>INDEX</stp>
        <stp>SIXR</stp>
        <stp>前日日付</stp>
        <tr r="J35" s="1"/>
      </tp>
      <tp t="s">
        <v>2026/02/26</v>
        <stp/>
        <stp>Market</stp>
        <stp>INDEX</stp>
        <stp>SIXM</stp>
        <stp>前日日付</stp>
        <tr r="J29" s="1"/>
      </tp>
      <tp t="s">
        <v>2026/02/26</v>
        <stp/>
        <stp>Market</stp>
        <stp>INDEX</stp>
        <stp>SIXI</stp>
        <stp>前日日付</stp>
        <tr r="J34" s="1"/>
      </tp>
      <tp t="s">
        <v>2026/02/26</v>
        <stp/>
        <stp>Market</stp>
        <stp>INDEX</stp>
        <stp>SIXE</stp>
        <stp>前日日付</stp>
        <tr r="J28" s="1"/>
      </tp>
      <tp t="s">
        <v>2026/02/26</v>
        <stp/>
        <stp>Market</stp>
        <stp>INDEX</stp>
        <stp>SIXB</stp>
        <stp>前日日付</stp>
        <tr r="J27" s="1"/>
      </tp>
      <tp t="s">
        <v>2026/02/26</v>
        <stp/>
        <stp>Market</stp>
        <stp>INDEX</stp>
        <stp>SIXC</stp>
        <stp>前日日付</stp>
        <tr r="J33" s="1"/>
      </tp>
      <tp>
        <v>59220</v>
        <stp/>
        <stp>Market</stp>
        <stp>INDEX</stp>
        <stp>N225M.FUT04.OS</stp>
        <stp>高値</stp>
        <tr r="L80" s="1"/>
      </tp>
      <tp>
        <v>59225</v>
        <stp/>
        <stp>Market</stp>
        <stp>INDEX</stp>
        <stp>N225U.FUT04.OS</stp>
        <stp>高値</stp>
        <tr r="L85" s="1"/>
      </tp>
      <tp>
        <v>0</v>
        <stp/>
        <stp>Market</stp>
        <stp>INDEX</stp>
        <stp>JN400.FUT02.OS</stp>
        <stp>高値</stp>
        <tr r="L97" s="1"/>
      </tp>
    </main>
    <main first="rtdsrv.dff54f4b11dd4e0d9cb19000fb943d8c">
      <tp>
        <v>7183.35</v>
        <stp/>
        <stp>Market</stp>
        <stp>INDEX</stp>
        <stp>IXF</stp>
        <stp>前日終値</stp>
        <tr r="I46" s="1"/>
      </tp>
      <tp>
        <v>7411.36</v>
        <stp/>
        <stp>Market</stp>
        <stp>INDEX</stp>
        <stp>HXC</stp>
        <stp>前日終値</stp>
        <tr r="I55" s="1"/>
      </tp>
    </main>
    <main first="rtdsrv.dff54f4b11dd4e0d9cb19000fb943d8c">
      <tp>
        <v>22144.92</v>
        <stp/>
        <stp>Market</stp>
        <stp>INDEX</stp>
        <stp>IXCO</stp>
        <stp>前日終値</stp>
        <tr r="I45" s="1"/>
      </tp>
    </main>
    <main first="rtdsrv.dff54f4b11dd4e0d9cb19000fb943d8c">
      <tp t="s">
        <v>VIX</v>
        <stp/>
        <stp>Market</stp>
        <stp>INDEX</stp>
        <stp>VIX</stp>
        <stp>指標コード</stp>
        <tr r="A25" s="1"/>
      </tp>
      <tp t="s">
        <v>SOX</v>
        <stp/>
        <stp>Market</stp>
        <stp>INDEX</stp>
        <stp>SOX</stp>
        <stp>指標コード</stp>
        <tr r="A51" s="1"/>
      </tp>
      <tp t="s">
        <v>NGX</v>
        <stp/>
        <stp>Market</stp>
        <stp>INDEX</stp>
        <stp>NGX</stp>
        <stp>指標コード</stp>
        <tr r="A63" s="1"/>
      </tp>
      <tp t="s">
        <v>OSX</v>
        <stp/>
        <stp>Market</stp>
        <stp>INDEX</stp>
        <stp>OSX</stp>
        <stp>指標コード</stp>
        <tr r="A53" s="1"/>
      </tp>
      <tp t="s">
        <v>HGX</v>
        <stp/>
        <stp>Market</stp>
        <stp>INDEX</stp>
        <stp>HGX</stp>
        <stp>指標コード</stp>
        <tr r="A52" s="1"/>
      </tp>
    </main>
    <main first="rtdsrv.dff54f4b11dd4e0d9cb19000fb943d8c">
      <tp>
        <v>3063.42</v>
        <stp/>
        <stp>Market</stp>
        <stp>INDEX</stp>
        <stp>NQCYBR</stp>
        <stp>高値</stp>
        <tr r="L59" s="1"/>
      </tp>
    </main>
    <main first="rtdsrv.dff54f4b11dd4e0d9cb19000fb943d8c">
      <tp>
        <v>35900</v>
        <stp/>
        <stp>Market</stp>
        <stp>INDEX</stp>
        <stp>JN400.FUT01.OS</stp>
        <stp>高値</stp>
        <tr r="L96" s="1"/>
      </tp>
      <tp t="s">
        <v xml:space="preserve">  :  </v>
        <stp/>
        <stp>Market</stp>
        <stp>INDEX</stp>
        <stp>TS1EX</stp>
        <stp>更新時刻</stp>
        <tr r="D10" s="1"/>
      </tp>
      <tp t="s">
        <v>17:08</v>
        <stp/>
        <stp>Market</stp>
        <stp>INDEX</stp>
        <stp>HSCEI</stp>
        <stp>更新時刻</stp>
        <tr r="D66" s="1"/>
      </tp>
      <tp t="s">
        <v/>
        <stp/>
        <stp>Market</stp>
        <stp>INDEX</stp>
        <stp>AUD/USD</stp>
        <stp>現在値</stp>
        <tr r="E199" s="1"/>
      </tp>
    </main>
    <main first="rtdsrv.dff54f4b11dd4e0d9cb19000fb943d8c">
      <tp t="s">
        <v/>
        <stp/>
        <stp>Market</stp>
        <stp>INDEX</stp>
        <stp>SOYBEAN.FUT03.OS</stp>
        <stp>更新時刻</stp>
        <tr r="D173" s="1"/>
      </tp>
      <tp t="s">
        <v/>
        <stp/>
        <stp>Market</stp>
        <stp>INDEX</stp>
        <stp>SOYBEAN.FUT02.OS</stp>
        <stp>更新時刻</stp>
        <tr r="D172" s="1"/>
      </tp>
      <tp t="s">
        <v/>
        <stp/>
        <stp>Market</stp>
        <stp>INDEX</stp>
        <stp>SOYBEAN.FUT01.OS</stp>
        <stp>更新時刻</stp>
        <tr r="D171" s="1"/>
      </tp>
      <tp t="s">
        <v/>
        <stp/>
        <stp>Market</stp>
        <stp>INDEX</stp>
        <stp>SOYBEAN.FUT06.OS</stp>
        <stp>更新時刻</stp>
        <tr r="D176" s="1"/>
      </tp>
      <tp t="s">
        <v/>
        <stp/>
        <stp>Market</stp>
        <stp>INDEX</stp>
        <stp>SOYBEAN.FUT05.OS</stp>
        <stp>更新時刻</stp>
        <tr r="D175" s="1"/>
      </tp>
      <tp t="s">
        <v/>
        <stp/>
        <stp>Market</stp>
        <stp>INDEX</stp>
        <stp>SOYBEAN.FUT04.OS</stp>
        <stp>更新時刻</stp>
        <tr r="D174" s="1"/>
      </tp>
    </main>
    <main first="rtdsrv.dff54f4b11dd4e0d9cb19000fb943d8c">
      <tp t="s">
        <v/>
        <stp/>
        <stp>Market</stp>
        <stp>INDEX</stp>
        <stp>EUR/GBP</stp>
        <stp>更新時刻</stp>
        <tr r="D203" s="1"/>
      </tp>
      <tp t="s">
        <v/>
        <stp/>
        <stp>Market</stp>
        <stp>INDEX</stp>
        <stp>SGD/JPY</stp>
        <stp>更新時刻</stp>
        <tr r="D196" s="1"/>
      </tp>
      <tp t="s">
        <v/>
        <stp/>
        <stp>Market</stp>
        <stp>INDEX</stp>
        <stp>GBP/AUD</stp>
        <stp>更新時刻</stp>
        <tr r="D214" s="1"/>
      </tp>
      <tp>
        <v>-1.2</v>
        <stp/>
        <stp>Market</stp>
        <stp>INDEX</stp>
        <stp>SOX</stp>
        <stp>前日比率</stp>
        <tr r="H51" s="1"/>
      </tp>
      <tp t="s">
        <v>2026/02/26</v>
        <stp/>
        <stp>Market</stp>
        <stp>INDEX</stp>
        <stp>XAU</stp>
        <stp>前日日付</stp>
        <tr r="J50" s="1"/>
      </tp>
      <tp>
        <v>0</v>
        <stp/>
        <stp>Market</stp>
        <stp>INDEX</stp>
        <stp>JGB:FI</stp>
        <stp>高値</stp>
        <tr r="L18" s="1"/>
      </tp>
      <tp>
        <v>0</v>
        <stp/>
        <stp>Market</stp>
        <stp>INDEX</stp>
        <stp>JGB:FL</stp>
        <stp>高値</stp>
        <tr r="L17" s="1"/>
      </tp>
      <tp>
        <v>0</v>
        <stp/>
        <stp>Market</stp>
        <stp>INDEX</stp>
        <stp>TSGMC</stp>
        <stp>出来高</stp>
        <tr r="Q12" s="1"/>
      </tp>
    </main>
    <main first="rtdsrv.dff54f4b11dd4e0d9cb19000fb943d8c">
      <tp t="s">
        <v>UTY</v>
        <stp/>
        <stp>Market</stp>
        <stp>INDEX</stp>
        <stp>UTY</stp>
        <stp>指標コード</stp>
        <tr r="A54" s="1"/>
      </tp>
    </main>
    <main first="rtdsrv.dff54f4b11dd4e0d9cb19000fb943d8c">
      <tp>
        <v>1.76</v>
        <stp/>
        <stp>Market</stp>
        <stp>INDEX</stp>
        <stp>IXTC</stp>
        <stp>前日比率</stp>
        <tr r="H44" s="1"/>
      </tp>
      <tp t="s">
        <v/>
        <stp/>
        <stp>Market</stp>
        <stp>INDEX</stp>
        <stp>PLATINUM.SPOT.OS</stp>
        <stp>指標コード</stp>
        <tr r="A128" s="1"/>
      </tp>
    </main>
    <main first="rtdsrv.dff54f4b11dd4e0d9cb19000fb943d8c">
      <tp t="s">
        <v/>
        <stp/>
        <stp>Market</stp>
        <stp>INDEX</stp>
        <stp>NZD/USD</stp>
        <stp>現在値</stp>
        <tr r="E200" s="1"/>
      </tp>
    </main>
    <main first="rtdsrv.dff54f4b11dd4e0d9cb19000fb943d8c">
      <tp>
        <v>31.21</v>
        <stp/>
        <stp>Market</stp>
        <stp>INDEX</stp>
        <stp>NVI</stp>
        <stp>前日終値</stp>
        <tr r="I14" s="1"/>
      </tp>
    </main>
    <main first="rtdsrv.dff54f4b11dd4e0d9cb19000fb943d8c">
      <tp t="s">
        <v>07:15</v>
        <stp/>
        <stp>Market</stp>
        <stp>INDEX</stp>
        <stp>EMCLOUD</stp>
        <stp>更新時刻</stp>
        <tr r="D62" s="1"/>
      </tp>
      <tp t="s">
        <v/>
        <stp/>
        <stp>Market</stp>
        <stp>INDEX</stp>
        <stp>CHF/JPY</stp>
        <stp>更新時刻</stp>
        <tr r="D194" s="1"/>
      </tp>
    </main>
    <main first="rtdsrv.dff54f4b11dd4e0d9cb19000fb943d8c">
      <tp>
        <v>371147200</v>
        <stp/>
        <stp>Market</stp>
        <stp>INDEX</stp>
        <stp>TSGM</stp>
        <stp>出来高</stp>
        <tr r="Q8" s="1"/>
      </tp>
      <tp t="s">
        <v>-</v>
        <stp/>
        <stp>Market</stp>
        <stp>INDEX</stp>
        <stp>SSEA</stp>
        <stp>出来高</stp>
        <tr r="Q69" s="1"/>
      </tp>
      <tp t="s">
        <v>-</v>
        <stp/>
        <stp>Market</stp>
        <stp>INDEX</stp>
        <stp>SSEC</stp>
        <stp>出来高</stp>
        <tr r="Q68" s="1"/>
      </tp>
    </main>
    <main first="rtdsrv.dff54f4b11dd4e0d9cb19000fb943d8c">
      <tp>
        <v>45758</v>
        <stp/>
        <stp>Market</stp>
        <stp>INDEX</stp>
        <stp>TSSM</stp>
        <stp>出来高</stp>
        <tr r="Q7" s="1"/>
      </tp>
    </main>
    <main first="rtdsrv.dff54f4b11dd4e0d9cb19000fb943d8c">
      <tp>
        <v>310818</v>
        <stp/>
        <stp>Market</stp>
        <stp>INDEX</stp>
        <stp>TSPM</stp>
        <stp>出来高</stp>
        <tr r="Q6" s="1"/>
      </tp>
    </main>
    <main first="rtdsrv.dff54f4b11dd4e0d9cb19000fb943d8c">
      <tp t="s">
        <v/>
        <stp/>
        <stp>Market</stp>
        <stp>INDEX</stp>
        <stp>TOPX.FUT04.OS</stp>
        <stp>更新時刻</stp>
        <tr r="D89" s="1"/>
      </tp>
      <tp t="s">
        <v/>
        <stp/>
        <stp>Market</stp>
        <stp>INDEX</stp>
        <stp>TOPX.FUT05.OS</stp>
        <stp>更新時刻</stp>
        <tr r="D90" s="1"/>
      </tp>
      <tp t="s">
        <v/>
        <stp/>
        <stp>Market</stp>
        <stp>INDEX</stp>
        <stp>TOPX.FUT02.OS</stp>
        <stp>更新時刻</stp>
        <tr r="D87" s="1"/>
      </tp>
      <tp t="s">
        <v/>
        <stp/>
        <stp>Market</stp>
        <stp>INDEX</stp>
        <stp>TOPX.FUT03.OS</stp>
        <stp>更新時刻</stp>
        <tr r="D88" s="1"/>
      </tp>
      <tp t="s">
        <v/>
        <stp/>
        <stp>Market</stp>
        <stp>INDEX</stp>
        <stp>TOPX.FUT01.OS</stp>
        <stp>更新時刻</stp>
        <tr r="D86" s="1"/>
      </tp>
    </main>
    <main first="rtdsrv.dff54f4b11dd4e0d9cb19000fb943d8c">
      <tp>
        <v>0</v>
        <stp/>
        <stp>Market</stp>
        <stp>INDEX</stp>
        <stp>VOLQ</stp>
        <stp>前日終値</stp>
        <tr r="I64" s="1"/>
      </tp>
      <tp t="s">
        <v>2026/02/26</v>
        <stp/>
        <stp>Market</stp>
        <stp>INDEX</stp>
        <stp>SOX</stp>
        <stp>前日日付</stp>
        <tr r="J51" s="1"/>
      </tp>
      <tp>
        <v>1.65</v>
        <stp/>
        <stp>Market</stp>
        <stp>INDEX</stp>
        <stp>XAU</stp>
        <stp>前日比率</stp>
        <tr r="H50" s="1"/>
      </tp>
      <tp t="s">
        <v>-</v>
        <stp/>
        <stp>Market</stp>
        <stp>INDEX</stp>
        <stp>TRAN</stp>
        <stp>出来高</stp>
        <tr r="Q43" s="1"/>
      </tp>
    </main>
    <main first="rtdsrv.dff54f4b11dd4e0d9cb19000fb943d8c">
      <tp t="s">
        <v>2026/02/26</v>
        <stp/>
        <stp>Market</stp>
        <stp>INDEX</stp>
        <stp>IXTC</stp>
        <stp>前日日付</stp>
        <tr r="J44" s="1"/>
      </tp>
    </main>
    <main first="rtdsrv.dff54f4b11dd4e0d9cb19000fb943d8c">
      <tp>
        <v>11746</v>
        <stp/>
        <stp>Market</stp>
        <stp>INDEX</stp>
        <stp>N225.FUT01.OS</stp>
        <stp>出来高</stp>
        <tr r="Q72" s="1"/>
      </tp>
      <tp>
        <v>365</v>
        <stp/>
        <stp>Market</stp>
        <stp>INDEX</stp>
        <stp>N225.FUT02.OS</stp>
        <stp>出来高</stp>
        <tr r="Q73" s="1"/>
      </tp>
      <tp>
        <v>2</v>
        <stp/>
        <stp>Market</stp>
        <stp>INDEX</stp>
        <stp>N225.FUT03.OS</stp>
        <stp>出来高</stp>
        <tr r="Q74" s="1"/>
      </tp>
      <tp>
        <v>6</v>
        <stp/>
        <stp>Market</stp>
        <stp>INDEX</stp>
        <stp>N225.FUT04.OS</stp>
        <stp>出来高</stp>
        <tr r="Q75" s="1"/>
      </tp>
      <tp>
        <v>2</v>
        <stp/>
        <stp>Market</stp>
        <stp>INDEX</stp>
        <stp>N225.FUT05.OS</stp>
        <stp>出来高</stp>
        <tr r="Q76" s="1"/>
      </tp>
    </main>
    <main first="rtdsrv.dff54f4b11dd4e0d9cb19000fb943d8c">
      <tp t="s">
        <v/>
        <stp/>
        <stp>Market</stp>
        <stp>INDEX</stp>
        <stp>SGD/JPY</stp>
        <stp>現在値</stp>
        <tr r="E196" s="1"/>
      </tp>
    </main>
    <main first="rtdsrv.dff54f4b11dd4e0d9cb19000fb943d8c">
      <tp>
        <v>1173.8900000000001</v>
        <stp/>
        <stp>Market</stp>
        <stp>INDEX</stp>
        <stp>UTY</stp>
        <stp>前日終値</stp>
        <tr r="I54" s="1"/>
      </tp>
    </main>
    <main first="rtdsrv.dff54f4b11dd4e0d9cb19000fb943d8c">
      <tp>
        <v>716</v>
        <stp/>
        <stp>Market</stp>
        <stp>INDEX</stp>
        <stp>MOT.FUT03.OS</stp>
        <stp>前日終値</stp>
        <tr r="I93" s="1"/>
      </tp>
      <tp>
        <v>756</v>
        <stp/>
        <stp>Market</stp>
        <stp>INDEX</stp>
        <stp>MOT.FUT02.OS</stp>
        <stp>前日終値</stp>
        <tr r="I92" s="1"/>
      </tp>
      <tp>
        <v>767</v>
        <stp/>
        <stp>Market</stp>
        <stp>INDEX</stp>
        <stp>MOT.FUT01.OS</stp>
        <stp>前日終値</stp>
        <tr r="I91" s="1"/>
      </tp>
      <tp>
        <v>700</v>
        <stp/>
        <stp>Market</stp>
        <stp>INDEX</stp>
        <stp>MOT.FUT05.OS</stp>
        <stp>前日終値</stp>
        <tr r="I95" s="1"/>
      </tp>
      <tp>
        <v>737</v>
        <stp/>
        <stp>Market</stp>
        <stp>INDEX</stp>
        <stp>MOT.FUT04.OS</stp>
        <stp>前日終値</stp>
        <tr r="I94" s="1"/>
      </tp>
      <tp>
        <v>0.89</v>
        <stp/>
        <stp>Market</stp>
        <stp>INDEX</stp>
        <stp>NBI</stp>
        <stp>前日比率</stp>
        <tr r="H47" s="1"/>
      </tp>
      <tp>
        <v>8139.991</v>
        <stp/>
        <stp>Market</stp>
        <stp>INDEX</stp>
        <stp>SOX</stp>
        <stp>高値</stp>
        <tr r="L51" s="1"/>
      </tp>
      <tp>
        <v>21.74</v>
        <stp/>
        <stp>Market</stp>
        <stp>INDEX</stp>
        <stp>VIX</stp>
        <stp>高値</stp>
        <tr r="L25" s="1"/>
      </tp>
      <tp>
        <v>1190.92</v>
        <stp/>
        <stp>Market</stp>
        <stp>INDEX</stp>
        <stp>UTY</stp>
        <stp>高値</stp>
        <tr r="L54" s="1"/>
      </tp>
    </main>
    <main first="rtdsrv.dff54f4b11dd4e0d9cb19000fb943d8c">
      <tp>
        <v>471.47</v>
        <stp/>
        <stp>Market</stp>
        <stp>INDEX</stp>
        <stp>XAU</stp>
        <stp>高値</stp>
        <tr r="L50" s="1"/>
      </tp>
      <tp>
        <v>1221.5428999999999</v>
        <stp/>
        <stp>Market</stp>
        <stp>INDEX</stp>
        <stp>CPQ</stp>
        <stp>高値</stp>
        <tr r="L60" s="1"/>
      </tp>
      <tp>
        <v>726.31</v>
        <stp/>
        <stp>Market</stp>
        <stp>INDEX</stp>
        <stp>HGX</stp>
        <stp>高値</stp>
        <tr r="L52" s="1"/>
      </tp>
      <tp>
        <v>26701.5</v>
        <stp/>
        <stp>Market</stp>
        <stp>INDEX</stp>
        <stp>HSI</stp>
        <stp>高値</stp>
        <tr r="L65" s="1"/>
      </tp>
      <tp>
        <v>7357.44</v>
        <stp/>
        <stp>Market</stp>
        <stp>INDEX</stp>
        <stp>HXC</stp>
        <stp>高値</stp>
        <tr r="L55" s="1"/>
      </tp>
      <tp>
        <v>7085.51</v>
        <stp/>
        <stp>Market</stp>
        <stp>INDEX</stp>
        <stp>IXF</stp>
        <stp>高値</stp>
        <tr r="L46" s="1"/>
      </tp>
      <tp>
        <v>6042.16</v>
        <stp/>
        <stp>Market</stp>
        <stp>INDEX</stp>
        <stp>NBI</stp>
        <stp>高値</stp>
        <tr r="L47" s="1"/>
      </tp>
      <tp>
        <v>1544.18</v>
        <stp/>
        <stp>Market</stp>
        <stp>INDEX</stp>
        <stp>NGX</stp>
        <stp>高値</stp>
        <tr r="L63" s="1"/>
      </tp>
      <tp>
        <v>31.66</v>
        <stp/>
        <stp>Market</stp>
        <stp>INDEX</stp>
        <stp>NVI</stp>
        <stp>高値</stp>
        <tr r="L14" s="1"/>
      </tp>
      <tp>
        <v>97.39</v>
        <stp/>
        <stp>Market</stp>
        <stp>INDEX</stp>
        <stp>OSX</stp>
        <stp>高値</stp>
        <tr r="L53" s="1"/>
      </tp>
    </main>
    <main first="rtdsrv.dff54f4b11dd4e0d9cb19000fb943d8c">
      <tp t="s">
        <v>15:30</v>
        <stp/>
        <stp>Market</stp>
        <stp>INDEX</stp>
        <stp>TREIT</stp>
        <stp>更新時刻</stp>
        <tr r="D15" s="1"/>
      </tp>
    </main>
    <main first="rtdsrv.dff54f4b11dd4e0d9cb19000fb943d8c">
      <tp>
        <v>4876.1400000000003</v>
        <stp/>
        <stp>Market</stp>
        <stp>INDEX</stp>
        <stp>BANK</stp>
        <stp>前日終値</stp>
        <tr r="I40" s="1"/>
      </tp>
      <tp t="s">
        <v/>
        <stp/>
        <stp>Market</stp>
        <stp>INDEX</stp>
        <stp>USD/CHF</stp>
        <stp>更新時刻</stp>
        <tr r="D201" s="1"/>
      </tp>
      <tp t="s">
        <v/>
        <stp/>
        <stp>Market</stp>
        <stp>INDEX</stp>
        <stp>HKD/JPY</stp>
        <stp>更新時刻</stp>
        <tr r="D195" s="1"/>
      </tp>
      <tp t="s">
        <v>-</v>
        <stp/>
        <stp>Market</stp>
        <stp>INDEX</stp>
        <stp>SHKSC</stp>
        <stp>出来高</stp>
        <tr r="Q70" s="1"/>
      </tp>
      <tp t="s">
        <v>XAU</v>
        <stp/>
        <stp>Market</stp>
        <stp>INDEX</stp>
        <stp>XAU</stp>
        <stp>指標コード</stp>
        <tr r="A50" s="1"/>
      </tp>
    </main>
    <main first="rtdsrv.dff54f4b11dd4e0d9cb19000fb943d8c">
      <tp>
        <v>1.27</v>
        <stp/>
        <stp>Market</stp>
        <stp>INDEX</stp>
        <stp>SIXR</stp>
        <stp>前日比率</stp>
        <tr r="H35" s="1"/>
      </tp>
      <tp>
        <v>1.77</v>
        <stp/>
        <stp>Market</stp>
        <stp>INDEX</stp>
        <stp>SIXV</stp>
        <stp>前日比率</stp>
        <tr r="H37" s="1"/>
      </tp>
      <tp>
        <v>-1.25</v>
        <stp/>
        <stp>Market</stp>
        <stp>INDEX</stp>
        <stp>NDXT</stp>
        <stp>前日比率</stp>
        <tr r="H49" s="1"/>
      </tp>
      <tp>
        <v>-1.58</v>
        <stp/>
        <stp>Market</stp>
        <stp>INDEX</stp>
        <stp>SIXT</stp>
        <stp>前日比率</stp>
        <tr r="H36" s="1"/>
      </tp>
      <tp>
        <v>1.07</v>
        <stp/>
        <stp>Market</stp>
        <stp>INDEX</stp>
        <stp>SIXU</stp>
        <stp>前日比率</stp>
        <tr r="H31" s="1"/>
      </tp>
      <tp>
        <v>-0.15</v>
        <stp/>
        <stp>Market</stp>
        <stp>INDEX</stp>
        <stp>SIXY</stp>
        <stp>前日比率</stp>
        <tr r="H32" s="1"/>
      </tp>
    </main>
    <main first="rtdsrv.dff54f4b11dd4e0d9cb19000fb943d8c">
      <tp>
        <v>0.75</v>
        <stp/>
        <stp>Market</stp>
        <stp>INDEX</stp>
        <stp>SIXB</stp>
        <stp>前日比率</stp>
        <tr r="H27" s="1"/>
      </tp>
      <tp>
        <v>1.1399999999999999</v>
        <stp/>
        <stp>Market</stp>
        <stp>INDEX</stp>
        <stp>SIXC</stp>
        <stp>前日比率</stp>
        <tr r="H33" s="1"/>
      </tp>
      <tp>
        <v>1.56</v>
        <stp/>
        <stp>Market</stp>
        <stp>INDEX</stp>
        <stp>SIXE</stp>
        <stp>前日比率</stp>
        <tr r="H28" s="1"/>
      </tp>
      <tp>
        <v>0.23</v>
        <stp/>
        <stp>Market</stp>
        <stp>INDEX</stp>
        <stp>SIXI</stp>
        <stp>前日比率</stp>
        <tr r="H34" s="1"/>
      </tp>
      <tp>
        <v>-1.98</v>
        <stp/>
        <stp>Market</stp>
        <stp>INDEX</stp>
        <stp>SIXM</stp>
        <stp>前日比率</stp>
        <tr r="H29" s="1"/>
      </tp>
    </main>
    <main first="rtdsrv.dff54f4b11dd4e0d9cb19000fb943d8c">
      <tp>
        <v>58515</v>
        <stp/>
        <stp>Market</stp>
        <stp>INDEX</stp>
        <stp>N225.FUT02.C</stp>
        <stp>前日終値</stp>
        <tr r="I184" s="1"/>
      </tp>
      <tp>
        <v>58715</v>
        <stp/>
        <stp>Market</stp>
        <stp>INDEX</stp>
        <stp>N225.FUT01.C</stp>
        <stp>前日終値</stp>
        <tr r="I183" s="1"/>
      </tp>
      <tp>
        <v>58880</v>
        <stp/>
        <stp>Market</stp>
        <stp>INDEX</stp>
        <stp>N225.FUT02.S</stp>
        <stp>前日終値</stp>
        <tr r="I186" s="1"/>
      </tp>
      <tp>
        <v>59080</v>
        <stp/>
        <stp>Market</stp>
        <stp>INDEX</stp>
        <stp>N225.FUT01.S</stp>
        <stp>前日終値</stp>
        <tr r="I185" s="1"/>
      </tp>
      <tp t="s">
        <v/>
        <stp/>
        <stp>Market</stp>
        <stp>INDEX</stp>
        <stp>USD/JPY</stp>
        <stp>現在値</stp>
        <tr r="E187" s="1"/>
      </tp>
    </main>
    <main first="rtdsrv.dff54f4b11dd4e0d9cb19000fb943d8c">
      <tp>
        <v>49499.199999999997</v>
        <stp/>
        <stp>Market</stp>
        <stp>INDEX</stp>
        <stp>DJIA</stp>
        <stp>前日終値</stp>
        <tr r="I20" s="1"/>
      </tp>
      <tp>
        <v>13025.74</v>
        <stp/>
        <stp>Market</stp>
        <stp>INDEX</stp>
        <stp>OFIN</stp>
        <stp>前日終値</stp>
        <tr r="I42" s="1"/>
      </tp>
      <tp>
        <v>104.15</v>
        <stp/>
        <stp>Market</stp>
        <stp>INDEX</stp>
        <stp>VVIX</stp>
        <stp>前日終値</stp>
        <tr r="I26" s="1"/>
      </tp>
      <tp>
        <v>4721.0141000000003</v>
        <stp/>
        <stp>Market</stp>
        <stp>INDEX</stp>
        <stp>CSI300</stp>
        <stp>高値</stp>
        <tr r="L71" s="1"/>
      </tp>
    </main>
    <main first="rtdsrv.dff54f4b11dd4e0d9cb19000fb943d8c">
      <tp>
        <v>2029.13</v>
        <stp/>
        <stp>Market</stp>
        <stp>INDEX</stp>
        <stp>TREIT</stp>
        <stp>高値</stp>
        <tr r="L15" s="1"/>
      </tp>
    </main>
    <main first="rtdsrv.dff54f4b11dd4e0d9cb19000fb943d8c">
      <tp>
        <v>-1.1200000000000001</v>
        <stp/>
        <stp>Market</stp>
        <stp>INDEX</stp>
        <stp>PLATINUM.FUT03.OS</stp>
        <stp>前日比率</stp>
        <tr r="H118" s="1"/>
      </tp>
      <tp>
        <v>0</v>
        <stp/>
        <stp>Market</stp>
        <stp>INDEX</stp>
        <stp>PLATINUM.FUT02.OS</stp>
        <stp>前日比率</stp>
        <tr r="H117" s="1"/>
      </tp>
      <tp>
        <v>0</v>
        <stp/>
        <stp>Market</stp>
        <stp>INDEX</stp>
        <stp>PLATINUM.FUT01.OS</stp>
        <stp>前日比率</stp>
        <tr r="H116" s="1"/>
      </tp>
      <tp>
        <v>-1.03</v>
        <stp/>
        <stp>Market</stp>
        <stp>INDEX</stp>
        <stp>PLATINUM.FUT06.OS</stp>
        <stp>前日比率</stp>
        <tr r="H121" s="1"/>
      </tp>
      <tp>
        <v>-1.51</v>
        <stp/>
        <stp>Market</stp>
        <stp>INDEX</stp>
        <stp>PLATINUM.FUT05.OS</stp>
        <stp>前日比率</stp>
        <tr r="H120" s="1"/>
      </tp>
      <tp>
        <v>-1.51</v>
        <stp/>
        <stp>Market</stp>
        <stp>INDEX</stp>
        <stp>PLATINUM.FUT04.OS</stp>
        <stp>前日比率</stp>
        <tr r="H119" s="1"/>
      </tp>
    </main>
    <main first="rtdsrv.dff54f4b11dd4e0d9cb19000fb943d8c">
      <tp>
        <v>4710.6468999999997</v>
        <stp/>
        <stp>Market</stp>
        <stp>INDEX</stp>
        <stp>CSI300</stp>
        <stp>現在値</stp>
        <tr r="E71" s="1"/>
      </tp>
      <tp t="s">
        <v/>
        <stp/>
        <stp>Market</stp>
        <stp>INDEX</stp>
        <stp>TRY/JPY</stp>
        <stp>現在値</stp>
        <tr r="E209" s="1"/>
      </tp>
      <tp>
        <v>26381.02</v>
        <stp/>
        <stp>Market</stp>
        <stp>INDEX</stp>
        <stp>HSI</stp>
        <stp>前日終値</stp>
        <tr r="I65" s="1"/>
      </tp>
    </main>
    <main first="rtdsrv.dff54f4b11dd4e0d9cb19000fb943d8c">
      <tp>
        <v>96.49</v>
        <stp/>
        <stp>Market</stp>
        <stp>INDEX</stp>
        <stp>OSX</stp>
        <stp>前日終値</stp>
        <tr r="I53" s="1"/>
      </tp>
    </main>
    <main first="rtdsrv.dff54f4b11dd4e0d9cb19000fb943d8c">
      <tp t="s">
        <v>-</v>
        <stp/>
        <stp>Market</stp>
        <stp>INDEX</stp>
        <stp>NQ</stp>
        <stp>売買代金</stp>
        <tr r="R21" s="1"/>
      </tp>
    </main>
    <main first="rtdsrv.dff54f4b11dd4e0d9cb19000fb943d8c">
      <tp>
        <v>27424.5</v>
        <stp/>
        <stp>Market</stp>
        <stp>INDEX</stp>
        <stp>GOLDMINI.FUT06.OS</stp>
        <stp>現在値</stp>
        <tr r="E114" s="1"/>
      </tp>
      <tp>
        <v>26783</v>
        <stp/>
        <stp>Market</stp>
        <stp>INDEX</stp>
        <stp>GOLDMINI.FUT04.OS</stp>
        <stp>現在値</stp>
        <tr r="E112" s="1"/>
      </tp>
      <tp>
        <v>27161.5</v>
        <stp/>
        <stp>Market</stp>
        <stp>INDEX</stp>
        <stp>GOLDMINI.FUT05.OS</stp>
        <stp>現在値</stp>
        <tr r="E113" s="1"/>
      </tp>
      <tp>
        <v>26351</v>
        <stp/>
        <stp>Market</stp>
        <stp>INDEX</stp>
        <stp>GOLDMINI.FUT02.OS</stp>
        <stp>現在値</stp>
        <tr r="E110" s="1"/>
      </tp>
      <tp>
        <v>26488</v>
        <stp/>
        <stp>Market</stp>
        <stp>INDEX</stp>
        <stp>GOLDMINI.FUT03.OS</stp>
        <stp>現在値</stp>
        <tr r="E111" s="1"/>
      </tp>
      <tp>
        <v>26320</v>
        <stp/>
        <stp>Market</stp>
        <stp>INDEX</stp>
        <stp>GOLDMINI.FUT01.OS</stp>
        <stp>現在値</stp>
        <tr r="E109" s="1"/>
      </tp>
      <tp>
        <v>1213.7</v>
        <stp/>
        <stp>Market</stp>
        <stp>INDEX</stp>
        <stp>IXHC</stp>
        <stp>前日終値</stp>
        <tr r="I48" s="1"/>
      </tp>
      <tp t="s">
        <v/>
        <stp/>
        <stp>Market</stp>
        <stp>INDEX</stp>
        <stp>AUD/CHF</stp>
        <stp>更新時刻</stp>
        <tr r="D205" s="1"/>
      </tp>
      <tp>
        <v>749.03</v>
        <stp/>
        <stp>Market</stp>
        <stp>INDEX</stp>
        <stp>MTHR</stp>
        <stp>前日終値</stp>
        <tr r="I13" s="1"/>
      </tp>
      <tp t="s">
        <v/>
        <stp/>
        <stp>Market</stp>
        <stp>INDEX</stp>
        <stp>JN400.FUT04.OS</stp>
        <stp>更新時刻</stp>
        <tr r="D99" s="1"/>
      </tp>
      <tp t="s">
        <v/>
        <stp/>
        <stp>Market</stp>
        <stp>INDEX</stp>
        <stp>JN400.FUT05.OS</stp>
        <stp>更新時刻</stp>
        <tr r="D100" s="1"/>
      </tp>
      <tp t="s">
        <v/>
        <stp/>
        <stp>Market</stp>
        <stp>INDEX</stp>
        <stp>JN400.FUT02.OS</stp>
        <stp>更新時刻</stp>
        <tr r="D97" s="1"/>
      </tp>
      <tp t="s">
        <v/>
        <stp/>
        <stp>Market</stp>
        <stp>INDEX</stp>
        <stp>JN400.FUT03.OS</stp>
        <stp>更新時刻</stp>
        <tr r="D98" s="1"/>
      </tp>
      <tp t="s">
        <v/>
        <stp/>
        <stp>Market</stp>
        <stp>INDEX</stp>
        <stp>JN400.FUT01.OS</stp>
        <stp>更新時刻</stp>
        <tr r="D96" s="1"/>
      </tp>
      <tp t="s">
        <v/>
        <stp/>
        <stp>Market</stp>
        <stp>INDEX</stp>
        <stp>EUR/CHF</stp>
        <stp>更新時刻</stp>
        <tr r="D204" s="1"/>
      </tp>
    </main>
    <main first="rtdsrv.dff54f4b11dd4e0d9cb19000fb943d8c">
      <tp t="s">
        <v/>
        <stp/>
        <stp>Market</stp>
        <stp>INDEX</stp>
        <stp>PALLADIUM.FUT04.OS</stp>
        <stp>指標コード</stp>
        <tr r="A138" s="1"/>
      </tp>
      <tp t="s">
        <v/>
        <stp/>
        <stp>Market</stp>
        <stp>INDEX</stp>
        <stp>PALLADIUM.FUT05.OS</stp>
        <stp>指標コード</stp>
        <tr r="A139" s="1"/>
      </tp>
      <tp>
        <v>24019.992999999999</v>
        <stp/>
        <stp>Market</stp>
        <stp>INDEX</stp>
        <stp>NQ</stp>
        <stp>前年最高値</stp>
        <tr r="S21" s="1"/>
      </tp>
      <tp t="s">
        <v/>
        <stp/>
        <stp>Market</stp>
        <stp>INDEX</stp>
        <stp>PALLADIUM.FUT06.OS</stp>
        <stp>指標コード</stp>
        <tr r="A140" s="1"/>
      </tp>
      <tp t="s">
        <v/>
        <stp/>
        <stp>Market</stp>
        <stp>INDEX</stp>
        <stp>PALLADIUM.FUT01.OS</stp>
        <stp>指標コード</stp>
        <tr r="A135" s="1"/>
      </tp>
      <tp t="s">
        <v/>
        <stp/>
        <stp>Market</stp>
        <stp>INDEX</stp>
        <stp>PALLADIUM.FUT02.OS</stp>
        <stp>指標コード</stp>
        <tr r="A136" s="1"/>
      </tp>
      <tp t="s">
        <v/>
        <stp/>
        <stp>Market</stp>
        <stp>INDEX</stp>
        <stp>PALLADIUM.FUT03.OS</stp>
        <stp>指標コード</stp>
        <tr r="A137" s="1"/>
      </tp>
      <tp>
        <v>904.72</v>
        <stp/>
        <stp>Market</stp>
        <stp>INDEX</stp>
        <stp>TSGMC</stp>
        <stp>高値</stp>
        <tr r="L12" s="1"/>
      </tp>
      <tp>
        <v>4439.6499999999996</v>
        <stp/>
        <stp>Market</stp>
        <stp>INDEX</stp>
        <stp>HSCCI</stp>
        <stp>高値</stp>
        <tr r="L67" s="1"/>
      </tp>
      <tp>
        <v>8892.2999999999993</v>
        <stp/>
        <stp>Market</stp>
        <stp>INDEX</stp>
        <stp>HSCEI</stp>
        <stp>高値</stp>
        <tr r="L66" s="1"/>
      </tp>
      <tp>
        <v>1626.91</v>
        <stp/>
        <stp>Market</stp>
        <stp>INDEX</stp>
        <stp>TSM20</stp>
        <stp>高値</stp>
        <tr r="L11" s="1"/>
      </tp>
      <tp>
        <v>0</v>
        <stp/>
        <stp>Market</stp>
        <stp>INDEX</stp>
        <stp>TS1EX</stp>
        <stp>高値</stp>
        <tr r="L10" s="1"/>
      </tp>
      <tp t="s">
        <v>2026/02/26</v>
        <stp/>
        <stp>Market</stp>
        <stp>INDEX</stp>
        <stp>TOPX</stp>
        <stp>前日日付</stp>
        <tr r="J4" s="1"/>
      </tp>
      <tp t="s">
        <v>-</v>
        <stp/>
        <stp>Market</stp>
        <stp>INDEX</stp>
        <stp>VVIX</stp>
        <stp>出来高</stp>
        <tr r="Q26" s="1"/>
      </tp>
    </main>
    <main first="rtdsrv.dff54f4b11dd4e0d9cb19000fb943d8c">
      <tp t="s">
        <v/>
        <stp/>
        <stp>Market</stp>
        <stp>INDEX</stp>
        <stp>REDBEAN.FUT01.OS</stp>
        <stp>指標コード</stp>
        <tr r="A165" s="1"/>
      </tp>
      <tp t="s">
        <v/>
        <stp/>
        <stp>Market</stp>
        <stp>INDEX</stp>
        <stp>SOYBEAN.FUT01.OS</stp>
        <stp>指標コード</stp>
        <tr r="A171" s="1"/>
      </tp>
      <tp t="s">
        <v/>
        <stp/>
        <stp>Market</stp>
        <stp>INDEX</stp>
        <stp>SOYBEAN.FUT02.OS</stp>
        <stp>指標コード</stp>
        <tr r="A172" s="1"/>
      </tp>
      <tp t="s">
        <v/>
        <stp/>
        <stp>Market</stp>
        <stp>INDEX</stp>
        <stp>REDBEAN.FUT03.OS</stp>
        <stp>指標コード</stp>
        <tr r="A167" s="1"/>
      </tp>
      <tp t="s">
        <v/>
        <stp/>
        <stp>Market</stp>
        <stp>INDEX</stp>
        <stp>SOYBEAN.FUT03.OS</stp>
        <stp>指標コード</stp>
        <tr r="A173" s="1"/>
      </tp>
      <tp t="s">
        <v/>
        <stp/>
        <stp>Market</stp>
        <stp>INDEX</stp>
        <stp>REDBEAN.FUT02.OS</stp>
        <stp>指標コード</stp>
        <tr r="A166" s="1"/>
      </tp>
      <tp t="s">
        <v>2026/02/26</v>
        <stp/>
        <stp>Market</stp>
        <stp>INDEX</stp>
        <stp>TSPM</stp>
        <stp>前日日付</stp>
        <tr r="J6" s="1"/>
      </tp>
      <tp t="s">
        <v/>
        <stp/>
        <stp>Market</stp>
        <stp>INDEX</stp>
        <stp>SOYBEAN.FUT04.OS</stp>
        <stp>指標コード</stp>
        <tr r="A174" s="1"/>
      </tp>
      <tp t="s">
        <v/>
        <stp/>
        <stp>Market</stp>
        <stp>INDEX</stp>
        <stp>REDBEAN.FUT05.OS</stp>
        <stp>指標コード</stp>
        <tr r="A169" s="1"/>
      </tp>
      <tp t="s">
        <v/>
        <stp/>
        <stp>Market</stp>
        <stp>INDEX</stp>
        <stp>SOYBEAN.FUT05.OS</stp>
        <stp>指標コード</stp>
        <tr r="A175" s="1"/>
      </tp>
      <tp t="s">
        <v/>
        <stp/>
        <stp>Market</stp>
        <stp>INDEX</stp>
        <stp>REDBEAN.FUT04.OS</stp>
        <stp>指標コード</stp>
        <tr r="A168" s="1"/>
      </tp>
      <tp t="s">
        <v/>
        <stp/>
        <stp>Market</stp>
        <stp>INDEX</stp>
        <stp>SOYBEAN.FUT06.OS</stp>
        <stp>指標コード</stp>
        <tr r="A176" s="1"/>
      </tp>
      <tp t="s">
        <v/>
        <stp/>
        <stp>Market</stp>
        <stp>INDEX</stp>
        <stp>REDBEAN.FUT06.OS</stp>
        <stp>指標コード</stp>
        <tr r="A170" s="1"/>
      </tp>
      <tp>
        <v>0</v>
        <stp/>
        <stp>Market</stp>
        <stp>INDEX</stp>
        <stp>TSM20</stp>
        <stp>出来高</stp>
        <tr r="Q11" s="1"/>
      </tp>
    </main>
    <main first="rtdsrv.dff54f4b11dd4e0d9cb19000fb943d8c">
      <tp>
        <v>1239.4159999999999</v>
        <stp/>
        <stp>Market</stp>
        <stp>INDEX</stp>
        <stp>CPQ</stp>
        <stp>前日終値</stp>
        <tr r="I60" s="1"/>
      </tp>
    </main>
    <main first="rtdsrv.dff54f4b11dd4e0d9cb19000fb943d8c">
      <tp>
        <v>26500</v>
        <stp/>
        <stp>Market</stp>
        <stp>INDEX</stp>
        <stp>GOLDMINI.FUT04.OS</stp>
        <stp>前日終値</stp>
        <tr r="I112" s="1"/>
      </tp>
      <tp>
        <v>26795.5</v>
        <stp/>
        <stp>Market</stp>
        <stp>INDEX</stp>
        <stp>GOLDMINI.FUT05.OS</stp>
        <stp>前日終値</stp>
        <tr r="I113" s="1"/>
      </tp>
      <tp>
        <v>27100</v>
        <stp/>
        <stp>Market</stp>
        <stp>INDEX</stp>
        <stp>GOLDMINI.FUT06.OS</stp>
        <stp>前日終値</stp>
        <tr r="I114" s="1"/>
      </tp>
      <tp>
        <v>26250</v>
        <stp/>
        <stp>Market</stp>
        <stp>INDEX</stp>
        <stp>GOLDMINI.FUT01.OS</stp>
        <stp>前日終値</stp>
        <tr r="I109" s="1"/>
      </tp>
    </main>
    <main first="rtdsrv.dff54f4b11dd4e0d9cb19000fb943d8c">
      <tp>
        <v>25688</v>
        <stp/>
        <stp>Market</stp>
        <stp>INDEX</stp>
        <stp>GOLDMINI.FUT02.OS</stp>
        <stp>前日終値</stp>
        <tr r="I110" s="1"/>
      </tp>
    </main>
    <main first="rtdsrv.dff54f4b11dd4e0d9cb19000fb943d8c">
      <tp>
        <v>26236</v>
        <stp/>
        <stp>Market</stp>
        <stp>INDEX</stp>
        <stp>GOLDMINI.FUT03.OS</stp>
        <stp>前日終値</stp>
        <tr r="I111" s="1"/>
      </tp>
    </main>
    <main first="rtdsrv.dff54f4b11dd4e0d9cb19000fb943d8c">
      <tp t="s">
        <v/>
        <stp/>
        <stp>Market</stp>
        <stp>INDEX</stp>
        <stp>CNH/JPY</stp>
        <stp>更新時刻</stp>
        <tr r="D210" s="1"/>
      </tp>
    </main>
    <main first="rtdsrv.dff54f4b11dd4e0d9cb19000fb943d8c">
      <tp t="s">
        <v>-</v>
        <stp/>
        <stp>Market</stp>
        <stp>INDEX</stp>
        <stp>NQ</stp>
        <stp>出来高</stp>
        <tr r="Q21" s="1"/>
      </tp>
      <tp>
        <v>611.13</v>
        <stp/>
        <stp>Market</stp>
        <stp>INDEX</stp>
        <stp>SPESG</stp>
        <stp>高値</stp>
        <tr r="L38" s="1"/>
      </tp>
    </main>
    <main first="rtdsrv.dff54f4b11dd4e0d9cb19000fb943d8c">
      <tp>
        <v>6882.96</v>
        <stp/>
        <stp>Market</stp>
        <stp>INDEX</stp>
        <stp>SP500</stp>
        <stp>高値</stp>
        <tr r="L24" s="1"/>
      </tp>
      <tp>
        <v>3349.93</v>
        <stp/>
        <stp>Market</stp>
        <stp>INDEX</stp>
        <stp>SP100</stp>
        <stp>高値</stp>
        <tr r="L23" s="1"/>
      </tp>
      <tp t="s">
        <v>2026/02/26</v>
        <stp/>
        <stp>Market</stp>
        <stp>INDEX</stp>
        <stp>INSR</stp>
        <stp>前日日付</stp>
        <tr r="J41" s="1"/>
      </tp>
      <tp t="s">
        <v>2026/02/27</v>
        <stp/>
        <stp>Market</stp>
        <stp>INDEX</stp>
        <stp>GOLD.SPOT.OS</stp>
        <stp>前日日付</stp>
        <tr r="J115" s="1"/>
      </tp>
      <tp t="s">
        <v>2026/02/26</v>
        <stp/>
        <stp>Market</stp>
        <stp>INDEX</stp>
        <stp>TSSM</stp>
        <stp>前日日付</stp>
        <tr r="J7" s="1"/>
      </tp>
    </main>
    <main first="rtdsrv.dff54f4b11dd4e0d9cb19000fb943d8c">
      <tp>
        <v>0</v>
        <stp/>
        <stp>Market</stp>
        <stp>INDEX</stp>
        <stp>NVI</stp>
        <stp>前年最高値</stp>
        <tr r="S14" s="1"/>
      </tp>
      <tp>
        <v>5856.09</v>
        <stp/>
        <stp>Market</stp>
        <stp>INDEX</stp>
        <stp>NBI</stp>
        <stp>前年最高値</stp>
        <tr r="S47" s="1"/>
      </tp>
      <tp>
        <v>27381.84</v>
        <stp/>
        <stp>Market</stp>
        <stp>INDEX</stp>
        <stp>HSI</stp>
        <stp>前年最高値</stp>
        <tr r="S65" s="1"/>
      </tp>
    </main>
    <main first="rtdsrv.dff54f4b11dd4e0d9cb19000fb943d8c">
      <tp t="s">
        <v>15:30</v>
        <stp/>
        <stp>Market</stp>
        <stp>INDEX</stp>
        <stp>TSGMC</stp>
        <stp>更新時刻</stp>
        <tr r="D12" s="1"/>
      </tp>
    </main>
    <main first="rtdsrv.dff54f4b11dd4e0d9cb19000fb943d8c">
      <tp t="s">
        <v/>
        <stp/>
        <stp>Market</stp>
        <stp>INDEX</stp>
        <stp>NOK/JPY</stp>
        <stp>更新時刻</stp>
        <tr r="D208" s="1"/>
      </tp>
      <tp>
        <v>0.56000000000000005</v>
        <stp/>
        <stp>Market</stp>
        <stp>INDEX</stp>
        <stp>HGX</stp>
        <stp>前日比率</stp>
        <tr r="H52" s="1"/>
      </tp>
      <tp>
        <v>-1.1000000000000001</v>
        <stp/>
        <stp>Market</stp>
        <stp>INDEX</stp>
        <stp>NGX</stp>
        <stp>前日比率</stp>
        <tr r="H63" s="1"/>
      </tp>
    </main>
    <main first="rtdsrv.dff54f4b11dd4e0d9cb19000fb943d8c">
      <tp t="s">
        <v>2026/02/26</v>
        <stp/>
        <stp>Market</stp>
        <stp>INDEX</stp>
        <stp>VIX</stp>
        <stp>前日日付</stp>
        <tr r="J25" s="1"/>
      </tp>
      <tp t="s">
        <v>CPQ</v>
        <stp/>
        <stp>Market</stp>
        <stp>INDEX</stp>
        <stp>CPQ</stp>
        <stp>指標コード</stp>
        <tr r="A60" s="1"/>
      </tp>
    </main>
    <main first="rtdsrv.dff54f4b11dd4e0d9cb19000fb943d8c">
      <tp>
        <v>24987.957999999999</v>
        <stp/>
        <stp>Market</stp>
        <stp>INDEX</stp>
        <stp>NQ100</stp>
        <stp>高値</stp>
        <tr r="L22" s="1"/>
      </tp>
      <tp>
        <v>261870900</v>
        <stp/>
        <stp>Market</stp>
        <stp>INDEX</stp>
        <stp>MTHR</stp>
        <stp>出来高</stp>
        <tr r="Q13" s="1"/>
      </tp>
    </main>
    <main first="rtdsrv.dff54f4b11dd4e0d9cb19000fb943d8c">
      <tp>
        <v>11755</v>
        <stp/>
        <stp>Market</stp>
        <stp>INDEX</stp>
        <stp>PLATINUM.SPOT.OS</stp>
        <stp>現在値</stp>
        <tr r="E128" s="1"/>
      </tp>
      <tp>
        <v>0</v>
        <stp/>
        <stp>Market</stp>
        <stp>INDEX</stp>
        <stp>REDBEAN.FUT03.OS</stp>
        <stp>現在値</stp>
        <tr r="E167" s="1"/>
      </tp>
      <tp>
        <v>0</v>
        <stp/>
        <stp>Market</stp>
        <stp>INDEX</stp>
        <stp>REDBEAN.FUT02.OS</stp>
        <stp>現在値</stp>
        <tr r="E166" s="1"/>
      </tp>
      <tp>
        <v>0</v>
        <stp/>
        <stp>Market</stp>
        <stp>INDEX</stp>
        <stp>REDBEAN.FUT01.OS</stp>
        <stp>現在値</stp>
        <tr r="E165" s="1"/>
      </tp>
      <tp>
        <v>0</v>
        <stp/>
        <stp>Market</stp>
        <stp>INDEX</stp>
        <stp>REDBEAN.FUT06.OS</stp>
        <stp>現在値</stp>
        <tr r="E170" s="1"/>
      </tp>
      <tp>
        <v>0</v>
        <stp/>
        <stp>Market</stp>
        <stp>INDEX</stp>
        <stp>REDBEAN.FUT05.OS</stp>
        <stp>現在値</stp>
        <tr r="E169" s="1"/>
      </tp>
      <tp>
        <v>0</v>
        <stp/>
        <stp>Market</stp>
        <stp>INDEX</stp>
        <stp>REDBEAN.FUT04.OS</stp>
        <stp>現在値</stp>
        <tr r="E168" s="1"/>
      </tp>
      <tp t="s">
        <v>06:44</v>
        <stp/>
        <stp>Market</stp>
        <stp>INDEX</stp>
        <stp>SIXRE</stp>
        <stp>更新時刻</stp>
        <tr r="D30" s="1"/>
      </tp>
    </main>
    <main first="rtdsrv.dff54f4b11dd4e0d9cb19000fb943d8c">
      <tp t="s">
        <v/>
        <stp/>
        <stp>Market</stp>
        <stp>INDEX</stp>
        <stp>SILVER.FUT06.OS</stp>
        <stp>更新時刻</stp>
        <tr r="D134" s="1"/>
      </tp>
      <tp t="s">
        <v/>
        <stp/>
        <stp>Market</stp>
        <stp>INDEX</stp>
        <stp>SILVER.FUT05.OS</stp>
        <stp>更新時刻</stp>
        <tr r="D133" s="1"/>
      </tp>
      <tp t="s">
        <v/>
        <stp/>
        <stp>Market</stp>
        <stp>INDEX</stp>
        <stp>SILVER.FUT04.OS</stp>
        <stp>更新時刻</stp>
        <tr r="D132" s="1"/>
      </tp>
      <tp t="s">
        <v/>
        <stp/>
        <stp>Market</stp>
        <stp>INDEX</stp>
        <stp>SILVER.FUT03.OS</stp>
        <stp>更新時刻</stp>
        <tr r="D131" s="1"/>
      </tp>
      <tp t="s">
        <v/>
        <stp/>
        <stp>Market</stp>
        <stp>INDEX</stp>
        <stp>SILVER.FUT02.OS</stp>
        <stp>更新時刻</stp>
        <tr r="D130" s="1"/>
      </tp>
      <tp t="s">
        <v/>
        <stp/>
        <stp>Market</stp>
        <stp>INDEX</stp>
        <stp>SILVER.FUT01.OS</stp>
        <stp>更新時刻</stp>
        <tr r="D129" s="1"/>
      </tp>
      <tp t="s">
        <v/>
        <stp/>
        <stp>Market</stp>
        <stp>INDEX</stp>
        <stp>EUR/AUD</stp>
        <stp>更新時刻</stp>
        <tr r="D213" s="1"/>
      </tp>
    </main>
    <main first="rtdsrv.dff54f4b11dd4e0d9cb19000fb943d8c">
      <tp>
        <v>-1.81</v>
        <stp/>
        <stp>Market</stp>
        <stp>INDEX</stp>
        <stp>HXC</stp>
        <stp>前日比率</stp>
        <tr r="H55" s="1"/>
      </tp>
    </main>
    <main first="rtdsrv.dff54f4b11dd4e0d9cb19000fb943d8c">
      <tp>
        <v>-2.8</v>
        <stp/>
        <stp>Market</stp>
        <stp>INDEX</stp>
        <stp>IXF</stp>
        <stp>前日比率</stp>
        <tr r="H46" s="1"/>
      </tp>
    </main>
    <main first="rtdsrv.dff54f4b11dd4e0d9cb19000fb943d8c">
      <tp t="s">
        <v>2026/02/26</v>
        <stp/>
        <stp>Market</stp>
        <stp>INDEX</stp>
        <stp>NVI</stp>
        <stp>前日日付</stp>
        <tr r="J14" s="1"/>
      </tp>
    </main>
    <main first="rtdsrv.dff54f4b11dd4e0d9cb19000fb943d8c">
      <tp>
        <v>35639.33</v>
        <stp/>
        <stp>Market</stp>
        <stp>INDEX</stp>
        <stp>JN400</stp>
        <stp>高値</stp>
        <tr r="L5" s="1"/>
      </tp>
    </main>
    <main first="rtdsrv.dff54f4b11dd4e0d9cb19000fb943d8c">
      <tp>
        <v>-1.84</v>
        <stp/>
        <stp>Market</stp>
        <stp>INDEX</stp>
        <stp>IXCO</stp>
        <stp>前日比率</stp>
        <tr r="H45" s="1"/>
      </tp>
    </main>
    <main first="rtdsrv.dff54f4b11dd4e0d9cb19000fb943d8c">
      <tp>
        <v>3464.27</v>
        <stp/>
        <stp>Market</stp>
        <stp>INDEX</stp>
        <stp>NQUSST</stp>
        <stp>高値</stp>
        <tr r="L58" s="1"/>
      </tp>
      <tp>
        <v>5261.96</v>
        <stp/>
        <stp>Market</stp>
        <stp>INDEX</stp>
        <stp>NQUSLT</stp>
        <stp>高値</stp>
        <tr r="L56" s="1"/>
      </tp>
      <tp>
        <v>3679.93</v>
        <stp/>
        <stp>Market</stp>
        <stp>INDEX</stp>
        <stp>NQUSMT</stp>
        <stp>高値</stp>
        <tr r="L57" s="1"/>
      </tp>
    </main>
    <main first="rtdsrv.dff54f4b11dd4e0d9cb19000fb943d8c">
      <tp t="s">
        <v/>
        <stp/>
        <stp>Market</stp>
        <stp>INDEX</stp>
        <stp>AUD/CHF</stp>
        <stp>現在値</stp>
        <tr r="E205" s="1"/>
      </tp>
      <tp t="s">
        <v/>
        <stp/>
        <stp>Market</stp>
        <stp>INDEX</stp>
        <stp>HKD/JPY</stp>
        <stp>現在値</stp>
        <tr r="E195" s="1"/>
      </tp>
      <tp t="s">
        <v/>
        <stp/>
        <stp>Market</stp>
        <stp>INDEX</stp>
        <stp>EUR/GBP</stp>
        <stp>現在値</stp>
        <tr r="E203" s="1"/>
      </tp>
      <tp t="s">
        <v/>
        <stp/>
        <stp>Market</stp>
        <stp>INDEX</stp>
        <stp>TCWSI</stp>
        <stp>更新時刻</stp>
        <tr r="D101" s="1"/>
      </tp>
      <tp t="s">
        <v>17:29</v>
        <stp/>
        <stp>Market</stp>
        <stp>INDEX</stp>
        <stp>SHKSC</stp>
        <stp>更新時刻</stp>
        <tr r="D70" s="1"/>
      </tp>
      <tp t="s">
        <v>06:44</v>
        <stp/>
        <stp>Market</stp>
        <stp>INDEX</stp>
        <stp>SPESG</stp>
        <stp>更新時刻</stp>
        <tr r="D38" s="1"/>
      </tp>
    </main>
    <main first="rtdsrv.dff54f4b11dd4e0d9cb19000fb943d8c">
      <tp>
        <v>8197.26</v>
        <stp/>
        <stp>Market</stp>
        <stp>INDEX</stp>
        <stp>SOX</stp>
        <stp>前日終値</stp>
        <tr r="I51" s="1"/>
      </tp>
    </main>
    <main first="rtdsrv.dff54f4b11dd4e0d9cb19000fb943d8c">
      <tp>
        <v>548.28</v>
        <stp/>
        <stp>Market</stp>
        <stp>INDEX</stp>
        <stp>IXTC</stp>
        <stp>前日終値</stp>
        <tr r="I44" s="1"/>
      </tp>
    </main>
    <main first="rtdsrv.dff54f4b11dd4e0d9cb19000fb943d8c">
      <tp t="s">
        <v/>
        <stp/>
        <stp>Market</stp>
        <stp>INDEX</stp>
        <stp>PLATINUM.FUT01.OS</stp>
        <stp>年初来高値</stp>
        <tr r="V116" s="1"/>
      </tp>
      <tp t="s">
        <v/>
        <stp/>
        <stp>Market</stp>
        <stp>INDEX</stp>
        <stp>PLATINUM.FUT03.OS</stp>
        <stp>年初来高値</stp>
        <tr r="V118" s="1"/>
      </tp>
      <tp t="s">
        <v/>
        <stp/>
        <stp>Market</stp>
        <stp>INDEX</stp>
        <stp>PLATINUM.FUT02.OS</stp>
        <stp>年初来高値</stp>
        <tr r="V117" s="1"/>
      </tp>
      <tp t="s">
        <v/>
        <stp/>
        <stp>Market</stp>
        <stp>INDEX</stp>
        <stp>PLATINUM.FUT05.OS</stp>
        <stp>年初来高値</stp>
        <tr r="V120" s="1"/>
      </tp>
      <tp t="s">
        <v/>
        <stp/>
        <stp>Market</stp>
        <stp>INDEX</stp>
        <stp>PLATINUM.FUT04.OS</stp>
        <stp>年初来高値</stp>
        <tr r="V119" s="1"/>
      </tp>
      <tp t="s">
        <v/>
        <stp/>
        <stp>Market</stp>
        <stp>INDEX</stp>
        <stp>PLATINUM.FUT06.OS</stp>
        <stp>年初来高値</stp>
        <tr r="V121" s="1"/>
      </tp>
      <tp t="s">
        <v>-</v>
        <stp/>
        <stp>Market</stp>
        <stp>INDEX</stp>
        <stp>DJIA</stp>
        <stp>出来高</stp>
        <tr r="Q20" s="1"/>
      </tp>
    </main>
    <main first="rtdsrv.dff54f4b11dd4e0d9cb19000fb943d8c">
      <tp t="s">
        <v/>
        <stp/>
        <stp>Market</stp>
        <stp>INDEX</stp>
        <stp>VOLQ</stp>
        <stp>前日日付</stp>
        <tr r="J64" s="1"/>
      </tp>
      <tp t="s">
        <v/>
        <stp/>
        <stp>Market</stp>
        <stp>INDEX</stp>
        <stp>PLATINUM.FUT01.OS</stp>
        <stp>上場来高値</stp>
        <tr r="X116" s="1"/>
      </tp>
      <tp t="s">
        <v/>
        <stp/>
        <stp>Market</stp>
        <stp>INDEX</stp>
        <stp>PLATINUM.FUT03.OS</stp>
        <stp>上場来高値</stp>
        <tr r="X118" s="1"/>
      </tp>
      <tp t="s">
        <v/>
        <stp/>
        <stp>Market</stp>
        <stp>INDEX</stp>
        <stp>PLATINUM.FUT02.OS</stp>
        <stp>上場来高値</stp>
        <tr r="X117" s="1"/>
      </tp>
      <tp t="s">
        <v/>
        <stp/>
        <stp>Market</stp>
        <stp>INDEX</stp>
        <stp>PLATINUM.FUT05.OS</stp>
        <stp>上場来高値</stp>
        <tr r="X120" s="1"/>
      </tp>
      <tp t="s">
        <v/>
        <stp/>
        <stp>Market</stp>
        <stp>INDEX</stp>
        <stp>PLATINUM.FUT04.OS</stp>
        <stp>上場来高値</stp>
        <tr r="X119" s="1"/>
      </tp>
      <tp t="s">
        <v/>
        <stp/>
        <stp>Market</stp>
        <stp>INDEX</stp>
        <stp>PLATINUM.FUT06.OS</stp>
        <stp>上場来高値</stp>
        <tr r="X121" s="1"/>
      </tp>
    </main>
    <main first="rtdsrv.dff54f4b11dd4e0d9cb19000fb943d8c">
      <tp t="s">
        <v/>
        <stp/>
        <stp>Market</stp>
        <stp>INDEX</stp>
        <stp>TRY/JPY</stp>
        <stp>更新時刻</stp>
        <tr r="D209" s="1"/>
      </tp>
    </main>
    <main first="rtdsrv.dff54f4b11dd4e0d9cb19000fb943d8c">
      <tp t="s">
        <v>2026/02/26</v>
        <stp/>
        <stp>Market</stp>
        <stp>INDEX</stp>
        <stp>UTY</stp>
        <stp>前日日付</stp>
        <tr r="J54" s="1"/>
      </tp>
    </main>
    <main first="rtdsrv.dff54f4b11dd4e0d9cb19000fb943d8c">
      <tp t="s">
        <v>-</v>
        <stp/>
        <stp>Market</stp>
        <stp>INDEX</stp>
        <stp>SIXM</stp>
        <stp>出来高</stp>
        <tr r="Q29" s="1"/>
      </tp>
      <tp t="s">
        <v>-</v>
        <stp/>
        <stp>Market</stp>
        <stp>INDEX</stp>
        <stp>SIXI</stp>
        <stp>出来高</stp>
        <tr r="Q34" s="1"/>
      </tp>
      <tp t="s">
        <v>-</v>
        <stp/>
        <stp>Market</stp>
        <stp>INDEX</stp>
        <stp>SIXE</stp>
        <stp>出来高</stp>
        <tr r="Q28" s="1"/>
      </tp>
      <tp t="s">
        <v>-</v>
        <stp/>
        <stp>Market</stp>
        <stp>INDEX</stp>
        <stp>SIXC</stp>
        <stp>出来高</stp>
        <tr r="Q33" s="1"/>
      </tp>
      <tp t="s">
        <v>-</v>
        <stp/>
        <stp>Market</stp>
        <stp>INDEX</stp>
        <stp>SIXB</stp>
        <stp>出来高</stp>
        <tr r="Q27" s="1"/>
      </tp>
      <tp t="s">
        <v>-</v>
        <stp/>
        <stp>Market</stp>
        <stp>INDEX</stp>
        <stp>SIXY</stp>
        <stp>出来高</stp>
        <tr r="Q32" s="1"/>
      </tp>
      <tp t="s">
        <v>-</v>
        <stp/>
        <stp>Market</stp>
        <stp>INDEX</stp>
        <stp>SIXU</stp>
        <stp>出来高</stp>
        <tr r="Q31" s="1"/>
      </tp>
      <tp t="s">
        <v>-</v>
        <stp/>
        <stp>Market</stp>
        <stp>INDEX</stp>
        <stp>SIXT</stp>
        <stp>出来高</stp>
        <tr r="Q36" s="1"/>
      </tp>
      <tp t="s">
        <v>-</v>
        <stp/>
        <stp>Market</stp>
        <stp>INDEX</stp>
        <stp>SIXV</stp>
        <stp>出来高</stp>
        <tr r="Q37" s="1"/>
      </tp>
      <tp t="s">
        <v>-</v>
        <stp/>
        <stp>Market</stp>
        <stp>INDEX</stp>
        <stp>SIXR</stp>
        <stp>出来高</stp>
        <tr r="Q35" s="1"/>
      </tp>
      <tp t="s">
        <v>2026/02/26</v>
        <stp/>
        <stp>Market</stp>
        <stp>INDEX</stp>
        <stp>MOT.FUT05.OS</stp>
        <stp>前日日付</stp>
        <tr r="J95" s="1"/>
      </tp>
      <tp t="s">
        <v>2026/02/27</v>
        <stp/>
        <stp>Market</stp>
        <stp>INDEX</stp>
        <stp>MOT.FUT04.OS</stp>
        <stp>前日日付</stp>
        <tr r="J94" s="1"/>
      </tp>
      <tp t="s">
        <v>2026/02/26</v>
        <stp/>
        <stp>Market</stp>
        <stp>INDEX</stp>
        <stp>MOT.FUT03.OS</stp>
        <stp>前日日付</stp>
        <tr r="J93" s="1"/>
      </tp>
      <tp t="s">
        <v>2026/02/27</v>
        <stp/>
        <stp>Market</stp>
        <stp>INDEX</stp>
        <stp>MOT.FUT02.OS</stp>
        <stp>前日日付</stp>
        <tr r="J92" s="1"/>
      </tp>
      <tp t="s">
        <v>2026/02/27</v>
        <stp/>
        <stp>Market</stp>
        <stp>INDEX</stp>
        <stp>MOT.FUT01.OS</stp>
        <stp>前日日付</stp>
        <tr r="J91" s="1"/>
      </tp>
      <tp>
        <v>-0.62</v>
        <stp/>
        <stp>Market</stp>
        <stp>INDEX</stp>
        <stp>TRAN</stp>
        <stp>前日比率</stp>
        <tr r="H43" s="1"/>
      </tp>
    </main>
    <main first="rtdsrv.dff54f4b11dd4e0d9cb19000fb943d8c">
      <tp>
        <v>364.6</v>
        <stp/>
        <stp>Market</stp>
        <stp>INDEX</stp>
        <stp>XAU</stp>
        <stp>前年最高値</stp>
        <tr r="S50" s="1"/>
      </tp>
    </main>
    <main first="rtdsrv.dff54f4b11dd4e0d9cb19000fb943d8c">
      <tp t="s">
        <v>16:30</v>
        <stp/>
        <stp>Market</stp>
        <stp>INDEX</stp>
        <stp>JGB:FDI</stp>
        <stp>更新時刻</stp>
        <tr r="D19" s="1"/>
      </tp>
      <tp t="s">
        <v/>
        <stp/>
        <stp>Market</stp>
        <stp>INDEX</stp>
        <stp>TSR20.FUT01.OS</stp>
        <stp>更新時刻</stp>
        <tr r="D153" s="1"/>
      </tp>
      <tp t="s">
        <v/>
        <stp/>
        <stp>Market</stp>
        <stp>INDEX</stp>
        <stp>TSR20.FUT02.OS</stp>
        <stp>更新時刻</stp>
        <tr r="D154" s="1"/>
      </tp>
      <tp t="s">
        <v/>
        <stp/>
        <stp>Market</stp>
        <stp>INDEX</stp>
        <stp>TSR20.FUT03.OS</stp>
        <stp>更新時刻</stp>
        <tr r="D155" s="1"/>
      </tp>
      <tp t="s">
        <v/>
        <stp/>
        <stp>Market</stp>
        <stp>INDEX</stp>
        <stp>TSR20.FUT04.OS</stp>
        <stp>更新時刻</stp>
        <tr r="D156" s="1"/>
      </tp>
      <tp t="s">
        <v/>
        <stp/>
        <stp>Market</stp>
        <stp>INDEX</stp>
        <stp>TSR20.FUT05.OS</stp>
        <stp>更新時刻</stp>
        <tr r="D157" s="1"/>
      </tp>
      <tp t="s">
        <v/>
        <stp/>
        <stp>Market</stp>
        <stp>INDEX</stp>
        <stp>TSR20.FUT06.OS</stp>
        <stp>更新時刻</stp>
        <tr r="D158" s="1"/>
      </tp>
      <tp t="s">
        <v/>
        <stp/>
        <stp>Market</stp>
        <stp>INDEX</stp>
        <stp>TSR20.FUT07.OS</stp>
        <stp>更新時刻</stp>
        <tr r="D159" s="1"/>
      </tp>
      <tp t="s">
        <v/>
        <stp/>
        <stp>Market</stp>
        <stp>INDEX</stp>
        <stp>TSR20.FUT08.OS</stp>
        <stp>更新時刻</stp>
        <tr r="D160" s="1"/>
      </tp>
      <tp t="s">
        <v/>
        <stp/>
        <stp>Market</stp>
        <stp>INDEX</stp>
        <stp>TSR20.FUT09.OS</stp>
        <stp>更新時刻</stp>
        <tr r="D161" s="1"/>
      </tp>
      <tp t="s">
        <v/>
        <stp/>
        <stp>Market</stp>
        <stp>INDEX</stp>
        <stp>TSR20.FUT10.OS</stp>
        <stp>更新時刻</stp>
        <tr r="D162" s="1"/>
      </tp>
      <tp t="s">
        <v/>
        <stp/>
        <stp>Market</stp>
        <stp>INDEX</stp>
        <stp>TSR20.FUT11.OS</stp>
        <stp>更新時刻</stp>
        <tr r="D163" s="1"/>
      </tp>
      <tp t="s">
        <v/>
        <stp/>
        <stp>Market</stp>
        <stp>INDEX</stp>
        <stp>TSR20.FUT12.OS</stp>
        <stp>更新時刻</stp>
        <tr r="D164" s="1"/>
      </tp>
      <tp t="s">
        <v/>
        <stp/>
        <stp>Market</stp>
        <stp>INDEX</stp>
        <stp>USD/JPY</stp>
        <stp>更新時刻</stp>
        <tr r="D187" s="1"/>
      </tp>
    </main>
    <main first="rtdsrv.dff54f4b11dd4e0d9cb19000fb943d8c">
      <tp t="s">
        <v/>
        <stp/>
        <stp>Market</stp>
        <stp>INDEX</stp>
        <stp>FTSECA50</stp>
        <stp>年初来高値</stp>
        <tr r="V102" s="1"/>
      </tp>
      <tp t="s">
        <v>2026/02/26</v>
        <stp/>
        <stp>Market</stp>
        <stp>INDEX</stp>
        <stp>BANK</stp>
        <stp>前日日付</stp>
        <tr r="J40" s="1"/>
      </tp>
      <tp t="s">
        <v/>
        <stp/>
        <stp>Market</stp>
        <stp>INDEX</stp>
        <stp>FTSECA50</stp>
        <stp>上場来高値</stp>
        <tr r="X102" s="1"/>
      </tp>
    </main>
    <main first="rtdsrv.dff54f4b11dd4e0d9cb19000fb943d8c">
      <tp t="s">
        <v/>
        <stp/>
        <stp>Market</stp>
        <stp>INDEX</stp>
        <stp>MXN/JPY</stp>
        <stp>現在値</stp>
        <tr r="E211" s="1"/>
      </tp>
    </main>
    <main first="rtdsrv.dff54f4b11dd4e0d9cb19000fb943d8c">
      <tp>
        <v>0</v>
        <stp/>
        <stp>Market</stp>
        <stp>INDEX</stp>
        <stp>N300</stp>
        <stp>売買代金</stp>
        <tr r="R3" s="1"/>
      </tp>
      <tp>
        <v>0</v>
        <stp/>
        <stp>Market</stp>
        <stp>INDEX</stp>
        <stp>N500</stp>
        <stp>売買代金</stp>
        <tr r="R9" s="1"/>
      </tp>
    </main>
    <main first="rtdsrv.dff54f4b11dd4e0d9cb19000fb943d8c">
      <tp t="s">
        <v/>
        <stp/>
        <stp>Market</stp>
        <stp>INDEX</stp>
        <stp>SOYBEAN.FUT05.OS</stp>
        <stp>前年最高値</stp>
        <tr r="S175" s="1"/>
      </tp>
      <tp t="s">
        <v/>
        <stp/>
        <stp>Market</stp>
        <stp>INDEX</stp>
        <stp>REDBEAN.FUT04.OS</stp>
        <stp>前年最高値</stp>
        <tr r="S168" s="1"/>
      </tp>
      <tp t="s">
        <v/>
        <stp/>
        <stp>Market</stp>
        <stp>INDEX</stp>
        <stp>SOYBEAN.FUT04.OS</stp>
        <stp>前年最高値</stp>
        <tr r="S174" s="1"/>
      </tp>
      <tp t="s">
        <v/>
        <stp/>
        <stp>Market</stp>
        <stp>INDEX</stp>
        <stp>REDBEAN.FUT05.OS</stp>
        <stp>前年最高値</stp>
        <tr r="S169" s="1"/>
      </tp>
      <tp t="s">
        <v/>
        <stp/>
        <stp>Market</stp>
        <stp>INDEX</stp>
        <stp>REDBEAN.FUT06.OS</stp>
        <stp>前年最高値</stp>
        <tr r="S170" s="1"/>
      </tp>
      <tp t="s">
        <v/>
        <stp/>
        <stp>Market</stp>
        <stp>INDEX</stp>
        <stp>SOYBEAN.FUT06.OS</stp>
        <stp>前年最高値</stp>
        <tr r="S176" s="1"/>
      </tp>
      <tp t="s">
        <v/>
        <stp/>
        <stp>Market</stp>
        <stp>INDEX</stp>
        <stp>SOYBEAN.FUT01.OS</stp>
        <stp>前年最高値</stp>
        <tr r="S171" s="1"/>
      </tp>
      <tp t="s">
        <v>2026/02/27</v>
        <stp/>
        <stp>Market</stp>
        <stp>INDEX</stp>
        <stp>N225.FUT02.S</stp>
        <stp>前日日付</stp>
        <tr r="J186" s="1"/>
      </tp>
      <tp t="s">
        <v>2026/02/27</v>
        <stp/>
        <stp>Market</stp>
        <stp>INDEX</stp>
        <stp>N225.FUT01.S</stp>
        <stp>前日日付</stp>
        <tr r="J185" s="1"/>
      </tp>
      <tp t="s">
        <v/>
        <stp/>
        <stp>Market</stp>
        <stp>INDEX</stp>
        <stp>REDBEAN.FUT01.OS</stp>
        <stp>前年最高値</stp>
        <tr r="S165" s="1"/>
      </tp>
      <tp t="s">
        <v/>
        <stp/>
        <stp>Market</stp>
        <stp>INDEX</stp>
        <stp>SOYBEAN.FUT03.OS</stp>
        <stp>前年最高値</stp>
        <tr r="S173" s="1"/>
      </tp>
      <tp t="s">
        <v/>
        <stp/>
        <stp>Market</stp>
        <stp>INDEX</stp>
        <stp>REDBEAN.FUT02.OS</stp>
        <stp>前年最高値</stp>
        <tr r="S166" s="1"/>
      </tp>
      <tp t="s">
        <v/>
        <stp/>
        <stp>Market</stp>
        <stp>INDEX</stp>
        <stp>SOYBEAN.FUT02.OS</stp>
        <stp>前年最高値</stp>
        <tr r="S172" s="1"/>
      </tp>
      <tp t="s">
        <v/>
        <stp/>
        <stp>Market</stp>
        <stp>INDEX</stp>
        <stp>REDBEAN.FUT03.OS</stp>
        <stp>前年最高値</stp>
        <tr r="S167" s="1"/>
      </tp>
      <tp t="s">
        <v>2026/02/26</v>
        <stp/>
        <stp>Market</stp>
        <stp>INDEX</stp>
        <stp>N225.FUT02.C</stp>
        <stp>前日日付</stp>
        <tr r="J184" s="1"/>
      </tp>
      <tp t="s">
        <v>2026/02/26</v>
        <stp/>
        <stp>Market</stp>
        <stp>INDEX</stp>
        <stp>N225.FUT01.C</stp>
        <stp>前日日付</stp>
        <tr r="J183" s="1"/>
      </tp>
    </main>
    <main first="rtdsrv.dff54f4b11dd4e0d9cb19000fb943d8c">
      <tp t="s">
        <v>2026/02/26</v>
        <stp/>
        <stp>Market</stp>
        <stp>INDEX</stp>
        <stp>VVIX</stp>
        <stp>前日日付</stp>
        <tr r="J26" s="1"/>
      </tp>
      <tp t="s">
        <v>-</v>
        <stp/>
        <stp>Market</stp>
        <stp>INDEX</stp>
        <stp>VOLQ</stp>
        <stp>出来高</stp>
        <tr r="Q64" s="1"/>
      </tp>
      <tp t="s">
        <v/>
        <stp/>
        <stp>Market</stp>
        <stp>INDEX</stp>
        <stp>PALLADIUM.FUT01.OS</stp>
        <stp>前年最高値</stp>
        <tr r="S135" s="1"/>
      </tp>
      <tp t="s">
        <v>2026/02/26</v>
        <stp/>
        <stp>Market</stp>
        <stp>INDEX</stp>
        <stp>OFIN</stp>
        <stp>前日日付</stp>
        <tr r="J42" s="1"/>
      </tp>
      <tp t="s">
        <v/>
        <stp/>
        <stp>Market</stp>
        <stp>INDEX</stp>
        <stp>PALLADIUM.FUT03.OS</stp>
        <stp>前年最高値</stp>
        <tr r="S137" s="1"/>
      </tp>
      <tp>
        <v>331733</v>
        <stp/>
        <stp>Market</stp>
        <stp>INDEX</stp>
        <stp>TOPX</stp>
        <stp>出来高</stp>
        <tr r="Q4" s="1"/>
      </tp>
    </main>
    <main first="rtdsrv.dff54f4b11dd4e0d9cb19000fb943d8c">
      <tp t="s">
        <v/>
        <stp/>
        <stp>Market</stp>
        <stp>INDEX</stp>
        <stp>PALLADIUM.FUT02.OS</stp>
        <stp>前年最高値</stp>
        <tr r="S136" s="1"/>
      </tp>
      <tp t="s">
        <v/>
        <stp/>
        <stp>Market</stp>
        <stp>INDEX</stp>
        <stp>PALLADIUM.FUT05.OS</stp>
        <stp>前年最高値</stp>
        <tr r="S139" s="1"/>
      </tp>
      <tp t="s">
        <v/>
        <stp/>
        <stp>Market</stp>
        <stp>INDEX</stp>
        <stp>PALLADIUM.FUT04.OS</stp>
        <stp>前年最高値</stp>
        <tr r="S138" s="1"/>
      </tp>
      <tp t="s">
        <v/>
        <stp/>
        <stp>Market</stp>
        <stp>INDEX</stp>
        <stp>PALLADIUM.FUT06.OS</stp>
        <stp>前年最高値</stp>
        <tr r="S140" s="1"/>
      </tp>
      <tp t="s">
        <v>NQ</v>
        <stp/>
        <stp>Market</stp>
        <stp>INDEX</stp>
        <stp>NQ</stp>
        <stp>指標コード</stp>
        <tr r="A21" s="1"/>
      </tp>
      <tp>
        <v>3.48</v>
        <stp/>
        <stp>Market</stp>
        <stp>INDEX</stp>
        <stp>TSGM</stp>
        <stp>前日比率</stp>
        <tr r="H8" s="1"/>
      </tp>
      <tp t="s">
        <v>2026/02/26</v>
        <stp/>
        <stp>Market</stp>
        <stp>INDEX</stp>
        <stp>DJIA</stp>
        <stp>前日日付</stp>
        <tr r="J20" s="1"/>
      </tp>
    </main>
    <main first="rtdsrv.dff54f4b11dd4e0d9cb19000fb943d8c">
      <tp t="s">
        <v/>
        <stp/>
        <stp>Market</stp>
        <stp>INDEX</stp>
        <stp>GOLD.FUT06.OS</stp>
        <stp>更新時刻</stp>
        <tr r="D108" s="1"/>
      </tp>
      <tp t="s">
        <v/>
        <stp/>
        <stp>Market</stp>
        <stp>INDEX</stp>
        <stp>GOLD.FUT04.OS</stp>
        <stp>更新時刻</stp>
        <tr r="D106" s="1"/>
      </tp>
      <tp t="s">
        <v/>
        <stp/>
        <stp>Market</stp>
        <stp>INDEX</stp>
        <stp>GOLD.FUT05.OS</stp>
        <stp>更新時刻</stp>
        <tr r="D107" s="1"/>
      </tp>
      <tp t="s">
        <v/>
        <stp/>
        <stp>Market</stp>
        <stp>INDEX</stp>
        <stp>GOLD.FUT02.OS</stp>
        <stp>更新時刻</stp>
        <tr r="D104" s="1"/>
      </tp>
      <tp t="s">
        <v/>
        <stp/>
        <stp>Market</stp>
        <stp>INDEX</stp>
        <stp>GOLD.FUT03.OS</stp>
        <stp>更新時刻</stp>
        <tr r="D105" s="1"/>
      </tp>
      <tp t="s">
        <v/>
        <stp/>
        <stp>Market</stp>
        <stp>INDEX</stp>
        <stp>GOLD.FUT01.OS</stp>
        <stp>更新時刻</stp>
        <tr r="D103" s="1"/>
      </tp>
      <tp t="s">
        <v/>
        <stp/>
        <stp>Market</stp>
        <stp>INDEX</stp>
        <stp>EUR/CHF</stp>
        <stp>現在値</stp>
        <tr r="E204" s="1"/>
      </tp>
      <tp t="s">
        <v/>
        <stp/>
        <stp>Market</stp>
        <stp>INDEX</stp>
        <stp>GBP/AUD</stp>
        <stp>現在値</stp>
        <tr r="E214" s="1"/>
      </tp>
    </main>
    <main first="rtdsrv.dff54f4b11dd4e0d9cb19000fb943d8c">
      <tp t="s">
        <v/>
        <stp/>
        <stp>Market</stp>
        <stp>INDEX</stp>
        <stp>EUR/JPY</stp>
        <stp>更新時刻</stp>
        <tr r="D188" s="1"/>
      </tp>
      <tp>
        <v>1999.76</v>
        <stp/>
        <stp>Market</stp>
        <stp>INDEX</stp>
        <stp>TSPM</stp>
        <stp>前日終値</stp>
        <tr r="I6" s="1"/>
      </tp>
      <tp t="s">
        <v/>
        <stp/>
        <stp>Market</stp>
        <stp>INDEX</stp>
        <stp>AUD/JPY</stp>
        <stp>更新時刻</stp>
        <tr r="D190" s="1"/>
      </tp>
      <tp>
        <v>3880.34</v>
        <stp/>
        <stp>Market</stp>
        <stp>INDEX</stp>
        <stp>TOPX</stp>
        <stp>前日終値</stp>
        <tr r="I4" s="1"/>
      </tp>
      <tp t="s">
        <v>2026/02/26</v>
        <stp/>
        <stp>Market</stp>
        <stp>INDEX</stp>
        <stp>OSX</stp>
        <stp>前日日付</stp>
        <tr r="J53" s="1"/>
      </tp>
      <tp t="s">
        <v>2026/02/26</v>
        <stp/>
        <stp>Market</stp>
        <stp>INDEX</stp>
        <stp>HSI</stp>
        <stp>前日日付</stp>
        <tr r="J65" s="1"/>
      </tp>
    </main>
    <main first="rtdsrv.dff54f4b11dd4e0d9cb19000fb943d8c">
      <tp t="s">
        <v>-</v>
        <stp/>
        <stp>Market</stp>
        <stp>INDEX</stp>
        <stp>INDS</stp>
        <stp>出来高</stp>
        <tr r="Q39" s="1"/>
      </tp>
      <tp t="s">
        <v>2026/02/26</v>
        <stp/>
        <stp>Market</stp>
        <stp>INDEX</stp>
        <stp>MTHR</stp>
        <stp>前日日付</stp>
        <tr r="J13" s="1"/>
      </tp>
    </main>
    <main first="rtdsrv.dff54f4b11dd4e0d9cb19000fb943d8c">
      <tp t="s">
        <v>-</v>
        <stp/>
        <stp>Market</stp>
        <stp>INDEX</stp>
        <stp>INSR</stp>
        <stp>出来高</stp>
        <tr r="Q41" s="1"/>
      </tp>
    </main>
    <main first="rtdsrv.dff54f4b11dd4e0d9cb19000fb943d8c">
      <tp t="s">
        <v>2026/02/26</v>
        <stp/>
        <stp>Market</stp>
        <stp>INDEX</stp>
        <stp>IXHC</stp>
        <stp>前日日付</stp>
        <tr r="J48" s="1"/>
      </tp>
    </main>
    <main first="rtdsrv.dff54f4b11dd4e0d9cb19000fb943d8c">
      <tp>
        <v>1741.96</v>
        <stp/>
        <stp>Market</stp>
        <stp>INDEX</stp>
        <stp>TSSM</stp>
        <stp>前日終値</stp>
        <tr r="I7" s="1"/>
      </tp>
      <tp t="s">
        <v/>
        <stp/>
        <stp>Market</stp>
        <stp>INDEX</stp>
        <stp>AUD/USD</stp>
        <stp>更新時刻</stp>
        <tr r="D199" s="1"/>
      </tp>
      <tp>
        <v>0</v>
        <stp/>
        <stp>Market</stp>
        <stp>INDEX</stp>
        <stp>N225</stp>
        <stp>売買代金</stp>
        <tr r="R2" s="1"/>
      </tp>
      <tp>
        <v>15105.52</v>
        <stp/>
        <stp>Market</stp>
        <stp>INDEX</stp>
        <stp>INSR</stp>
        <stp>前日終値</stp>
        <tr r="I41" s="1"/>
      </tp>
      <tp>
        <v>26972</v>
        <stp/>
        <stp>Market</stp>
        <stp>INDEX</stp>
        <stp>GOLD.SPOT.OS</stp>
        <stp>前日終値</stp>
        <tr r="I115" s="1"/>
      </tp>
      <tp t="s">
        <v/>
        <stp/>
        <stp>Market</stp>
        <stp>INDEX</stp>
        <stp>EUR/USD</stp>
        <stp>更新時刻</stp>
        <tr r="D197" s="1"/>
      </tp>
    </main>
    <main first="rtdsrv.dff54f4b11dd4e0d9cb19000fb943d8c">
      <tp t="s">
        <v>2026/02/26</v>
        <stp/>
        <stp>Market</stp>
        <stp>INDEX</stp>
        <stp>CPQ</stp>
        <stp>前日日付</stp>
        <tr r="J60" s="1"/>
      </tp>
    </main>
    <main first="rtdsrv.dff54f4b11dd4e0d9cb19000fb943d8c">
      <tp>
        <v>3936.4173000000001</v>
        <stp/>
        <stp>Market</stp>
        <stp>INDEX</stp>
        <stp>SHKSC</stp>
        <stp>高値</stp>
        <tr r="L70" s="1"/>
      </tp>
    </main>
    <main first="rtdsrv.dff54f4b11dd4e0d9cb19000fb943d8c">
      <tp>
        <v>0.39189400000000002</v>
        <stp/>
        <stp>Market</stp>
        <stp>INDEX</stp>
        <stp>SSEC</stp>
        <stp>前日比率</stp>
        <tr r="H68" s="1"/>
      </tp>
      <tp>
        <v>0.39</v>
        <stp/>
        <stp>Market</stp>
        <stp>INDEX</stp>
        <stp>SSEA</stp>
        <stp>前日比率</stp>
        <tr r="H69" s="1"/>
      </tp>
    </main>
    <main first="rtdsrv.dff54f4b11dd4e0d9cb19000fb943d8c">
      <tp>
        <v>1598.0268000000001</v>
        <stp/>
        <stp>Market</stp>
        <stp>INDEX</stp>
        <stp>CPQ</stp>
        <stp>前年最高値</stp>
        <tr r="S60" s="1"/>
      </tp>
    </main>
    <main first="rtdsrv.dff54f4b11dd4e0d9cb19000fb943d8c">
      <tp t="s">
        <v>2026/02/27</v>
        <stp/>
        <stp>Market</stp>
        <stp>INDEX</stp>
        <stp>GOLDMINI.FUT01.OS</stp>
        <stp>前日日付</stp>
        <tr r="J109" s="1"/>
      </tp>
      <tp t="s">
        <v>2026/02/27</v>
        <stp/>
        <stp>Market</stp>
        <stp>INDEX</stp>
        <stp>GOLDMINI.FUT02.OS</stp>
        <stp>前日日付</stp>
        <tr r="J110" s="1"/>
      </tp>
      <tp t="s">
        <v>2026/02/27</v>
        <stp/>
        <stp>Market</stp>
        <stp>INDEX</stp>
        <stp>GOLDMINI.FUT03.OS</stp>
        <stp>前日日付</stp>
        <tr r="J111" s="1"/>
      </tp>
      <tp t="s">
        <v>2026/02/27</v>
        <stp/>
        <stp>Market</stp>
        <stp>INDEX</stp>
        <stp>GOLDMINI.FUT04.OS</stp>
        <stp>前日日付</stp>
        <tr r="J112" s="1"/>
      </tp>
      <tp t="s">
        <v>2026/02/27</v>
        <stp/>
        <stp>Market</stp>
        <stp>INDEX</stp>
        <stp>GOLDMINI.FUT05.OS</stp>
        <stp>前日日付</stp>
        <tr r="J113" s="1"/>
      </tp>
      <tp t="s">
        <v>2026/02/27</v>
        <stp/>
        <stp>Market</stp>
        <stp>INDEX</stp>
        <stp>GOLDMINI.FUT06.OS</stp>
        <stp>前日日付</stp>
        <tr r="J114" s="1"/>
      </tp>
    </main>
    <main first="rtdsrv.dff54f4b11dd4e0d9cb19000fb943d8c">
      <tp t="s">
        <v/>
        <stp/>
        <stp>Market</stp>
        <stp>INDEX</stp>
        <stp>NOK/JPY</stp>
        <stp>現在値</stp>
        <tr r="E208" s="1"/>
      </tp>
      <tp t="s">
        <v/>
        <stp/>
        <stp>Market</stp>
        <stp>INDEX</stp>
        <stp>NZD/JPY</stp>
        <stp>現在値</stp>
        <tr r="E191" s="1"/>
      </tp>
      <tp t="s">
        <v/>
        <stp/>
        <stp>Market</stp>
        <stp>INDEX</stp>
        <stp>GBP/CHF</stp>
        <stp>現在値</stp>
        <tr r="E202" s="1"/>
      </tp>
      <tp t="s">
        <v/>
        <stp/>
        <stp>Market</stp>
        <stp>INDEX</stp>
        <stp>EUR/AUD</stp>
        <stp>現在値</stp>
        <tr r="E213" s="1"/>
      </tp>
    </main>
    <main first="rtdsrv.dff54f4b11dd4e0d9cb19000fb943d8c">
      <tp>
        <v>18.63</v>
        <stp/>
        <stp>Market</stp>
        <stp>INDEX</stp>
        <stp>VIX</stp>
        <stp>前日終値</stp>
        <tr r="I25" s="1"/>
      </tp>
    </main>
    <main first="rtdsrv.dff54f4b11dd4e0d9cb19000fb943d8c">
      <tp>
        <v>0</v>
        <stp/>
        <stp>Market</stp>
        <stp>INDEX</stp>
        <stp>TCWSI</stp>
        <stp>出来高</stp>
        <tr r="Q101" s="1"/>
      </tp>
      <tp t="s">
        <v>NBI</v>
        <stp/>
        <stp>Market</stp>
        <stp>INDEX</stp>
        <stp>NBI</stp>
        <stp>指標コード</stp>
        <tr r="A47" s="1"/>
      </tp>
      <tp t="s">
        <v>NVI</v>
        <stp/>
        <stp>Market</stp>
        <stp>INDEX</stp>
        <stp>NVI</stp>
        <stp>指標コード</stp>
        <tr r="A14" s="1"/>
      </tp>
      <tp t="s">
        <v>HSI</v>
        <stp/>
        <stp>Market</stp>
        <stp>INDEX</stp>
        <stp>HSI</stp>
        <stp>指標コード</stp>
        <tr r="A65" s="1"/>
      </tp>
    </main>
    <main first="rtdsrv.dff54f4b11dd4e0d9cb19000fb943d8c">
      <tp>
        <v>216.31</v>
        <stp/>
        <stp>Market</stp>
        <stp>INDEX</stp>
        <stp>SIXRE</stp>
        <stp>高値</stp>
        <tr r="L30" s="1"/>
      </tp>
    </main>
    <main first="rtdsrv.dff54f4b11dd4e0d9cb19000fb943d8c">
      <tp>
        <v>0.91</v>
        <stp/>
        <stp>Market</stp>
        <stp>INDEX</stp>
        <stp>INDS</stp>
        <stp>前日比率</stp>
        <tr r="H39" s="1"/>
      </tp>
    </main>
    <main first="rtdsrv.dff54f4b11dd4e0d9cb19000fb943d8c">
      <tp>
        <v>1823.64</v>
        <stp/>
        <stp>Market</stp>
        <stp>INDEX</stp>
        <stp>NQROBO</stp>
        <stp>高値</stp>
        <tr r="L61" s="1"/>
      </tp>
    </main>
    <main first="rtdsrv.dff54f4b11dd4e0d9cb19000fb943d8c">
      <tp t="s">
        <v/>
        <stp/>
        <stp>Market</stp>
        <stp>INDEX</stp>
        <stp>AUD/JPY</stp>
        <stp>現在値</stp>
        <tr r="E190" s="1"/>
      </tp>
    </main>
    <main first="rtdsrv.dff54f4b11dd4e0d9cb19000fb943d8c">
      <tp t="s">
        <v/>
        <stp/>
        <stp>Market</stp>
        <stp>INDEX</stp>
        <stp>MXN/JPY</stp>
        <stp>更新時刻</stp>
        <tr r="D211" s="1"/>
      </tp>
      <tp>
        <v>-1.49</v>
        <stp/>
        <stp>Market</stp>
        <stp>INDEX</stp>
        <stp>CPQ</stp>
        <stp>前日比率</stp>
        <tr r="H60" s="1"/>
      </tp>
    </main>
    <main first="rtdsrv.dff54f4b11dd4e0d9cb19000fb943d8c">
      <tp t="s">
        <v>IXF</v>
        <stp/>
        <stp>Market</stp>
        <stp>INDEX</stp>
        <stp>IXF</stp>
        <stp>指標コード</stp>
        <tr r="A46" s="1"/>
      </tp>
      <tp t="s">
        <v>-</v>
        <stp/>
        <stp>Market</stp>
        <stp>INDEX</stp>
        <stp>SIXRE</stp>
        <stp>出来高</stp>
        <tr r="Q30" s="1"/>
      </tp>
    </main>
    <main first="rtdsrv.dff54f4b11dd4e0d9cb19000fb943d8c">
      <tp>
        <v>59210</v>
        <stp/>
        <stp>Market</stp>
        <stp>INDEX</stp>
        <stp>N225.FUT02.OS</stp>
        <stp>高値</stp>
        <tr r="L73" s="1"/>
      </tp>
    </main>
    <main first="rtdsrv.dff54f4b11dd4e0d9cb19000fb943d8c">
      <tp>
        <v>769</v>
        <stp/>
        <stp>Market</stp>
        <stp>INDEX</stp>
        <stp>MOT.FUT01.OS</stp>
        <stp>高値</stp>
        <tr r="L91" s="1"/>
      </tp>
      <tp t="s">
        <v>2026/02/26</v>
        <stp/>
        <stp>Market</stp>
        <stp>INDEX</stp>
        <stp>SSEC</stp>
        <stp>前日日付</stp>
        <tr r="J68" s="1"/>
      </tp>
      <tp t="s">
        <v>2026/02/26</v>
        <stp/>
        <stp>Market</stp>
        <stp>INDEX</stp>
        <stp>SSEA</stp>
        <stp>前日日付</stp>
        <tr r="J69" s="1"/>
      </tp>
    </main>
    <main first="rtdsrv.dff54f4b11dd4e0d9cb19000fb943d8c">
      <tp>
        <v>1.2</v>
        <stp/>
        <stp>Market</stp>
        <stp>INDEX</stp>
        <stp>GOLDMINI.FUT06.OS</stp>
        <stp>前日比率</stp>
        <tr r="H114" s="1"/>
      </tp>
      <tp>
        <v>1.37</v>
        <stp/>
        <stp>Market</stp>
        <stp>INDEX</stp>
        <stp>GOLDMINI.FUT05.OS</stp>
        <stp>前日比率</stp>
        <tr r="H113" s="1"/>
      </tp>
      <tp>
        <v>1.07</v>
        <stp/>
        <stp>Market</stp>
        <stp>INDEX</stp>
        <stp>GOLDMINI.FUT04.OS</stp>
        <stp>前日比率</stp>
        <tr r="H112" s="1"/>
      </tp>
      <tp>
        <v>0.96</v>
        <stp/>
        <stp>Market</stp>
        <stp>INDEX</stp>
        <stp>GOLDMINI.FUT03.OS</stp>
        <stp>前日比率</stp>
        <tr r="H111" s="1"/>
      </tp>
      <tp>
        <v>2.58</v>
        <stp/>
        <stp>Market</stp>
        <stp>INDEX</stp>
        <stp>GOLDMINI.FUT02.OS</stp>
        <stp>前日比率</stp>
        <tr r="H110" s="1"/>
      </tp>
      <tp>
        <v>0.27</v>
        <stp/>
        <stp>Market</stp>
        <stp>INDEX</stp>
        <stp>GOLDMINI.FUT01.OS</stp>
        <stp>前日比率</stp>
        <tr r="H109" s="1"/>
      </tp>
      <tp>
        <v>1316.21</v>
        <stp/>
        <stp>Market</stp>
        <stp>INDEX</stp>
        <stp>EMCLOUD</stp>
        <stp>現在値</stp>
        <tr r="E62" s="1"/>
      </tp>
    </main>
    <main first="rtdsrv.dff54f4b11dd4e0d9cb19000fb943d8c">
      <tp t="s">
        <v/>
        <stp/>
        <stp>Market</stp>
        <stp>INDEX</stp>
        <stp>PLATINUMMINI.FUT02.OS</stp>
        <stp>更新時刻</stp>
        <tr r="D123" s="1"/>
      </tp>
      <tp t="s">
        <v/>
        <stp/>
        <stp>Market</stp>
        <stp>INDEX</stp>
        <stp>PLATINUMMINI.FUT03.OS</stp>
        <stp>更新時刻</stp>
        <tr r="D124" s="1"/>
      </tp>
      <tp t="s">
        <v/>
        <stp/>
        <stp>Market</stp>
        <stp>INDEX</stp>
        <stp>PLATINUMMINI.FUT01.OS</stp>
        <stp>更新時刻</stp>
        <tr r="D122" s="1"/>
      </tp>
      <tp t="s">
        <v/>
        <stp/>
        <stp>Market</stp>
        <stp>INDEX</stp>
        <stp>PLATINUMMINI.FUT06.OS</stp>
        <stp>更新時刻</stp>
        <tr r="D127" s="1"/>
      </tp>
      <tp t="s">
        <v/>
        <stp/>
        <stp>Market</stp>
        <stp>INDEX</stp>
        <stp>PLATINUMMINI.FUT04.OS</stp>
        <stp>更新時刻</stp>
        <tr r="D125" s="1"/>
      </tp>
      <tp t="s">
        <v/>
        <stp/>
        <stp>Market</stp>
        <stp>INDEX</stp>
        <stp>PLATINUMMINI.FUT05.OS</stp>
        <stp>更新時刻</stp>
        <tr r="D126" s="1"/>
      </tp>
    </main>
    <main first="rtdsrv.dff54f4b11dd4e0d9cb19000fb943d8c">
      <tp>
        <v>719.05</v>
        <stp/>
        <stp>Market</stp>
        <stp>INDEX</stp>
        <stp>HGX</stp>
        <stp>前日終値</stp>
        <tr r="I52" s="1"/>
      </tp>
      <tp>
        <v>1560.8</v>
        <stp/>
        <stp>Market</stp>
        <stp>INDEX</stp>
        <stp>NGX</stp>
        <stp>前日終値</stp>
        <tr r="I63" s="1"/>
      </tp>
    </main>
    <main first="rtdsrv.dff54f4b11dd4e0d9cb19000fb943d8c">
      <tp t="s">
        <v/>
        <stp/>
        <stp>Market</stp>
        <stp>INDEX</stp>
        <stp>NZD/USD</stp>
        <stp>更新時刻</stp>
        <tr r="D200" s="1"/>
      </tp>
    </main>
    <main first="rtdsrv.dff54f4b11dd4e0d9cb19000fb943d8c">
      <tp>
        <v>0</v>
        <stp/>
        <stp>Market</stp>
        <stp>INDEX</stp>
        <stp>JGB:F</stp>
        <stp>高値</stp>
        <tr r="L16" s="1"/>
      </tp>
    </main>
    <main first="rtdsrv.dff54f4b11dd4e0d9cb19000fb943d8c">
      <tp>
        <v>59180</v>
        <stp/>
        <stp>Market</stp>
        <stp>INDEX</stp>
        <stp>N225.FUT03.OS</stp>
        <stp>高値</stp>
        <tr r="L74" s="1"/>
      </tp>
    </main>
    <main first="rtdsrv.dff54f4b11dd4e0d9cb19000fb943d8c">
      <tp t="s">
        <v>2026/02/26</v>
        <stp/>
        <stp>Market</stp>
        <stp>INDEX</stp>
        <stp>INDS</stp>
        <stp>前日日付</stp>
        <tr r="J39" s="1"/>
      </tp>
    </main>
    <main first="rtdsrv.dff54f4b11dd4e0d9cb19000fb943d8c">
      <tp t="s">
        <v/>
        <stp/>
        <stp>Market</stp>
        <stp>INDEX</stp>
        <stp>CNH/JPY</stp>
        <stp>現在値</stp>
        <tr r="E210" s="1"/>
      </tp>
      <tp t="s">
        <v/>
        <stp/>
        <stp>Market</stp>
        <stp>INDEX</stp>
        <stp>CHF/JPY</stp>
        <stp>現在値</stp>
        <tr r="E194" s="1"/>
      </tp>
      <tp>
        <v>0</v>
        <stp/>
        <stp>Market</stp>
        <stp>INDEX</stp>
        <stp>SOYBEAN.FUT02.OS</stp>
        <stp>現在値</stp>
        <tr r="E172" s="1"/>
      </tp>
      <tp>
        <v>0</v>
        <stp/>
        <stp>Market</stp>
        <stp>INDEX</stp>
        <stp>SOYBEAN.FUT03.OS</stp>
        <stp>現在値</stp>
        <tr r="E173" s="1"/>
      </tp>
      <tp>
        <v>0</v>
        <stp/>
        <stp>Market</stp>
        <stp>INDEX</stp>
        <stp>SOYBEAN.FUT01.OS</stp>
        <stp>現在値</stp>
        <tr r="E171" s="1"/>
      </tp>
      <tp>
        <v>0</v>
        <stp/>
        <stp>Market</stp>
        <stp>INDEX</stp>
        <stp>SOYBEAN.FUT06.OS</stp>
        <stp>現在値</stp>
        <tr r="E176" s="1"/>
      </tp>
      <tp>
        <v>0</v>
        <stp/>
        <stp>Market</stp>
        <stp>INDEX</stp>
        <stp>SOYBEAN.FUT04.OS</stp>
        <stp>現在値</stp>
        <tr r="E174" s="1"/>
      </tp>
      <tp>
        <v>0</v>
        <stp/>
        <stp>Market</stp>
        <stp>INDEX</stp>
        <stp>SOYBEAN.FUT05.OS</stp>
        <stp>現在値</stp>
        <tr r="E175" s="1"/>
      </tp>
      <tp t="s">
        <v/>
        <stp/>
        <stp>Market</stp>
        <stp>INDEX</stp>
        <stp>CAD/JPY</stp>
        <stp>現在値</stp>
        <tr r="E193" s="1"/>
      </tp>
    </main>
    <main first="rtdsrv.dff54f4b11dd4e0d9cb19000fb943d8c">
      <tp t="s">
        <v/>
        <stp/>
        <stp>Market</stp>
        <stp>INDEX</stp>
        <stp>REDBEAN.FUT02.OS</stp>
        <stp>更新時刻</stp>
        <tr r="D166" s="1"/>
      </tp>
      <tp t="s">
        <v/>
        <stp/>
        <stp>Market</stp>
        <stp>INDEX</stp>
        <stp>REDBEAN.FUT03.OS</stp>
        <stp>更新時刻</stp>
        <tr r="D167" s="1"/>
      </tp>
      <tp t="s">
        <v/>
        <stp/>
        <stp>Market</stp>
        <stp>INDEX</stp>
        <stp>REDBEAN.FUT01.OS</stp>
        <stp>更新時刻</stp>
        <tr r="D165" s="1"/>
      </tp>
      <tp t="s">
        <v/>
        <stp/>
        <stp>Market</stp>
        <stp>INDEX</stp>
        <stp>REDBEAN.FUT06.OS</stp>
        <stp>更新時刻</stp>
        <tr r="D170" s="1"/>
      </tp>
      <tp t="s">
        <v/>
        <stp/>
        <stp>Market</stp>
        <stp>INDEX</stp>
        <stp>REDBEAN.FUT04.OS</stp>
        <stp>更新時刻</stp>
        <tr r="D168" s="1"/>
      </tp>
      <tp t="s">
        <v/>
        <stp/>
        <stp>Market</stp>
        <stp>INDEX</stp>
        <stp>REDBEAN.FUT05.OS</stp>
        <stp>更新時刻</stp>
        <tr r="D169" s="1"/>
      </tp>
    </main>
    <main first="rtdsrv.dff54f4b11dd4e0d9cb19000fb943d8c">
      <tp>
        <v>11877</v>
        <stp/>
        <stp>Market</stp>
        <stp>INDEX</stp>
        <stp>PLATINUM.FUT01.OS</stp>
        <stp>前日終値</stp>
        <tr r="I116" s="1"/>
      </tp>
      <tp>
        <v>11478</v>
        <stp/>
        <stp>Market</stp>
        <stp>INDEX</stp>
        <stp>PLATINUM.FUT02.OS</stp>
        <stp>前日終値</stp>
        <tr r="I117" s="1"/>
      </tp>
      <tp>
        <v>11654</v>
        <stp/>
        <stp>Market</stp>
        <stp>INDEX</stp>
        <stp>PLATINUM.FUT03.OS</stp>
        <stp>前日終値</stp>
        <tr r="I118" s="1"/>
      </tp>
      <tp>
        <v>11707</v>
        <stp/>
        <stp>Market</stp>
        <stp>INDEX</stp>
        <stp>PLATINUM.FUT04.OS</stp>
        <stp>前日終値</stp>
        <tr r="I119" s="1"/>
      </tp>
      <tp>
        <v>11775</v>
        <stp/>
        <stp>Market</stp>
        <stp>INDEX</stp>
        <stp>PLATINUM.FUT05.OS</stp>
        <stp>前日終値</stp>
        <tr r="I120" s="1"/>
      </tp>
      <tp>
        <v>11800</v>
        <stp/>
        <stp>Market</stp>
        <stp>INDEX</stp>
        <stp>PLATINUM.FUT06.OS</stp>
        <stp>前日終値</stp>
        <tr r="I121" s="1"/>
      </tp>
    </main>
    <main first="rtdsrv.dff54f4b11dd4e0d9cb19000fb943d8c">
      <tp t="s">
        <v/>
        <stp/>
        <stp>Market</stp>
        <stp>INDEX</stp>
        <stp>NZD/JPY</stp>
        <stp>更新時刻</stp>
        <tr r="D191" s="1"/>
      </tp>
    </main>
    <main first="rtdsrv.dff54f4b11dd4e0d9cb19000fb943d8c">
      <tp t="s">
        <v/>
        <stp/>
        <stp>Market</stp>
        <stp>INDEX</stp>
        <stp>GBP/CHF</stp>
        <stp>更新時刻</stp>
        <tr r="D202" s="1"/>
      </tp>
    </main>
    <main first="rtdsrv.dff54f4b11dd4e0d9cb19000fb943d8c">
      <tp>
        <v>-0.81</v>
        <stp/>
        <stp>Market</stp>
        <stp>INDEX</stp>
        <stp>N225.FUT02.S</stp>
        <stp>前日比率</stp>
        <tr r="H186" s="1"/>
      </tp>
      <tp>
        <v>-0.77</v>
        <stp/>
        <stp>Market</stp>
        <stp>INDEX</stp>
        <stp>N225.FUT01.S</stp>
        <stp>前日比率</stp>
        <tr r="H185" s="1"/>
      </tp>
      <tp>
        <v>-0.03</v>
        <stp/>
        <stp>Market</stp>
        <stp>INDEX</stp>
        <stp>N225.FUT02.C</stp>
        <stp>前日比率</stp>
        <tr r="H184" s="1"/>
      </tp>
      <tp>
        <v>-0.16</v>
        <stp/>
        <stp>Market</stp>
        <stp>INDEX</stp>
        <stp>N225.FUT01.C</stp>
        <stp>前日比率</stp>
        <tr r="H183" s="1"/>
      </tp>
    </main>
    <main first="rtdsrv.dff54f4b11dd4e0d9cb19000fb943d8c">
      <tp>
        <v>6.47</v>
        <stp/>
        <stp>Market</stp>
        <stp>INDEX</stp>
        <stp>VVIX</stp>
        <stp>前日比率</stp>
        <tr r="H26" s="1"/>
      </tp>
      <tp t="s">
        <v>-</v>
        <stp/>
        <stp>Market</stp>
        <stp>INDEX</stp>
        <stp>BANK</stp>
        <stp>出来高</stp>
        <tr r="Q40" s="1"/>
      </tp>
    </main>
    <main first="rtdsrv.dff54f4b11dd4e0d9cb19000fb943d8c">
      <tp>
        <v>-1.05</v>
        <stp/>
        <stp>Market</stp>
        <stp>INDEX</stp>
        <stp>DJIA</stp>
        <stp>前日比率</stp>
        <tr r="H20" s="1"/>
      </tp>
      <tp t="s">
        <v>2026/02/26</v>
        <stp/>
        <stp>Market</stp>
        <stp>INDEX</stp>
        <stp>TSGM</stp>
        <stp>前日日付</stp>
        <tr r="J8" s="1"/>
      </tp>
      <tp>
        <v>747</v>
        <stp/>
        <stp>Market</stp>
        <stp>INDEX</stp>
        <stp>MOT.FUT03.OS</stp>
        <stp>高値</stp>
        <tr r="L93" s="1"/>
      </tp>
      <tp>
        <v>-1.41</v>
        <stp/>
        <stp>Market</stp>
        <stp>INDEX</stp>
        <stp>OFIN</stp>
        <stp>前日比率</stp>
        <tr r="H42" s="1"/>
      </tp>
    </main>
    <main first="rtdsrv.dff54f4b11dd4e0d9cb19000fb943d8c">
      <tp>
        <v>0</v>
        <stp/>
        <stp>Market</stp>
        <stp>INDEX</stp>
        <stp>PLATINUM.FUT02.OS</stp>
        <stp>現在値</stp>
        <tr r="E117" s="1"/>
      </tp>
      <tp>
        <v>11524</v>
        <stp/>
        <stp>Market</stp>
        <stp>INDEX</stp>
        <stp>PLATINUM.FUT03.OS</stp>
        <stp>現在値</stp>
        <tr r="E118" s="1"/>
      </tp>
      <tp>
        <v>0</v>
        <stp/>
        <stp>Market</stp>
        <stp>INDEX</stp>
        <stp>PLATINUM.FUT01.OS</stp>
        <stp>現在値</stp>
        <tr r="E116" s="1"/>
      </tp>
      <tp>
        <v>11678</v>
        <stp/>
        <stp>Market</stp>
        <stp>INDEX</stp>
        <stp>PLATINUM.FUT06.OS</stp>
        <stp>現在値</stp>
        <tr r="E121" s="1"/>
      </tp>
      <tp>
        <v>11530</v>
        <stp/>
        <stp>Market</stp>
        <stp>INDEX</stp>
        <stp>PLATINUM.FUT04.OS</stp>
        <stp>現在値</stp>
        <tr r="E119" s="1"/>
      </tp>
      <tp>
        <v>11597</v>
        <stp/>
        <stp>Market</stp>
        <stp>INDEX</stp>
        <stp>PLATINUM.FUT05.OS</stp>
        <stp>現在値</stp>
        <tr r="E120" s="1"/>
      </tp>
      <tp>
        <v>0.57999999999999996</v>
        <stp/>
        <stp>Market</stp>
        <stp>INDEX</stp>
        <stp>OSX</stp>
        <stp>前日比率</stp>
        <tr r="H53" s="1"/>
      </tp>
    </main>
    <main first="rtdsrv.dff54f4b11dd4e0d9cb19000fb943d8c">
      <tp>
        <v>0.95</v>
        <stp/>
        <stp>Market</stp>
        <stp>INDEX</stp>
        <stp>HSI</stp>
        <stp>前日比率</stp>
        <tr r="H65" s="1"/>
      </tp>
    </main>
    <main first="rtdsrv.dff54f4b11dd4e0d9cb19000fb943d8c">
      <tp>
        <v>59420</v>
        <stp/>
        <stp>Market</stp>
        <stp>INDEX</stp>
        <stp>N225.FUT01.OS</stp>
        <stp>高値</stp>
        <tr r="L72" s="1"/>
      </tp>
    </main>
    <main first="rtdsrv.dff54f4b11dd4e0d9cb19000fb943d8c">
      <tp>
        <v>3.83</v>
        <stp/>
        <stp>Market</stp>
        <stp>INDEX</stp>
        <stp>MTHR</stp>
        <stp>前日比率</stp>
        <tr r="H13" s="1"/>
      </tp>
    </main>
    <main first="rtdsrv.dff54f4b11dd4e0d9cb19000fb943d8c">
      <tp>
        <v>0.42</v>
        <stp/>
        <stp>Market</stp>
        <stp>INDEX</stp>
        <stp>IXHC</stp>
        <stp>前日比率</stp>
        <tr r="H48" s="1"/>
      </tp>
    </main>
    <main first="rtdsrv.dff54f4b11dd4e0d9cb19000fb943d8c">
      <tp>
        <v>758</v>
        <stp/>
        <stp>Market</stp>
        <stp>INDEX</stp>
        <stp>MOT.FUT02.OS</stp>
        <stp>高値</stp>
        <tr r="L92" s="1"/>
      </tp>
    </main>
    <main first="rtdsrv.dff54f4b11dd4e0d9cb19000fb943d8c">
      <tp t="s">
        <v/>
        <stp/>
        <stp>Market</stp>
        <stp>INDEX</stp>
        <stp>AUD/NZD</stp>
        <stp>現在値</stp>
        <tr r="E207" s="1"/>
      </tp>
      <tp t="s">
        <v/>
        <stp/>
        <stp>Market</stp>
        <stp>INDEX</stp>
        <stp>EUR/JPY</stp>
        <stp>現在値</stp>
        <tr r="E188" s="1"/>
      </tp>
      <tp>
        <v>5987.74</v>
        <stp/>
        <stp>Market</stp>
        <stp>INDEX</stp>
        <stp>NBI</stp>
        <stp>前日終値</stp>
        <tr r="I47" s="1"/>
      </tp>
    </main>
    <main first="rtdsrv.dff54f4b11dd4e0d9cb19000fb943d8c">
      <tp>
        <v>1.28</v>
        <stp/>
        <stp>Market</stp>
        <stp>INDEX</stp>
        <stp>UTY</stp>
        <stp>前日比率</stp>
        <tr r="H54" s="1"/>
      </tp>
    </main>
    <main first="rtdsrv.dff54f4b11dd4e0d9cb19000fb943d8c">
      <tp t="s">
        <v>2026/02/26</v>
        <stp/>
        <stp>Market</stp>
        <stp>INDEX</stp>
        <stp>TRAN</stp>
        <stp>前日日付</stp>
        <tr r="J43" s="1"/>
      </tp>
      <tp>
        <v>-1.43</v>
        <stp/>
        <stp>Market</stp>
        <stp>INDEX</stp>
        <stp>MOT.FUT01.OS</stp>
        <stp>前日比率</stp>
        <tr r="H91" s="1"/>
      </tp>
      <tp>
        <v>-1.32</v>
        <stp/>
        <stp>Market</stp>
        <stp>INDEX</stp>
        <stp>MOT.FUT02.OS</stp>
        <stp>前日比率</stp>
        <tr r="H92" s="1"/>
      </tp>
      <tp>
        <v>3.35</v>
        <stp/>
        <stp>Market</stp>
        <stp>INDEX</stp>
        <stp>MOT.FUT03.OS</stp>
        <stp>前日比率</stp>
        <tr r="H93" s="1"/>
      </tp>
      <tp>
        <v>0</v>
        <stp/>
        <stp>Market</stp>
        <stp>INDEX</stp>
        <stp>MOT.FUT04.OS</stp>
        <stp>前日比率</stp>
        <tr r="H94" s="1"/>
      </tp>
      <tp>
        <v>0</v>
        <stp/>
        <stp>Market</stp>
        <stp>INDEX</stp>
        <stp>MOT.FUT05.OS</stp>
        <stp>前日比率</stp>
        <tr r="H95" s="1"/>
      </tp>
    </main>
    <main first="rtdsrv.dff54f4b11dd4e0d9cb19000fb943d8c">
      <tp>
        <v>0</v>
        <stp/>
        <stp>Market</stp>
        <stp>INDEX</stp>
        <stp>MOT.FUT05.OS</stp>
        <stp>高値</stp>
        <tr r="L95" s="1"/>
      </tp>
    </main>
    <main first="rtdsrv.dff54f4b11dd4e0d9cb19000fb943d8c">
      <tp>
        <v>1152.22</v>
        <stp/>
        <stp>Market</stp>
        <stp>INDEX</stp>
        <stp>SIXE</stp>
        <stp>前日終値</stp>
        <tr r="I28" s="1"/>
      </tp>
      <tp>
        <v>609.55999999999995</v>
        <stp/>
        <stp>Market</stp>
        <stp>INDEX</stp>
        <stp>SIXC</stp>
        <stp>前日終値</stp>
        <tr r="I33" s="1"/>
      </tp>
      <tp>
        <v>1125.04</v>
        <stp/>
        <stp>Market</stp>
        <stp>INDEX</stp>
        <stp>SIXB</stp>
        <stp>前日終値</stp>
        <tr r="I27" s="1"/>
      </tp>
      <tp>
        <v>645.69000000000005</v>
        <stp/>
        <stp>Market</stp>
        <stp>INDEX</stp>
        <stp>SIXM</stp>
        <stp>前日終値</stp>
        <tr r="I29" s="1"/>
      </tp>
      <tp>
        <v>1780.45</v>
        <stp/>
        <stp>Market</stp>
        <stp>INDEX</stp>
        <stp>SIXI</stp>
        <stp>前日終値</stp>
        <tr r="I34" s="1"/>
      </tp>
      <tp>
        <v>1588.36</v>
        <stp/>
        <stp>Market</stp>
        <stp>INDEX</stp>
        <stp>SIXV</stp>
        <stp>前日終値</stp>
        <tr r="I37" s="1"/>
      </tp>
      <tp>
        <v>952.61</v>
        <stp/>
        <stp>Market</stp>
        <stp>INDEX</stp>
        <stp>SIXU</stp>
        <stp>前日終値</stp>
        <tr r="I31" s="1"/>
      </tp>
      <tp>
        <v>12448.86</v>
        <stp/>
        <stp>Market</stp>
        <stp>INDEX</stp>
        <stp>NDXT</stp>
        <stp>前日終値</stp>
        <tr r="I49" s="1"/>
      </tp>
      <tp>
        <v>2838.88</v>
        <stp/>
        <stp>Market</stp>
        <stp>INDEX</stp>
        <stp>SIXT</stp>
        <stp>前日終値</stp>
        <tr r="I36" s="1"/>
      </tp>
      <tp>
        <v>897.1</v>
        <stp/>
        <stp>Market</stp>
        <stp>INDEX</stp>
        <stp>SIXR</stp>
        <stp>前日終値</stp>
        <tr r="I35" s="1"/>
      </tp>
      <tp>
        <v>2364.9</v>
        <stp/>
        <stp>Market</stp>
        <stp>INDEX</stp>
        <stp>SIXY</stp>
        <stp>前日終値</stp>
        <tr r="I32" s="1"/>
      </tp>
    </main>
    <main first="rtdsrv.dff54f4b11dd4e0d9cb19000fb943d8c">
      <tp t="s">
        <v>HXC</v>
        <stp/>
        <stp>Market</stp>
        <stp>INDEX</stp>
        <stp>HXC</stp>
        <stp>指標コード</stp>
        <tr r="A55" s="1"/>
      </tp>
      <tp>
        <v>0</v>
        <stp/>
        <stp>Market</stp>
        <stp>INDEX</stp>
        <stp>TCWSI</stp>
        <stp>高値</stp>
        <tr r="L101" s="1"/>
      </tp>
      <tp t="s">
        <v>-</v>
        <stp/>
        <stp>Market</stp>
        <stp>INDEX</stp>
        <stp>OFIN</stp>
        <stp>出来高</stp>
        <tr r="Q42" s="1"/>
      </tp>
      <tp>
        <v>175</v>
        <stp/>
        <stp>Market</stp>
        <stp>INDEX</stp>
        <stp>N225.FUT02.C</stp>
        <stp>出来高</stp>
        <tr r="Q184" s="1"/>
      </tp>
      <tp>
        <v>411</v>
        <stp/>
        <stp>Market</stp>
        <stp>INDEX</stp>
        <stp>N225.FUT02.S</stp>
        <stp>出来高</stp>
        <tr r="Q186" s="1"/>
      </tp>
    </main>
    <main first="rtdsrv.dff54f4b11dd4e0d9cb19000fb943d8c">
      <tp>
        <v>-4.55</v>
        <stp/>
        <stp>Market</stp>
        <stp>INDEX</stp>
        <stp>BANK</stp>
        <stp>前日比率</stp>
        <tr r="H40" s="1"/>
      </tp>
      <tp>
        <v>0</v>
        <stp/>
        <stp>Market</stp>
        <stp>INDEX</stp>
        <stp>MOT.FUT04.OS</stp>
        <stp>高値</stp>
        <tr r="L94" s="1"/>
      </tp>
    </main>
    <main first="rtdsrv.dff54f4b11dd4e0d9cb19000fb943d8c">
      <tp t="s">
        <v/>
        <stp/>
        <stp>Market</stp>
        <stp>INDEX</stp>
        <stp>GBP/JPY</stp>
        <stp>現在値</stp>
        <tr r="E189" s="1"/>
      </tp>
      <tp t="s">
        <v/>
        <stp/>
        <stp>Market</stp>
        <stp>INDEX</stp>
        <stp>NZD/CHF</stp>
        <stp>現在値</stp>
        <tr r="E206" s="1"/>
      </tp>
    </main>
    <main first="rtdsrv.dff54f4b11dd4e0d9cb19000fb943d8c">
      <tp t="s">
        <v>2026/02/26</v>
        <stp/>
        <stp>Market</stp>
        <stp>INDEX</stp>
        <stp>IXF</stp>
        <stp>前日日付</stp>
        <tr r="J46" s="1"/>
      </tp>
    </main>
    <main first="rtdsrv.dff54f4b11dd4e0d9cb19000fb943d8c">
      <tp>
        <v>-12.43</v>
        <stp/>
        <stp>Market</stp>
        <stp>INDEX</stp>
        <stp>NVI</stp>
        <stp>前日比率</stp>
        <tr r="H14" s="1"/>
      </tp>
    </main>
    <main first="rtdsrv.dff54f4b11dd4e0d9cb19000fb943d8c">
      <tp t="s">
        <v>2026/02/26</v>
        <stp/>
        <stp>Market</stp>
        <stp>INDEX</stp>
        <stp>HXC</stp>
        <stp>前日日付</stp>
        <tr r="J55" s="1"/>
      </tp>
    </main>
    <main first="rtdsrv.dff54f4b11dd4e0d9cb19000fb943d8c">
      <tp t="s">
        <v/>
        <stp/>
        <stp>Market</stp>
        <stp>INDEX</stp>
        <stp>PLATINUM.SPOT.OS</stp>
        <stp>前年最高値</stp>
        <tr r="S128" s="1"/>
      </tp>
    </main>
    <main first="rtdsrv.dff54f4b11dd4e0d9cb19000fb943d8c">
      <tp>
        <v>59100</v>
        <stp/>
        <stp>Market</stp>
        <stp>INDEX</stp>
        <stp>N225.FUT04.OS</stp>
        <stp>高値</stp>
        <tr r="L75" s="1"/>
      </tp>
    </main>
    <main first="rtdsrv.dff54f4b11dd4e0d9cb19000fb943d8c">
      <tp>
        <v>21377</v>
        <stp/>
        <stp>Market</stp>
        <stp>INDEX</stp>
        <stp>N225.FUT01.C</stp>
        <stp>出来高</stp>
        <tr r="Q183" s="1"/>
      </tp>
      <tp>
        <v>7903</v>
        <stp/>
        <stp>Market</stp>
        <stp>INDEX</stp>
        <stp>N225.FUT01.S</stp>
        <stp>出来高</stp>
        <tr r="Q185" s="1"/>
      </tp>
    </main>
    <main first="rtdsrv.dff54f4b11dd4e0d9cb19000fb943d8c">
      <tp t="s">
        <v>2026/02/26</v>
        <stp/>
        <stp>Market</stp>
        <stp>INDEX</stp>
        <stp>IXCO</stp>
        <stp>前日日付</stp>
        <tr r="J45" s="1"/>
      </tp>
    </main>
    <main first="rtdsrv.dff54f4b11dd4e0d9cb19000fb943d8c">
      <tp>
        <v>1167.0899999999999</v>
        <stp/>
        <stp>Market</stp>
        <stp>INDEX</stp>
        <stp>UTY</stp>
        <stp>前年最高値</stp>
        <tr r="S54" s="1"/>
      </tp>
    </main>
    <main first="rtdsrv.dff54f4b11dd4e0d9cb19000fb943d8c">
      <tp t="s">
        <v/>
        <stp/>
        <stp>Market</stp>
        <stp>INDEX</stp>
        <stp>CORN.FUT06.OS</stp>
        <stp>更新時刻</stp>
        <tr r="D182" s="1"/>
      </tp>
      <tp t="s">
        <v/>
        <stp/>
        <stp>Market</stp>
        <stp>INDEX</stp>
        <stp>CORN.FUT04.OS</stp>
        <stp>更新時刻</stp>
        <tr r="D180" s="1"/>
      </tp>
      <tp t="s">
        <v/>
        <stp/>
        <stp>Market</stp>
        <stp>INDEX</stp>
        <stp>CORN.FUT05.OS</stp>
        <stp>更新時刻</stp>
        <tr r="D181" s="1"/>
      </tp>
      <tp t="s">
        <v/>
        <stp/>
        <stp>Market</stp>
        <stp>INDEX</stp>
        <stp>CORN.FUT02.OS</stp>
        <stp>更新時刻</stp>
        <tr r="D178" s="1"/>
      </tp>
      <tp t="s">
        <v/>
        <stp/>
        <stp>Market</stp>
        <stp>INDEX</stp>
        <stp>CORN.FUT03.OS</stp>
        <stp>更新時刻</stp>
        <tr r="D179" s="1"/>
      </tp>
      <tp t="s">
        <v/>
        <stp/>
        <stp>Market</stp>
        <stp>INDEX</stp>
        <stp>CORN.FUT01.OS</stp>
        <stp>更新時刻</stp>
        <tr r="D177" s="1"/>
      </tp>
    </main>
    <main first="rtdsrv.dff54f4b11dd4e0d9cb19000fb943d8c">
      <tp t="s">
        <v>16:00</v>
        <stp/>
        <stp>Market</stp>
        <stp>INDEX</stp>
        <stp>CSI300</stp>
        <stp>更新時刻</stp>
        <tr r="D71" s="1"/>
      </tp>
      <tp>
        <v>7688.4</v>
        <stp/>
        <stp>Market</stp>
        <stp>INDEX</stp>
        <stp>JGB:FDI</stp>
        <stp>現在値</stp>
        <tr r="E19" s="1"/>
      </tp>
      <tp>
        <v>462.76</v>
        <stp/>
        <stp>Market</stp>
        <stp>INDEX</stp>
        <stp>XAU</stp>
        <stp>前日終値</stp>
        <tr r="I50" s="1"/>
      </tp>
    </main>
    <main first="rtdsrv.dff54f4b11dd4e0d9cb19000fb943d8c">
      <tp t="s">
        <v/>
        <stp/>
        <stp>Market</stp>
        <stp>INDEX</stp>
        <stp>AUD/NZD</stp>
        <stp>更新時刻</stp>
        <tr r="D207" s="1"/>
      </tp>
    </main>
    <main first="rtdsrv.dff54f4b11dd4e0d9cb19000fb943d8c">
      <tp>
        <v>59000</v>
        <stp/>
        <stp>Market</stp>
        <stp>INDEX</stp>
        <stp>N225.FUT05.OS</stp>
        <stp>高値</stp>
        <tr r="L76" s="1"/>
      </tp>
      <tp>
        <v>0</v>
        <stp/>
        <stp>Market</stp>
        <stp>INDEX</stp>
        <stp>VOLQ</stp>
        <stp>前日比率</stp>
        <tr r="H64" s="1"/>
      </tp>
      <tp t="s">
        <v>-</v>
        <stp/>
        <stp>Market</stp>
        <stp>INDEX</stp>
        <stp>NDXT</stp>
        <stp>出来高</stp>
        <tr r="Q49" s="1"/>
      </tp>
      <tp>
        <v>26821</v>
        <stp/>
        <stp>Market</stp>
        <stp>INDEX</stp>
        <stp>GOLD.SPOT.OS</stp>
        <stp>高値</stp>
        <tr r="L115" s="1"/>
      </tp>
    </main>
    <main first="rtdsrv.dff54f4b11dd4e0d9cb19000fb943d8c">
      <tp>
        <v>79.400000000000006</v>
        <stp/>
        <stp>Market</stp>
        <stp>INDEX</stp>
        <stp>OSX</stp>
        <stp>前年最高値</stp>
        <tr r="S53" s="1"/>
      </tp>
      <tp>
        <v>1535.44</v>
        <stp/>
        <stp>Market</stp>
        <stp>INDEX</stp>
        <stp>NGX</stp>
        <stp>前年最高値</stp>
        <tr r="S63" s="1"/>
      </tp>
      <tp>
        <v>782.9</v>
        <stp/>
        <stp>Market</stp>
        <stp>INDEX</stp>
        <stp>HGX</stp>
        <stp>前年最高値</stp>
        <tr r="S52" s="1"/>
      </tp>
      <tp>
        <v>60.13</v>
        <stp/>
        <stp>Market</stp>
        <stp>INDEX</stp>
        <stp>VIX</stp>
        <stp>前年最高値</stp>
        <tr r="S25" s="1"/>
      </tp>
      <tp>
        <v>7490.277</v>
        <stp/>
        <stp>Market</stp>
        <stp>INDEX</stp>
        <stp>SOX</stp>
        <stp>前年最高値</stp>
        <tr r="S51" s="1"/>
      </tp>
    </main>
    <main first="rtdsrv.dff54f4b11dd4e0d9cb19000fb943d8c">
      <tp t="s">
        <v>-</v>
        <stp/>
        <stp>Market</stp>
        <stp>INDEX</stp>
        <stp>INDS</stp>
        <stp>売買代金</stp>
        <tr r="R39" s="1"/>
      </tp>
    </main>
    <main first="rtdsrv.dff54f4b11dd4e0d9cb19000fb943d8c">
      <tp t="s">
        <v>07:15</v>
        <stp/>
        <stp>Market</stp>
        <stp>INDEX</stp>
        <stp>NQROBO</stp>
        <stp>更新時刻</stp>
        <tr r="D61" s="1"/>
      </tp>
      <tp t="s">
        <v>07:15</v>
        <stp/>
        <stp>Market</stp>
        <stp>INDEX</stp>
        <stp>NQCYBR</stp>
        <stp>更新時刻</stp>
        <tr r="D59" s="1"/>
      </tp>
      <tp t="s">
        <v>16:30</v>
        <stp/>
        <stp>Market</stp>
        <stp>INDEX</stp>
        <stp>JGB:FI</stp>
        <stp>更新時刻</stp>
        <tr r="D18" s="1"/>
      </tp>
      <tp t="s">
        <v>16:30</v>
        <stp/>
        <stp>Market</stp>
        <stp>INDEX</stp>
        <stp>JGB:FL</stp>
        <stp>更新時刻</stp>
        <tr r="D17" s="1"/>
      </tp>
    </main>
    <main first="rtdsrv.dff54f4b11dd4e0d9cb19000fb943d8c">
      <tp>
        <v>4793</v>
        <stp/>
        <stp>Market</stp>
        <stp>INDEX</stp>
        <stp>BANK</stp>
        <stp>高値</stp>
        <tr r="L40" s="1"/>
      </tp>
    </main>
    <main first="rtdsrv.dff54f4b11dd4e0d9cb19000fb943d8c">
      <tp>
        <v>0</v>
        <stp/>
        <stp>Market</stp>
        <stp>INDEX</stp>
        <stp>PLATINUMMINI.FUT03.OS</stp>
        <stp>高値</stp>
        <tr r="L124" s="1"/>
      </tp>
    </main>
    <main first="rtdsrv.dff54f4b11dd4e0d9cb19000fb943d8c">
      <tp>
        <v>0</v>
        <stp/>
        <stp>Market</stp>
        <stp>INDEX</stp>
        <stp>TSR20.FUT01.OS</stp>
        <stp>高値</stp>
        <tr r="L153" s="1"/>
      </tp>
      <tp>
        <v>0</v>
        <stp/>
        <stp>Market</stp>
        <stp>INDEX</stp>
        <stp>TSR20.FUT11.OS</stp>
        <stp>高値</stp>
        <tr r="L163" s="1"/>
      </tp>
      <tp t="s">
        <v>-</v>
        <stp/>
        <stp>Market</stp>
        <stp>INDEX</stp>
        <stp>SSEC</stp>
        <stp>売買代金</stp>
        <tr r="R68" s="1"/>
      </tp>
      <tp t="s">
        <v>-</v>
        <stp/>
        <stp>Market</stp>
        <stp>INDEX</stp>
        <stp>SSEA</stp>
        <stp>売買代金</stp>
        <tr r="R69" s="1"/>
      </tp>
    </main>
    <main first="rtdsrv.dff54f4b11dd4e0d9cb19000fb943d8c">
      <tp>
        <v>0</v>
        <stp/>
        <stp>Market</stp>
        <stp>INDEX</stp>
        <stp>PLATINUMMINI.FUT01.OS</stp>
        <stp>出来高</stp>
        <tr r="Q122" s="1"/>
      </tp>
      <tp>
        <v>0</v>
        <stp/>
        <stp>Market</stp>
        <stp>INDEX</stp>
        <stp>PLATINUMMINI.FUT03.OS</stp>
        <stp>出来高</stp>
        <tr r="Q124" s="1"/>
      </tp>
      <tp>
        <v>0</v>
        <stp/>
        <stp>Market</stp>
        <stp>INDEX</stp>
        <stp>PLATINUMMINI.FUT02.OS</stp>
        <stp>出来高</stp>
        <tr r="Q123" s="1"/>
      </tp>
      <tp>
        <v>267</v>
        <stp/>
        <stp>Market</stp>
        <stp>INDEX</stp>
        <stp>PLATINUMMINI.FUT05.OS</stp>
        <stp>出来高</stp>
        <tr r="Q126" s="1"/>
      </tp>
      <tp>
        <v>0</v>
        <stp/>
        <stp>Market</stp>
        <stp>INDEX</stp>
        <stp>PLATINUMMINI.FUT04.OS</stp>
        <stp>出来高</stp>
        <tr r="Q125" s="1"/>
      </tp>
      <tp>
        <v>917</v>
        <stp/>
        <stp>Market</stp>
        <stp>INDEX</stp>
        <stp>PLATINUMMINI.FUT06.OS</stp>
        <stp>出来高</stp>
        <tr r="Q127" s="1"/>
      </tp>
    </main>
    <main first="rtdsrv.dff54f4b11dd4e0d9cb19000fb943d8c">
      <tp>
        <v>0.16</v>
        <stp/>
        <stp>Market</stp>
        <stp>INDEX</stp>
        <stp>N225</stp>
        <stp>前日比率</stp>
        <tr r="H2" s="1"/>
      </tp>
    </main>
    <main first="rtdsrv.dff54f4b11dd4e0d9cb19000fb943d8c">
      <tp>
        <v>27369</v>
        <stp/>
        <stp>Market</stp>
        <stp>INDEX</stp>
        <stp>GOLD.FUT06.OS</stp>
        <stp>高値</stp>
        <tr r="L108" s="1"/>
      </tp>
    </main>
    <main first="rtdsrv.dff54f4b11dd4e0d9cb19000fb943d8c">
      <tp>
        <v>0</v>
        <stp/>
        <stp>Market</stp>
        <stp>INDEX</stp>
        <stp>PLATINUMMINI.FUT02.OS</stp>
        <stp>高値</stp>
        <tr r="L123" s="1"/>
      </tp>
      <tp>
        <v>0</v>
        <stp/>
        <stp>Market</stp>
        <stp>INDEX</stp>
        <stp>CORN.FUT06.OS</stp>
        <stp>高値</stp>
        <tr r="L182" s="1"/>
      </tp>
      <tp>
        <v>8056.1</v>
        <stp/>
        <stp>Market</stp>
        <stp>INDEX</stp>
        <stp>HXC</stp>
        <stp>年初来高値</stp>
        <tr r="V55" s="1"/>
      </tp>
      <tp>
        <v>20893.02</v>
        <stp/>
        <stp>Market</stp>
        <stp>INDEX</stp>
        <stp>HXC</stp>
        <stp>上場来高値</stp>
        <tr r="X55" s="1"/>
      </tp>
    </main>
    <main first="rtdsrv.dff54f4b11dd4e0d9cb19000fb943d8c">
      <tp>
        <v>0</v>
        <stp/>
        <stp>Market</stp>
        <stp>INDEX</stp>
        <stp>TSR20.FUT10.OS</stp>
        <stp>高値</stp>
        <tr r="L162" s="1"/>
      </tp>
    </main>
    <main first="rtdsrv.dff54f4b11dd4e0d9cb19000fb943d8c">
      <tp t="s">
        <v/>
        <stp/>
        <stp>Market</stp>
        <stp>INDEX</stp>
        <stp>RSS3.FUT12.OS</stp>
        <stp>更新時刻</stp>
        <tr r="D152" s="1"/>
      </tp>
      <tp t="s">
        <v/>
        <stp/>
        <stp>Market</stp>
        <stp>INDEX</stp>
        <stp>RSS3.FUT10.OS</stp>
        <stp>更新時刻</stp>
        <tr r="D150" s="1"/>
      </tp>
      <tp t="s">
        <v/>
        <stp/>
        <stp>Market</stp>
        <stp>INDEX</stp>
        <stp>RSS3.FUT11.OS</stp>
        <stp>更新時刻</stp>
        <tr r="D151" s="1"/>
      </tp>
      <tp t="s">
        <v/>
        <stp/>
        <stp>Market</stp>
        <stp>INDEX</stp>
        <stp>RSS3.FUT08.OS</stp>
        <stp>更新時刻</stp>
        <tr r="D148" s="1"/>
      </tp>
      <tp t="s">
        <v/>
        <stp/>
        <stp>Market</stp>
        <stp>INDEX</stp>
        <stp>RSS3.FUT09.OS</stp>
        <stp>更新時刻</stp>
        <tr r="D149" s="1"/>
      </tp>
      <tp t="s">
        <v/>
        <stp/>
        <stp>Market</stp>
        <stp>INDEX</stp>
        <stp>RSS3.FUT02.OS</stp>
        <stp>更新時刻</stp>
        <tr r="D142" s="1"/>
      </tp>
      <tp t="s">
        <v/>
        <stp/>
        <stp>Market</stp>
        <stp>INDEX</stp>
        <stp>RSS3.FUT03.OS</stp>
        <stp>更新時刻</stp>
        <tr r="D143" s="1"/>
      </tp>
      <tp t="s">
        <v/>
        <stp/>
        <stp>Market</stp>
        <stp>INDEX</stp>
        <stp>RSS3.FUT01.OS</stp>
        <stp>更新時刻</stp>
        <tr r="D141" s="1"/>
      </tp>
      <tp t="s">
        <v/>
        <stp/>
        <stp>Market</stp>
        <stp>INDEX</stp>
        <stp>RSS3.FUT06.OS</stp>
        <stp>更新時刻</stp>
        <tr r="D146" s="1"/>
      </tp>
      <tp t="s">
        <v/>
        <stp/>
        <stp>Market</stp>
        <stp>INDEX</stp>
        <stp>RSS3.FUT07.OS</stp>
        <stp>更新時刻</stp>
        <tr r="D147" s="1"/>
      </tp>
      <tp t="s">
        <v/>
        <stp/>
        <stp>Market</stp>
        <stp>INDEX</stp>
        <stp>RSS3.FUT04.OS</stp>
        <stp>更新時刻</stp>
        <tr r="D144" s="1"/>
      </tp>
      <tp t="s">
        <v/>
        <stp/>
        <stp>Market</stp>
        <stp>INDEX</stp>
        <stp>RSS3.FUT05.OS</stp>
        <stp>更新時刻</stp>
        <tr r="D145" s="1"/>
      </tp>
    </main>
    <main first="rtdsrv.dff54f4b11dd4e0d9cb19000fb943d8c">
      <tp>
        <v>27147</v>
        <stp/>
        <stp>Market</stp>
        <stp>INDEX</stp>
        <stp>GOLD.FUT05.OS</stp>
        <stp>高値</stp>
        <tr r="L107" s="1"/>
      </tp>
    </main>
    <main first="rtdsrv.dff54f4b11dd4e0d9cb19000fb943d8c">
      <tp>
        <v>0</v>
        <stp/>
        <stp>Market</stp>
        <stp>INDEX</stp>
        <stp>PLATINUMMINI.FUT01.OS</stp>
        <stp>高値</stp>
        <tr r="L122" s="1"/>
      </tp>
    </main>
    <main first="rtdsrv.dff54f4b11dd4e0d9cb19000fb943d8c">
      <tp>
        <v>0</v>
        <stp/>
        <stp>Market</stp>
        <stp>INDEX</stp>
        <stp>CORN.FUT05.OS</stp>
        <stp>高値</stp>
        <tr r="L181" s="1"/>
      </tp>
      <tp>
        <v>0</v>
        <stp/>
        <stp>Market</stp>
        <stp>INDEX</stp>
        <stp>TOPX.FUT05.OS</stp>
        <stp>高値</stp>
        <tr r="L90" s="1"/>
      </tp>
    </main>
    <main first="rtdsrv.dff54f4b11dd4e0d9cb19000fb943d8c">
      <tp>
        <v>0</v>
        <stp/>
        <stp>Market</stp>
        <stp>INDEX</stp>
        <stp>TSR20.FUT03.OS</stp>
        <stp>高値</stp>
        <tr r="L155" s="1"/>
      </tp>
    </main>
    <main first="rtdsrv.dff54f4b11dd4e0d9cb19000fb943d8c">
      <tp>
        <v>180853</v>
        <stp/>
        <stp>Market</stp>
        <stp>INDEX</stp>
        <stp>TSGM</stp>
        <stp>売買代金</stp>
        <tr r="R8" s="1"/>
      </tp>
    </main>
    <main first="rtdsrv.dff54f4b11dd4e0d9cb19000fb943d8c">
      <tp>
        <v>0.66</v>
        <stp/>
        <stp>Market</stp>
        <stp>INDEX</stp>
        <stp>N500</stp>
        <stp>前日比率</stp>
        <tr r="H9" s="1"/>
      </tp>
      <tp>
        <v>1.36</v>
        <stp/>
        <stp>Market</stp>
        <stp>INDEX</stp>
        <stp>N300</stp>
        <stp>前日比率</stp>
        <tr r="H3" s="1"/>
      </tp>
    </main>
    <main first="rtdsrv.dff54f4b11dd4e0d9cb19000fb943d8c">
      <tp>
        <v>26900</v>
        <stp/>
        <stp>Market</stp>
        <stp>INDEX</stp>
        <stp>GOLD.FUT04.OS</stp>
        <stp>高値</stp>
        <tr r="L106" s="1"/>
      </tp>
    </main>
    <main first="rtdsrv.dff54f4b11dd4e0d9cb19000fb943d8c">
      <tp>
        <v>0</v>
        <stp/>
        <stp>Market</stp>
        <stp>INDEX</stp>
        <stp>CORN.FUT04.OS</stp>
        <stp>高値</stp>
        <tr r="L180" s="1"/>
      </tp>
    </main>
    <main first="rtdsrv.dff54f4b11dd4e0d9cb19000fb943d8c">
      <tp>
        <v>0</v>
        <stp/>
        <stp>Market</stp>
        <stp>INDEX</stp>
        <stp>TOPX.FUT04.OS</stp>
        <stp>高値</stp>
        <tr r="L89" s="1"/>
      </tp>
      <tp>
        <v>0</v>
        <stp/>
        <stp>Market</stp>
        <stp>INDEX</stp>
        <stp>TSR20.FUT02.OS</stp>
        <stp>高値</stp>
        <tr r="L154" s="1"/>
      </tp>
      <tp>
        <v>0</v>
        <stp/>
        <stp>Market</stp>
        <stp>INDEX</stp>
        <stp>TSR20.FUT12.OS</stp>
        <stp>高値</stp>
        <tr r="L164" s="1"/>
      </tp>
      <tp t="s">
        <v/>
        <stp/>
        <stp>Market</stp>
        <stp>INDEX</stp>
        <stp>N225.FUT03.OS</stp>
        <stp>更新時刻</stp>
        <tr r="D74" s="1"/>
      </tp>
      <tp t="s">
        <v/>
        <stp/>
        <stp>Market</stp>
        <stp>INDEX</stp>
        <stp>N225.FUT02.OS</stp>
        <stp>更新時刻</stp>
        <tr r="D73" s="1"/>
      </tp>
      <tp t="s">
        <v/>
        <stp/>
        <stp>Market</stp>
        <stp>INDEX</stp>
        <stp>N225.FUT01.OS</stp>
        <stp>更新時刻</stp>
        <tr r="D72" s="1"/>
      </tp>
      <tp t="s">
        <v/>
        <stp/>
        <stp>Market</stp>
        <stp>INDEX</stp>
        <stp>N225.FUT05.OS</stp>
        <stp>更新時刻</stp>
        <tr r="D76" s="1"/>
      </tp>
      <tp t="s">
        <v/>
        <stp/>
        <stp>Market</stp>
        <stp>INDEX</stp>
        <stp>N225.FUT04.OS</stp>
        <stp>更新時刻</stp>
        <tr r="D75" s="1"/>
      </tp>
    </main>
    <main first="rtdsrv.dff54f4b11dd4e0d9cb19000fb943d8c">
      <tp>
        <v>26600</v>
        <stp/>
        <stp>Market</stp>
        <stp>INDEX</stp>
        <stp>GOLD.FUT03.OS</stp>
        <stp>高値</stp>
        <tr r="L105" s="1"/>
      </tp>
    </main>
    <main first="rtdsrv.dff54f4b11dd4e0d9cb19000fb943d8c">
      <tp t="s">
        <v>-</v>
        <stp/>
        <stp>Market</stp>
        <stp>INDEX</stp>
        <stp>CPQ</stp>
        <stp>出来高</stp>
        <tr r="Q60" s="1"/>
      </tp>
    </main>
    <main first="rtdsrv.dff54f4b11dd4e0d9cb19000fb943d8c">
      <tp>
        <v>0</v>
        <stp/>
        <stp>Market</stp>
        <stp>INDEX</stp>
        <stp>CORN.FUT03.OS</stp>
        <stp>高値</stp>
        <tr r="L179" s="1"/>
      </tp>
      <tp>
        <v>0</v>
        <stp/>
        <stp>Market</stp>
        <stp>INDEX</stp>
        <stp>TOPX.FUT03.OS</stp>
        <stp>高値</stp>
        <tr r="L88" s="1"/>
      </tp>
      <tp>
        <v>7649.15</v>
        <stp/>
        <stp>Market</stp>
        <stp>INDEX</stp>
        <stp>IXF</stp>
        <stp>年初来高値</stp>
        <tr r="V46" s="1"/>
      </tp>
      <tp>
        <v>7747.22</v>
        <stp/>
        <stp>Market</stp>
        <stp>INDEX</stp>
        <stp>IXF</stp>
        <stp>上場来高値</stp>
        <tr r="X46" s="1"/>
      </tp>
    </main>
    <main first="rtdsrv.dff54f4b11dd4e0d9cb19000fb943d8c">
      <tp>
        <v>0</v>
        <stp/>
        <stp>Market</stp>
        <stp>INDEX</stp>
        <stp>TSR20.FUT05.OS</stp>
        <stp>高値</stp>
        <tr r="L157" s="1"/>
      </tp>
    </main>
    <main first="rtdsrv.dff54f4b11dd4e0d9cb19000fb943d8c">
      <tp t="s">
        <v>-</v>
        <stp/>
        <stp>Market</stp>
        <stp>INDEX</stp>
        <stp>TRAN</stp>
        <stp>売買代金</stp>
        <tr r="R43" s="1"/>
      </tp>
    </main>
    <main first="rtdsrv.dff54f4b11dd4e0d9cb19000fb943d8c">
      <tp>
        <v>0</v>
        <stp/>
        <stp>Market</stp>
        <stp>INDEX</stp>
        <stp>PALLADIUM.FUT04.OS</stp>
        <stp>前日終値</stp>
        <tr r="I138" s="1"/>
      </tp>
      <tp>
        <v>0</v>
        <stp/>
        <stp>Market</stp>
        <stp>INDEX</stp>
        <stp>PALLADIUM.FUT05.OS</stp>
        <stp>前日終値</stp>
        <tr r="I139" s="1"/>
      </tp>
      <tp>
        <v>0</v>
        <stp/>
        <stp>Market</stp>
        <stp>INDEX</stp>
        <stp>PALLADIUM.FUT06.OS</stp>
        <stp>前日終値</stp>
        <tr r="I140" s="1"/>
      </tp>
      <tp>
        <v>0</v>
        <stp/>
        <stp>Market</stp>
        <stp>INDEX</stp>
        <stp>PALLADIUM.FUT01.OS</stp>
        <stp>前日終値</stp>
        <tr r="I135" s="1"/>
      </tp>
      <tp>
        <v>0</v>
        <stp/>
        <stp>Market</stp>
        <stp>INDEX</stp>
        <stp>PALLADIUM.FUT02.OS</stp>
        <stp>前日終値</stp>
        <tr r="I136" s="1"/>
      </tp>
      <tp>
        <v>0</v>
        <stp/>
        <stp>Market</stp>
        <stp>INDEX</stp>
        <stp>PALLADIUM.FUT03.OS</stp>
        <stp>前日終値</stp>
        <tr r="I137" s="1"/>
      </tp>
    </main>
    <main first="rtdsrv.dff54f4b11dd4e0d9cb19000fb943d8c">
      <tp>
        <v>26467</v>
        <stp/>
        <stp>Market</stp>
        <stp>INDEX</stp>
        <stp>GOLD.FUT02.OS</stp>
        <stp>高値</stp>
        <tr r="L104" s="1"/>
      </tp>
    </main>
    <main first="rtdsrv.dff54f4b11dd4e0d9cb19000fb943d8c">
      <tp>
        <v>11800</v>
        <stp/>
        <stp>Market</stp>
        <stp>INDEX</stp>
        <stp>PLATINUMMINI.FUT06.OS</stp>
        <stp>高値</stp>
        <tr r="L127" s="1"/>
      </tp>
      <tp>
        <v>0</v>
        <stp/>
        <stp>Market</stp>
        <stp>INDEX</stp>
        <stp>CORN.FUT02.OS</stp>
        <stp>高値</stp>
        <tr r="L178" s="1"/>
      </tp>
    </main>
    <main first="rtdsrv.dff54f4b11dd4e0d9cb19000fb943d8c">
      <tp>
        <v>3943</v>
        <stp/>
        <stp>Market</stp>
        <stp>INDEX</stp>
        <stp>TOPX.FUT02.OS</stp>
        <stp>高値</stp>
        <tr r="L87" s="1"/>
      </tp>
      <tp>
        <v>0</v>
        <stp/>
        <stp>Market</stp>
        <stp>INDEX</stp>
        <stp>TSR20.FUT04.OS</stp>
        <stp>高値</stp>
        <tr r="L156" s="1"/>
      </tp>
    </main>
    <main first="rtdsrv.dff54f4b11dd4e0d9cb19000fb943d8c">
      <tp>
        <v>49253.57</v>
        <stp/>
        <stp>Market</stp>
        <stp>INDEX</stp>
        <stp>DJIA</stp>
        <stp>高値</stp>
        <tr r="L20" s="1"/>
      </tp>
      <tp>
        <v>26435</v>
        <stp/>
        <stp>Market</stp>
        <stp>INDEX</stp>
        <stp>GOLD.FUT01.OS</stp>
        <stp>高値</stp>
        <tr r="L103" s="1"/>
      </tp>
      <tp>
        <v>11770</v>
        <stp/>
        <stp>Market</stp>
        <stp>INDEX</stp>
        <stp>PLATINUMMINI.FUT05.OS</stp>
        <stp>高値</stp>
        <tr r="L126" s="1"/>
      </tp>
      <tp>
        <v>0</v>
        <stp/>
        <stp>Market</stp>
        <stp>INDEX</stp>
        <stp>CORN.FUT01.OS</stp>
        <stp>高値</stp>
        <tr r="L177" s="1"/>
      </tp>
      <tp>
        <v>3969.5</v>
        <stp/>
        <stp>Market</stp>
        <stp>INDEX</stp>
        <stp>TOPX.FUT01.OS</stp>
        <stp>高値</stp>
        <tr r="L86" s="1"/>
      </tp>
    </main>
    <main first="rtdsrv.dff54f4b11dd4e0d9cb19000fb943d8c">
      <tp>
        <v>0</v>
        <stp/>
        <stp>Market</stp>
        <stp>INDEX</stp>
        <stp>TSR20.FUT07.OS</stp>
        <stp>高値</stp>
        <tr r="L159" s="1"/>
      </tp>
      <tp t="s">
        <v>-</v>
        <stp/>
        <stp>Market</stp>
        <stp>INDEX</stp>
        <stp>IXCO</stp>
        <stp>売買代金</stp>
        <tr r="R45" s="1"/>
      </tp>
    </main>
    <main first="rtdsrv.dff54f4b11dd4e0d9cb19000fb943d8c">
      <tp t="s">
        <v>-</v>
        <stp/>
        <stp>Market</stp>
        <stp>INDEX</stp>
        <stp>IXF</stp>
        <stp>売買代金</stp>
        <tr r="R46" s="1"/>
      </tp>
      <tp t="s">
        <v>-</v>
        <stp/>
        <stp>Market</stp>
        <stp>INDEX</stp>
        <stp>HXC</stp>
        <stp>売買代金</stp>
        <tr r="R55" s="1"/>
      </tp>
    </main>
    <main first="rtdsrv.dff54f4b11dd4e0d9cb19000fb943d8c">
      <tp>
        <v>3017.06</v>
        <stp/>
        <stp>Market</stp>
        <stp>INDEX</stp>
        <stp>NQCYBR</stp>
        <stp>現在値</stp>
        <tr r="E59" s="1"/>
      </tp>
    </main>
    <main first="rtdsrv.dff54f4b11dd4e0d9cb19000fb943d8c">
      <tp t="s">
        <v/>
        <stp/>
        <stp>Market</stp>
        <stp>INDEX</stp>
        <stp>GOLDMINI.FUT01.OS</stp>
        <stp>前年最高値</stp>
        <tr r="S109" s="1"/>
      </tp>
      <tp t="s">
        <v/>
        <stp/>
        <stp>Market</stp>
        <stp>INDEX</stp>
        <stp>GOLDMINI.FUT03.OS</stp>
        <stp>前年最高値</stp>
        <tr r="S111" s="1"/>
      </tp>
      <tp t="s">
        <v/>
        <stp/>
        <stp>Market</stp>
        <stp>INDEX</stp>
        <stp>GOLDMINI.FUT02.OS</stp>
        <stp>前年最高値</stp>
        <tr r="S110" s="1"/>
      </tp>
      <tp t="s">
        <v/>
        <stp/>
        <stp>Market</stp>
        <stp>INDEX</stp>
        <stp>GOLDMINI.FUT05.OS</stp>
        <stp>前年最高値</stp>
        <tr r="S113" s="1"/>
      </tp>
      <tp t="s">
        <v/>
        <stp/>
        <stp>Market</stp>
        <stp>INDEX</stp>
        <stp>GOLDMINI.FUT04.OS</stp>
        <stp>前年最高値</stp>
        <tr r="S112" s="1"/>
      </tp>
      <tp t="s">
        <v/>
        <stp/>
        <stp>Market</stp>
        <stp>INDEX</stp>
        <stp>GOLDMINI.FUT06.OS</stp>
        <stp>前年最高値</stp>
        <tr r="S114" s="1"/>
      </tp>
    </main>
    <main first="rtdsrv.dff54f4b11dd4e0d9cb19000fb943d8c">
      <tp>
        <v>0</v>
        <stp/>
        <stp>Market</stp>
        <stp>INDEX</stp>
        <stp>PLATINUMMINI.FUT04.OS</stp>
        <stp>高値</stp>
        <tr r="L125" s="1"/>
      </tp>
    </main>
    <main first="rtdsrv.dff54f4b11dd4e0d9cb19000fb943d8c">
      <tp>
        <v>0</v>
        <stp/>
        <stp>Market</stp>
        <stp>INDEX</stp>
        <stp>TSR20.FUT06.OS</stp>
        <stp>高値</stp>
        <tr r="L158" s="1"/>
      </tp>
      <tp t="s">
        <v>-</v>
        <stp/>
        <stp>Market</stp>
        <stp>INDEX</stp>
        <stp>VOLQ</stp>
        <stp>売買代金</stp>
        <tr r="R64" s="1"/>
      </tp>
    </main>
    <main first="rtdsrv.dff54f4b11dd4e0d9cb19000fb943d8c">
      <tp>
        <v>23988.264999999999</v>
        <stp/>
        <stp>Market</stp>
        <stp>INDEX</stp>
        <stp>NQ</stp>
        <stp>年初来高値</stp>
        <tr r="V21" s="1"/>
      </tp>
      <tp>
        <v>0</v>
        <stp/>
        <stp>Market</stp>
        <stp>INDEX</stp>
        <stp>N300</stp>
        <stp>出来高</stp>
        <tr r="Q3" s="1"/>
      </tp>
      <tp>
        <v>24019.992999999999</v>
        <stp/>
        <stp>Market</stp>
        <stp>INDEX</stp>
        <stp>NQ</stp>
        <stp>上場来高値</stp>
        <tr r="X21" s="1"/>
      </tp>
    </main>
    <main first="rtdsrv.dff54f4b11dd4e0d9cb19000fb943d8c">
      <tp t="s">
        <v>-</v>
        <stp/>
        <stp>Market</stp>
        <stp>INDEX</stp>
        <stp>OSX</stp>
        <stp>出来高</stp>
        <tr r="Q53" s="1"/>
      </tp>
    </main>
    <main first="rtdsrv.dff54f4b11dd4e0d9cb19000fb943d8c">
      <tp>
        <v>0</v>
        <stp/>
        <stp>Market</stp>
        <stp>INDEX</stp>
        <stp>RSS3.FUT11.OS</stp>
        <stp>出来高</stp>
        <tr r="Q151" s="1"/>
      </tp>
      <tp>
        <v>0</v>
        <stp/>
        <stp>Market</stp>
        <stp>INDEX</stp>
        <stp>RSS3.FUT10.OS</stp>
        <stp>出来高</stp>
        <tr r="Q150" s="1"/>
      </tp>
      <tp>
        <v>0</v>
        <stp/>
        <stp>Market</stp>
        <stp>INDEX</stp>
        <stp>RSS3.FUT12.OS</stp>
        <stp>出来高</stp>
        <tr r="Q152" s="1"/>
      </tp>
      <tp>
        <v>0</v>
        <stp/>
        <stp>Market</stp>
        <stp>INDEX</stp>
        <stp>RSS3.FUT01.OS</stp>
        <stp>出来高</stp>
        <tr r="Q141" s="1"/>
      </tp>
      <tp>
        <v>0</v>
        <stp/>
        <stp>Market</stp>
        <stp>INDEX</stp>
        <stp>RSS3.FUT03.OS</stp>
        <stp>出来高</stp>
        <tr r="Q143" s="1"/>
      </tp>
      <tp>
        <v>0</v>
        <stp/>
        <stp>Market</stp>
        <stp>INDEX</stp>
        <stp>RSS3.FUT02.OS</stp>
        <stp>出来高</stp>
        <tr r="Q142" s="1"/>
      </tp>
      <tp>
        <v>30</v>
        <stp/>
        <stp>Market</stp>
        <stp>INDEX</stp>
        <stp>RSS3.FUT05.OS</stp>
        <stp>出来高</stp>
        <tr r="Q145" s="1"/>
      </tp>
      <tp>
        <v>3</v>
        <stp/>
        <stp>Market</stp>
        <stp>INDEX</stp>
        <stp>RSS3.FUT04.OS</stp>
        <stp>出来高</stp>
        <tr r="Q144" s="1"/>
      </tp>
      <tp>
        <v>0</v>
        <stp/>
        <stp>Market</stp>
        <stp>INDEX</stp>
        <stp>RSS3.FUT07.OS</stp>
        <stp>出来高</stp>
        <tr r="Q147" s="1"/>
      </tp>
      <tp>
        <v>73</v>
        <stp/>
        <stp>Market</stp>
        <stp>INDEX</stp>
        <stp>RSS3.FUT06.OS</stp>
        <stp>出来高</stp>
        <tr r="Q146" s="1"/>
      </tp>
      <tp>
        <v>0</v>
        <stp/>
        <stp>Market</stp>
        <stp>INDEX</stp>
        <stp>RSS3.FUT09.OS</stp>
        <stp>出来高</stp>
        <tr r="Q149" s="1"/>
      </tp>
      <tp>
        <v>0</v>
        <stp/>
        <stp>Market</stp>
        <stp>INDEX</stp>
        <stp>RSS3.FUT08.OS</stp>
        <stp>出来高</stp>
        <tr r="Q148" s="1"/>
      </tp>
      <tp>
        <v>0</v>
        <stp/>
        <stp>Market</stp>
        <stp>INDEX</stp>
        <stp>TSR20.FUT09.OS</stp>
        <stp>高値</stp>
        <tr r="L161" s="1"/>
      </tp>
    </main>
    <main first="rtdsrv.dff54f4b11dd4e0d9cb19000fb943d8c">
      <tp>
        <v>0</v>
        <stp/>
        <stp>Market</stp>
        <stp>INDEX</stp>
        <stp>NVI</stp>
        <stp>売買代金</stp>
        <tr r="R14" s="1"/>
      </tp>
    </main>
    <main first="rtdsrv.dff54f4b11dd4e0d9cb19000fb943d8c">
      <tp>
        <v>0</v>
        <stp/>
        <stp>Market</stp>
        <stp>INDEX</stp>
        <stp>CORN.FUT05.OS</stp>
        <stp>出来高</stp>
        <tr r="Q181" s="1"/>
      </tp>
      <tp>
        <v>0</v>
        <stp/>
        <stp>Market</stp>
        <stp>INDEX</stp>
        <stp>CORN.FUT04.OS</stp>
        <stp>出来高</stp>
        <tr r="Q180" s="1"/>
      </tp>
      <tp>
        <v>0</v>
        <stp/>
        <stp>Market</stp>
        <stp>INDEX</stp>
        <stp>CORN.FUT06.OS</stp>
        <stp>出来高</stp>
        <tr r="Q182" s="1"/>
      </tp>
      <tp>
        <v>0</v>
        <stp/>
        <stp>Market</stp>
        <stp>INDEX</stp>
        <stp>CORN.FUT01.OS</stp>
        <stp>出来高</stp>
        <tr r="Q177" s="1"/>
      </tp>
      <tp>
        <v>0</v>
        <stp/>
        <stp>Market</stp>
        <stp>INDEX</stp>
        <stp>CORN.FUT03.OS</stp>
        <stp>出来高</stp>
        <tr r="Q179" s="1"/>
      </tp>
      <tp>
        <v>0</v>
        <stp/>
        <stp>Market</stp>
        <stp>INDEX</stp>
        <stp>CORN.FUT02.OS</stp>
        <stp>出来高</stp>
        <tr r="Q178" s="1"/>
      </tp>
    </main>
    <main first="rtdsrv.dff54f4b11dd4e0d9cb19000fb943d8c">
      <tp>
        <v>0</v>
        <stp/>
        <stp>Market</stp>
        <stp>INDEX</stp>
        <stp>N225</stp>
        <stp>出来高</stp>
        <tr r="Q2" s="1"/>
      </tp>
    </main>
    <main first="rtdsrv.dff54f4b11dd4e0d9cb19000fb943d8c">
      <tp>
        <v>0</v>
        <stp/>
        <stp>Market</stp>
        <stp>INDEX</stp>
        <stp>NVI</stp>
        <stp>出来高</stp>
        <tr r="Q14" s="1"/>
      </tp>
      <tp>
        <v>21</v>
        <stp/>
        <stp>Market</stp>
        <stp>INDEX</stp>
        <stp>GOLD.SPOT.OS</stp>
        <stp>出来高</stp>
        <tr r="Q115" s="1"/>
      </tp>
    </main>
    <main first="rtdsrv.dff54f4b11dd4e0d9cb19000fb943d8c">
      <tp t="s">
        <v>-</v>
        <stp/>
        <stp>Market</stp>
        <stp>INDEX</stp>
        <stp>NBI</stp>
        <stp>出来高</stp>
        <tr r="Q47" s="1"/>
      </tp>
      <tp t="s">
        <v>-</v>
        <stp/>
        <stp>Market</stp>
        <stp>INDEX</stp>
        <stp>NGX</stp>
        <stp>出来高</stp>
        <tr r="Q63" s="1"/>
      </tp>
    </main>
    <main first="rtdsrv.dff54f4b11dd4e0d9cb19000fb943d8c">
      <tp>
        <v>0</v>
        <stp/>
        <stp>Market</stp>
        <stp>INDEX</stp>
        <stp>TSR20.FUT08.OS</stp>
        <stp>高値</stp>
        <tr r="L160" s="1"/>
      </tp>
    </main>
    <main first="rtdsrv.dff54f4b11dd4e0d9cb19000fb943d8c">
      <tp t="s">
        <v>-</v>
        <stp/>
        <stp>Market</stp>
        <stp>INDEX</stp>
        <stp>BANK</stp>
        <stp>売買代金</stp>
        <tr r="R40" s="1"/>
      </tp>
    </main>
    <main first="rtdsrv.dff54f4b11dd4e0d9cb19000fb943d8c">
      <tp>
        <v>0</v>
        <stp/>
        <stp>Market</stp>
        <stp>INDEX</stp>
        <stp>MOT.FUT04.OS</stp>
        <stp>売買代金</stp>
        <tr r="R94" s="1"/>
      </tp>
      <tp>
        <v>0</v>
        <stp/>
        <stp>Market</stp>
        <stp>INDEX</stp>
        <stp>MOT.FUT05.OS</stp>
        <stp>売買代金</stp>
        <tr r="R95" s="1"/>
      </tp>
      <tp>
        <v>750819</v>
        <stp/>
        <stp>Market</stp>
        <stp>INDEX</stp>
        <stp>MOT.FUT01.OS</stp>
        <stp>売買代金</stp>
        <tr r="R91" s="1"/>
      </tp>
      <tp>
        <v>42893</v>
        <stp/>
        <stp>Market</stp>
        <stp>INDEX</stp>
        <stp>MOT.FUT02.OS</stp>
        <stp>売買代金</stp>
        <tr r="R92" s="1"/>
      </tp>
      <tp>
        <v>2234</v>
        <stp/>
        <stp>Market</stp>
        <stp>INDEX</stp>
        <stp>MOT.FUT03.OS</stp>
        <stp>売買代金</stp>
        <tr r="R93" s="1"/>
      </tp>
    </main>
    <main first="rtdsrv.dff54f4b11dd4e0d9cb19000fb943d8c">
      <tp t="s">
        <v>-</v>
        <stp/>
        <stp>Market</stp>
        <stp>INDEX</stp>
        <stp>UTY</stp>
        <stp>売買代金</stp>
        <tr r="R54" s="1"/>
      </tp>
      <tp>
        <v>0</v>
        <stp/>
        <stp>Market</stp>
        <stp>INDEX</stp>
        <stp>TOPX.FUT05.OS</stp>
        <stp>出来高</stp>
        <tr r="Q90" s="1"/>
      </tp>
      <tp>
        <v>0</v>
        <stp/>
        <stp>Market</stp>
        <stp>INDEX</stp>
        <stp>TOPX.FUT04.OS</stp>
        <stp>出来高</stp>
        <tr r="Q89" s="1"/>
      </tp>
      <tp>
        <v>19657</v>
        <stp/>
        <stp>Market</stp>
        <stp>INDEX</stp>
        <stp>TOPX.FUT01.OS</stp>
        <stp>出来高</stp>
        <tr r="Q86" s="1"/>
      </tp>
      <tp>
        <v>0</v>
        <stp/>
        <stp>Market</stp>
        <stp>INDEX</stp>
        <stp>TOPX.FUT03.OS</stp>
        <stp>出来高</stp>
        <tr r="Q88" s="1"/>
      </tp>
      <tp>
        <v>5</v>
        <stp/>
        <stp>Market</stp>
        <stp>INDEX</stp>
        <stp>TOPX.FUT02.OS</stp>
        <stp>出来高</stp>
        <tr r="Q87" s="1"/>
      </tp>
    </main>
    <main first="rtdsrv.dff54f4b11dd4e0d9cb19000fb943d8c">
      <tp>
        <v>15158.53</v>
        <stp/>
        <stp>Market</stp>
        <stp>INDEX</stp>
        <stp>INSR</stp>
        <stp>高値</stp>
        <tr r="L41" s="1"/>
      </tp>
      <tp>
        <v>12507.36</v>
        <stp/>
        <stp>Market</stp>
        <stp>INDEX</stp>
        <stp>INDS</stp>
        <stp>高値</stp>
        <tr r="L39" s="1"/>
      </tp>
    </main>
    <main first="rtdsrv.dff54f4b11dd4e0d9cb19000fb943d8c">
      <tp>
        <v>558.12</v>
        <stp/>
        <stp>Market</stp>
        <stp>INDEX</stp>
        <stp>IXTC</stp>
        <stp>高値</stp>
        <tr r="L44" s="1"/>
      </tp>
      <tp>
        <v>1219.04</v>
        <stp/>
        <stp>Market</stp>
        <stp>INDEX</stp>
        <stp>IXHC</stp>
        <stp>高値</stp>
        <tr r="L48" s="1"/>
      </tp>
      <tp>
        <v>21932.34</v>
        <stp/>
        <stp>Market</stp>
        <stp>INDEX</stp>
        <stp>IXCO</stp>
        <stp>高値</stp>
        <tr r="L45" s="1"/>
      </tp>
      <tp>
        <v>28056.1</v>
        <stp/>
        <stp>Market</stp>
        <stp>INDEX</stp>
        <stp>HSI</stp>
        <stp>年初来高値</stp>
        <tr r="V65" s="1"/>
      </tp>
      <tp>
        <v>40.11</v>
        <stp/>
        <stp>Market</stp>
        <stp>INDEX</stp>
        <stp>NVI</stp>
        <stp>年初来高値</stp>
        <tr r="V14" s="1"/>
      </tp>
      <tp>
        <v>6131.65</v>
        <stp/>
        <stp>Market</stp>
        <stp>INDEX</stp>
        <stp>NBI</stp>
        <stp>年初来高値</stp>
        <tr r="V47" s="1"/>
      </tp>
      <tp>
        <v>85.38</v>
        <stp/>
        <stp>Market</stp>
        <stp>INDEX</stp>
        <stp>NVI</stp>
        <stp>上場来高値</stp>
        <tr r="X14" s="1"/>
      </tp>
      <tp>
        <v>6131.65</v>
        <stp/>
        <stp>Market</stp>
        <stp>INDEX</stp>
        <stp>NBI</stp>
        <stp>上場来高値</stp>
        <tr r="X47" s="1"/>
      </tp>
      <tp>
        <v>33484.080000000002</v>
        <stp/>
        <stp>Market</stp>
        <stp>INDEX</stp>
        <stp>HSI</stp>
        <stp>上場来高値</stp>
        <tr r="X65" s="1"/>
      </tp>
      <tp t="s">
        <v>-</v>
        <stp/>
        <stp>Market</stp>
        <stp>INDEX</stp>
        <stp>IXHC</stp>
        <stp>売買代金</stp>
        <tr r="R48" s="1"/>
      </tp>
      <tp t="s">
        <v/>
        <stp/>
        <stp>Market</stp>
        <stp>INDEX</stp>
        <stp>N225U.FUT01.OS</stp>
        <stp>更新時刻</stp>
        <tr r="D82" s="1"/>
      </tp>
      <tp t="s">
        <v/>
        <stp/>
        <stp>Market</stp>
        <stp>INDEX</stp>
        <stp>N225U.FUT02.OS</stp>
        <stp>更新時刻</stp>
        <tr r="D83" s="1"/>
      </tp>
      <tp t="s">
        <v/>
        <stp/>
        <stp>Market</stp>
        <stp>INDEX</stp>
        <stp>N225U.FUT03.OS</stp>
        <stp>更新時刻</stp>
        <tr r="D84" s="1"/>
      </tp>
      <tp t="s">
        <v/>
        <stp/>
        <stp>Market</stp>
        <stp>INDEX</stp>
        <stp>N225U.FUT04.OS</stp>
        <stp>更新時刻</stp>
        <tr r="D85" s="1"/>
      </tp>
      <tp>
        <v>154916</v>
        <stp/>
        <stp>Market</stp>
        <stp>INDEX</stp>
        <stp>MTHR</stp>
        <stp>売買代金</stp>
        <tr r="R13" s="1"/>
      </tp>
      <tp>
        <v>22878.383000000002</v>
        <stp/>
        <stp>Market</stp>
        <stp>INDEX</stp>
        <stp>NQ</stp>
        <stp>前日終値</stp>
        <tr r="I21" s="1"/>
      </tp>
      <tp t="s">
        <v>-</v>
        <stp/>
        <stp>Market</stp>
        <stp>INDEX</stp>
        <stp>HSI</stp>
        <stp>売買代金</stp>
        <tr r="R65" s="1"/>
      </tp>
      <tp t="s">
        <v>-</v>
        <stp/>
        <stp>Market</stp>
        <stp>INDEX</stp>
        <stp>OSX</stp>
        <stp>売買代金</stp>
        <tr r="R53" s="1"/>
      </tp>
    </main>
    <main first="rtdsrv.dff54f4b11dd4e0d9cb19000fb943d8c">
      <tp>
        <v>12306.99</v>
        <stp/>
        <stp>Market</stp>
        <stp>INDEX</stp>
        <stp>NDXT</stp>
        <stp>高値</stp>
        <tr r="L49" s="1"/>
      </tp>
      <tp>
        <v>4367.1400000000003</v>
        <stp/>
        <stp>Market</stp>
        <stp>INDEX</stp>
        <stp>N500</stp>
        <stp>高値</stp>
        <tr r="L9" s="1"/>
      </tp>
      <tp>
        <v>58924.17</v>
        <stp/>
        <stp>Market</stp>
        <stp>INDEX</stp>
        <stp>N225</stp>
        <stp>高値</stp>
        <tr r="L2" s="1"/>
      </tp>
      <tp>
        <v>834.66</v>
        <stp/>
        <stp>Market</stp>
        <stp>INDEX</stp>
        <stp>N300</stp>
        <stp>高値</stp>
        <tr r="L3" s="1"/>
      </tp>
      <tp t="s">
        <v>-</v>
        <stp/>
        <stp>Market</stp>
        <stp>INDEX</stp>
        <stp>DJIA</stp>
        <stp>売買代金</stp>
        <tr r="R20" s="1"/>
      </tp>
      <tp t="s">
        <v>-</v>
        <stp/>
        <stp>Market</stp>
        <stp>INDEX</stp>
        <stp>OFIN</stp>
        <stp>売買代金</stp>
        <tr r="R42" s="1"/>
      </tp>
      <tp t="s">
        <v>-</v>
        <stp/>
        <stp>Market</stp>
        <stp>INDEX</stp>
        <stp>VVIX</stp>
        <stp>売買代金</stp>
        <tr r="R26" s="1"/>
      </tp>
    </main>
    <main first="rtdsrv.dff54f4b11dd4e0d9cb19000fb943d8c">
      <tp t="s">
        <v/>
        <stp/>
        <stp>Market</stp>
        <stp>INDEX</stp>
        <stp>FTSECA50</stp>
        <stp>更新時刻</stp>
        <tr r="D102" s="1"/>
      </tp>
    </main>
    <main first="rtdsrv.dff54f4b11dd4e0d9cb19000fb943d8c">
      <tp>
        <v>5240.2299999999996</v>
        <stp/>
        <stp>Market</stp>
        <stp>INDEX</stp>
        <stp>NQUSLT</stp>
        <stp>現在値</stp>
        <tr r="E56" s="1"/>
      </tp>
      <tp>
        <v>3655.1</v>
        <stp/>
        <stp>Market</stp>
        <stp>INDEX</stp>
        <stp>NQUSMT</stp>
        <stp>現在値</stp>
        <tr r="E57" s="1"/>
      </tp>
      <tp t="s">
        <v>-</v>
        <stp/>
        <stp>Market</stp>
        <stp>INDEX</stp>
        <stp>N225.FUT01.C</stp>
        <stp>売買代金</stp>
        <tr r="R183" s="1"/>
      </tp>
      <tp t="s">
        <v>-</v>
        <stp/>
        <stp>Market</stp>
        <stp>INDEX</stp>
        <stp>N225.FUT02.C</stp>
        <stp>売買代金</stp>
        <tr r="R184" s="1"/>
      </tp>
      <tp t="s">
        <v>-</v>
        <stp/>
        <stp>Market</stp>
        <stp>INDEX</stp>
        <stp>N225.FUT01.S</stp>
        <stp>売買代金</stp>
        <tr r="R185" s="1"/>
      </tp>
      <tp t="s">
        <v>-</v>
        <stp/>
        <stp>Market</stp>
        <stp>INDEX</stp>
        <stp>N225.FUT02.S</stp>
        <stp>売買代金</stp>
        <tr r="R186" s="1"/>
      </tp>
      <tp>
        <v>3421.21</v>
        <stp/>
        <stp>Market</stp>
        <stp>INDEX</stp>
        <stp>NQUSST</stp>
        <stp>現在値</stp>
        <tr r="E58" s="1"/>
      </tp>
    </main>
    <main first="rtdsrv.dff54f4b11dd4e0d9cb19000fb943d8c">
      <tp>
        <v>12883.2</v>
        <stp/>
        <stp>Market</stp>
        <stp>INDEX</stp>
        <stp>OFIN</stp>
        <stp>高値</stp>
        <tr r="L42" s="1"/>
      </tp>
      <tp t="s">
        <v>2026/02/26</v>
        <stp/>
        <stp>Market</stp>
        <stp>INDEX</stp>
        <stp>N500</stp>
        <stp>前日日付</stp>
        <tr r="J9" s="1"/>
      </tp>
      <tp t="s">
        <v>2026/02/26</v>
        <stp/>
        <stp>Market</stp>
        <stp>INDEX</stp>
        <stp>N300</stp>
        <stp>前日日付</stp>
        <tr r="J3" s="1"/>
      </tp>
    </main>
    <main first="rtdsrv.dff54f4b11dd4e0d9cb19000fb943d8c">
      <tp t="s">
        <v/>
        <stp/>
        <stp>Market</stp>
        <stp>INDEX</stp>
        <stp>PLATINUM.FUT01.OS</stp>
        <stp>指標コード</stp>
        <tr r="A116" s="1"/>
      </tp>
      <tp t="s">
        <v/>
        <stp/>
        <stp>Market</stp>
        <stp>INDEX</stp>
        <stp>PLATINUM.FUT02.OS</stp>
        <stp>指標コード</stp>
        <tr r="A117" s="1"/>
      </tp>
      <tp t="s">
        <v/>
        <stp/>
        <stp>Market</stp>
        <stp>INDEX</stp>
        <stp>PLATINUM.FUT03.OS</stp>
        <stp>指標コード</stp>
        <tr r="A118" s="1"/>
      </tp>
      <tp t="s">
        <v/>
        <stp/>
        <stp>Market</stp>
        <stp>INDEX</stp>
        <stp>PLATINUM.FUT04.OS</stp>
        <stp>指標コード</stp>
        <tr r="A119" s="1"/>
      </tp>
    </main>
    <main first="rtdsrv.dff54f4b11dd4e0d9cb19000fb943d8c">
      <tp t="s">
        <v/>
        <stp/>
        <stp>Market</stp>
        <stp>INDEX</stp>
        <stp>PLATINUM.FUT05.OS</stp>
        <stp>指標コード</stp>
        <tr r="A120" s="1"/>
      </tp>
      <tp t="s">
        <v/>
        <stp/>
        <stp>Market</stp>
        <stp>INDEX</stp>
        <stp>PLATINUM.FUT06.OS</stp>
        <stp>指標コード</stp>
        <tr r="A121" s="1"/>
      </tp>
    </main>
    <main first="rtdsrv.dff54f4b11dd4e0d9cb19000fb943d8c">
      <tp t="s">
        <v>07:15</v>
        <stp/>
        <stp>Market</stp>
        <stp>INDEX</stp>
        <stp>NQUSLT</stp>
        <stp>更新時刻</stp>
        <tr r="D56" s="1"/>
      </tp>
    </main>
    <main first="rtdsrv.dff54f4b11dd4e0d9cb19000fb943d8c">
      <tp>
        <v>0</v>
        <stp/>
        <stp>Market</stp>
        <stp>INDEX</stp>
        <stp>N500</stp>
        <stp>出来高</stp>
        <tr r="Q9" s="1"/>
      </tp>
      <tp t="s">
        <v>-</v>
        <stp/>
        <stp>Market</stp>
        <stp>INDEX</stp>
        <stp>IXF</stp>
        <stp>出来高</stp>
        <tr r="Q46" s="1"/>
      </tp>
    </main>
    <main first="rtdsrv.dff54f4b11dd4e0d9cb19000fb943d8c">
      <tp>
        <v>15884</v>
        <stp/>
        <stp>Market</stp>
        <stp>INDEX</stp>
        <stp>GOLDMINI.FUT03.OS</stp>
        <stp>売買代金</stp>
        <tr r="R111" s="1"/>
      </tp>
      <tp>
        <v>2635</v>
        <stp/>
        <stp>Market</stp>
        <stp>INDEX</stp>
        <stp>GOLDMINI.FUT02.OS</stp>
        <stp>売買代金</stp>
        <tr r="R110" s="1"/>
      </tp>
      <tp>
        <v>13132</v>
        <stp/>
        <stp>Market</stp>
        <stp>INDEX</stp>
        <stp>GOLDMINI.FUT01.OS</stp>
        <stp>売買代金</stp>
        <tr r="R109" s="1"/>
      </tp>
      <tp>
        <v>17320259</v>
        <stp/>
        <stp>Market</stp>
        <stp>INDEX</stp>
        <stp>GOLDMINI.FUT06.OS</stp>
        <stp>売買代金</stp>
        <tr r="R114" s="1"/>
      </tp>
      <tp>
        <v>2051517</v>
        <stp/>
        <stp>Market</stp>
        <stp>INDEX</stp>
        <stp>GOLDMINI.FUT05.OS</stp>
        <stp>売買代金</stp>
        <tr r="R113" s="1"/>
      </tp>
      <tp>
        <v>122219</v>
        <stp/>
        <stp>Market</stp>
        <stp>INDEX</stp>
        <stp>GOLDMINI.FUT04.OS</stp>
        <stp>売買代金</stp>
        <tr r="R112" s="1"/>
      </tp>
    </main>
    <main first="rtdsrv.dff54f4b11dd4e0d9cb19000fb943d8c">
      <tp t="s">
        <v>-</v>
        <stp/>
        <stp>Market</stp>
        <stp>INDEX</stp>
        <stp>CPQ</stp>
        <stp>売買代金</stp>
        <tr r="R60" s="1"/>
      </tp>
      <tp t="s">
        <v>07:15</v>
        <stp/>
        <stp>Market</stp>
        <stp>INDEX</stp>
        <stp>NQUSMT</stp>
        <stp>更新時刻</stp>
        <tr r="D57" s="1"/>
      </tp>
    </main>
    <main first="rtdsrv.dff54f4b11dd4e0d9cb19000fb943d8c">
      <tp t="s">
        <v>2026/02/26</v>
        <stp/>
        <stp>Market</stp>
        <stp>INDEX</stp>
        <stp>N225</stp>
        <stp>前日日付</stp>
        <tr r="J2" s="1"/>
      </tp>
      <tp t="s">
        <v/>
        <stp/>
        <stp>Market</stp>
        <stp>INDEX</stp>
        <stp>FTSECA50</stp>
        <stp>指標コード</stp>
        <tr r="A102" s="1"/>
      </tp>
      <tp>
        <v>777.7</v>
        <stp/>
        <stp>Market</stp>
        <stp>INDEX</stp>
        <stp>MTHR</stp>
        <stp>高値</stp>
        <tr r="L13" s="1"/>
      </tp>
    </main>
    <main first="rtdsrv.dff54f4b11dd4e0d9cb19000fb943d8c">
      <tp t="s">
        <v>-</v>
        <stp/>
        <stp>Market</stp>
        <stp>INDEX</stp>
        <stp>HXC</stp>
        <stp>出来高</stp>
        <tr r="Q55" s="1"/>
      </tp>
    </main>
    <main first="rtdsrv.dff54f4b11dd4e0d9cb19000fb943d8c">
      <tp t="s">
        <v>-</v>
        <stp/>
        <stp>Market</stp>
        <stp>INDEX</stp>
        <stp>HSI</stp>
        <stp>出来高</stp>
        <tr r="Q65" s="1"/>
      </tp>
      <tp>
        <v>3</v>
        <stp/>
        <stp>Market</stp>
        <stp>INDEX</stp>
        <stp>MOT.FUT03.OS</stp>
        <stp>出来高</stp>
        <tr r="Q93" s="1"/>
      </tp>
      <tp>
        <v>57</v>
        <stp/>
        <stp>Market</stp>
        <stp>INDEX</stp>
        <stp>MOT.FUT02.OS</stp>
        <stp>出来高</stp>
        <tr r="Q92" s="1"/>
      </tp>
      <tp>
        <v>984</v>
        <stp/>
        <stp>Market</stp>
        <stp>INDEX</stp>
        <stp>MOT.FUT01.OS</stp>
        <stp>出来高</stp>
        <tr r="Q91" s="1"/>
      </tp>
      <tp>
        <v>0</v>
        <stp/>
        <stp>Market</stp>
        <stp>INDEX</stp>
        <stp>MOT.FUT05.OS</stp>
        <stp>出来高</stp>
        <tr r="Q95" s="1"/>
      </tp>
      <tp>
        <v>0</v>
        <stp/>
        <stp>Market</stp>
        <stp>INDEX</stp>
        <stp>MOT.FUT04.OS</stp>
        <stp>出来高</stp>
        <tr r="Q94" s="1"/>
      </tp>
    </main>
    <main first="rtdsrv.dff54f4b11dd4e0d9cb19000fb943d8c">
      <tp t="s">
        <v>-</v>
        <stp/>
        <stp>Market</stp>
        <stp>INDEX</stp>
        <stp>HGX</stp>
        <stp>出来高</stp>
        <tr r="Q52" s="1"/>
      </tp>
    </main>
    <main first="rtdsrv.dff54f4b11dd4e0d9cb19000fb943d8c">
      <tp t="s">
        <v>-</v>
        <stp/>
        <stp>Market</stp>
        <stp>INDEX</stp>
        <stp>IXTC</stp>
        <stp>売買代金</stp>
        <tr r="R44" s="1"/>
      </tp>
    </main>
    <main first="rtdsrv.dff54f4b11dd4e0d9cb19000fb943d8c">
      <tp t="s">
        <v>-</v>
        <stp/>
        <stp>Market</stp>
        <stp>INDEX</stp>
        <stp>SOX</stp>
        <stp>売買代金</stp>
        <tr r="R51" s="1"/>
      </tp>
      <tp t="s">
        <v>15:30</v>
        <stp/>
        <stp>Market</stp>
        <stp>INDEX</stp>
        <stp>TSM20</stp>
        <stp>更新時刻</stp>
        <tr r="D11" s="1"/>
      </tp>
    </main>
    <main first="rtdsrv.dff54f4b11dd4e0d9cb19000fb943d8c">
      <tp>
        <v>1792.67</v>
        <stp/>
        <stp>Market</stp>
        <stp>INDEX</stp>
        <stp>NQROBO</stp>
        <stp>現在値</stp>
        <tr r="E61" s="1"/>
      </tp>
      <tp t="s">
        <v>07:15</v>
        <stp/>
        <stp>Market</stp>
        <stp>INDEX</stp>
        <stp>NQUSST</stp>
        <stp>更新時刻</stp>
        <tr r="D58" s="1"/>
      </tp>
    </main>
    <main first="rtdsrv.dff54f4b11dd4e0d9cb19000fb943d8c">
      <tp>
        <v>0</v>
        <stp/>
        <stp>Market</stp>
        <stp>INDEX</stp>
        <stp>TS1EX</stp>
        <stp>出来高</stp>
        <tr r="Q10" s="1"/>
      </tp>
    </main>
    <main first="rtdsrv.dff54f4b11dd4e0d9cb19000fb943d8c">
      <tp>
        <v>963.93</v>
        <stp/>
        <stp>Market</stp>
        <stp>INDEX</stp>
        <stp>SIXU</stp>
        <stp>高値</stp>
        <tr r="L31" s="1"/>
      </tp>
      <tp>
        <v>2813.68</v>
        <stp/>
        <stp>Market</stp>
        <stp>INDEX</stp>
        <stp>SIXT</stp>
        <stp>高値</stp>
        <tr r="L36" s="1"/>
      </tp>
      <tp>
        <v>1616.68</v>
        <stp/>
        <stp>Market</stp>
        <stp>INDEX</stp>
        <stp>SIXV</stp>
        <stp>高値</stp>
        <tr r="L37" s="1"/>
      </tp>
      <tp>
        <v>909.14</v>
        <stp/>
        <stp>Market</stp>
        <stp>INDEX</stp>
        <stp>SIXR</stp>
        <stp>高値</stp>
        <tr r="L35" s="1"/>
      </tp>
      <tp>
        <v>2362.15</v>
        <stp/>
        <stp>Market</stp>
        <stp>INDEX</stp>
        <stp>SIXY</stp>
        <stp>高値</stp>
        <tr r="L32" s="1"/>
      </tp>
      <tp>
        <v>1175.17</v>
        <stp/>
        <stp>Market</stp>
        <stp>INDEX</stp>
        <stp>SIXE</stp>
        <stp>高値</stp>
        <tr r="L28" s="1"/>
      </tp>
      <tp>
        <v>616.83000000000004</v>
        <stp/>
        <stp>Market</stp>
        <stp>INDEX</stp>
        <stp>SIXC</stp>
        <stp>高値</stp>
        <tr r="L33" s="1"/>
      </tp>
      <tp>
        <v>1134.97</v>
        <stp/>
        <stp>Market</stp>
        <stp>INDEX</stp>
        <stp>SIXB</stp>
        <stp>高値</stp>
        <tr r="L27" s="1"/>
      </tp>
      <tp>
        <v>641.99</v>
        <stp/>
        <stp>Market</stp>
        <stp>INDEX</stp>
        <stp>SIXM</stp>
        <stp>高値</stp>
        <tr r="L29" s="1"/>
      </tp>
      <tp>
        <v>1785.12</v>
        <stp/>
        <stp>Market</stp>
        <stp>INDEX</stp>
        <stp>SIXI</stp>
        <stp>高値</stp>
        <tr r="L34" s="1"/>
      </tp>
      <tp t="s">
        <v/>
        <stp/>
        <stp>Market</stp>
        <stp>INDEX</stp>
        <stp>SOYBEAN.FUT01.OS</stp>
        <stp>年初来高値</stp>
        <tr r="V171" s="1"/>
      </tp>
      <tp t="s">
        <v/>
        <stp/>
        <stp>Market</stp>
        <stp>INDEX</stp>
        <stp>REDBEAN.FUT01.OS</stp>
        <stp>年初来高値</stp>
        <tr r="V165" s="1"/>
      </tp>
      <tp t="s">
        <v/>
        <stp/>
        <stp>Market</stp>
        <stp>INDEX</stp>
        <stp>SOYBEAN.FUT03.OS</stp>
        <stp>年初来高値</stp>
        <tr r="V173" s="1"/>
      </tp>
      <tp t="s">
        <v/>
        <stp/>
        <stp>Market</stp>
        <stp>INDEX</stp>
        <stp>REDBEAN.FUT02.OS</stp>
        <stp>年初来高値</stp>
        <tr r="V166" s="1"/>
      </tp>
      <tp t="s">
        <v/>
        <stp/>
        <stp>Market</stp>
        <stp>INDEX</stp>
        <stp>SOYBEAN.FUT02.OS</stp>
        <stp>年初来高値</stp>
        <tr r="V172" s="1"/>
      </tp>
      <tp t="s">
        <v/>
        <stp/>
        <stp>Market</stp>
        <stp>INDEX</stp>
        <stp>REDBEAN.FUT03.OS</stp>
        <stp>年初来高値</stp>
        <tr r="V167" s="1"/>
      </tp>
      <tp t="s">
        <v/>
        <stp/>
        <stp>Market</stp>
        <stp>INDEX</stp>
        <stp>SOYBEAN.FUT05.OS</stp>
        <stp>年初来高値</stp>
        <tr r="V175" s="1"/>
      </tp>
      <tp t="s">
        <v/>
        <stp/>
        <stp>Market</stp>
        <stp>INDEX</stp>
        <stp>REDBEAN.FUT04.OS</stp>
        <stp>年初来高値</stp>
        <tr r="V168" s="1"/>
      </tp>
      <tp t="s">
        <v/>
        <stp/>
        <stp>Market</stp>
        <stp>INDEX</stp>
        <stp>SOYBEAN.FUT04.OS</stp>
        <stp>年初来高値</stp>
        <tr r="V174" s="1"/>
      </tp>
      <tp t="s">
        <v/>
        <stp/>
        <stp>Market</stp>
        <stp>INDEX</stp>
        <stp>REDBEAN.FUT05.OS</stp>
        <stp>年初来高値</stp>
        <tr r="V169" s="1"/>
      </tp>
      <tp t="s">
        <v/>
        <stp/>
        <stp>Market</stp>
        <stp>INDEX</stp>
        <stp>REDBEAN.FUT06.OS</stp>
        <stp>年初来高値</stp>
        <tr r="V170" s="1"/>
      </tp>
      <tp t="s">
        <v/>
        <stp/>
        <stp>Market</stp>
        <stp>INDEX</stp>
        <stp>SOYBEAN.FUT06.OS</stp>
        <stp>年初来高値</stp>
        <tr r="V176" s="1"/>
      </tp>
      <tp t="s">
        <v/>
        <stp/>
        <stp>Market</stp>
        <stp>INDEX</stp>
        <stp>SOYBEAN.FUT01.OS</stp>
        <stp>上場来高値</stp>
        <tr r="X171" s="1"/>
      </tp>
      <tp t="s">
        <v/>
        <stp/>
        <stp>Market</stp>
        <stp>INDEX</stp>
        <stp>REDBEAN.FUT01.OS</stp>
        <stp>上場来高値</stp>
        <tr r="X165" s="1"/>
      </tp>
      <tp t="s">
        <v/>
        <stp/>
        <stp>Market</stp>
        <stp>INDEX</stp>
        <stp>SOYBEAN.FUT03.OS</stp>
        <stp>上場来高値</stp>
        <tr r="X173" s="1"/>
      </tp>
      <tp t="s">
        <v/>
        <stp/>
        <stp>Market</stp>
        <stp>INDEX</stp>
        <stp>REDBEAN.FUT02.OS</stp>
        <stp>上場来高値</stp>
        <tr r="X166" s="1"/>
      </tp>
      <tp t="s">
        <v/>
        <stp/>
        <stp>Market</stp>
        <stp>INDEX</stp>
        <stp>SOYBEAN.FUT02.OS</stp>
        <stp>上場来高値</stp>
        <tr r="X172" s="1"/>
      </tp>
      <tp t="s">
        <v/>
        <stp/>
        <stp>Market</stp>
        <stp>INDEX</stp>
        <stp>REDBEAN.FUT03.OS</stp>
        <stp>上場来高値</stp>
        <tr r="X167" s="1"/>
      </tp>
      <tp t="s">
        <v/>
        <stp/>
        <stp>Market</stp>
        <stp>INDEX</stp>
        <stp>SOYBEAN.FUT05.OS</stp>
        <stp>上場来高値</stp>
        <tr r="X175" s="1"/>
      </tp>
      <tp t="s">
        <v/>
        <stp/>
        <stp>Market</stp>
        <stp>INDEX</stp>
        <stp>REDBEAN.FUT04.OS</stp>
        <stp>上場来高値</stp>
        <tr r="X168" s="1"/>
      </tp>
      <tp>
        <v>4368.6268</v>
        <stp/>
        <stp>Market</stp>
        <stp>INDEX</stp>
        <stp>SSEA</stp>
        <stp>高値</stp>
        <tr r="L69" s="1"/>
      </tp>
      <tp>
        <v>4166.2344000000003</v>
        <stp/>
        <stp>Market</stp>
        <stp>INDEX</stp>
        <stp>SSEC</stp>
        <stp>高値</stp>
        <tr r="L68" s="1"/>
      </tp>
      <tp t="s">
        <v/>
        <stp/>
        <stp>Market</stp>
        <stp>INDEX</stp>
        <stp>SOYBEAN.FUT04.OS</stp>
        <stp>上場来高値</stp>
        <tr r="X174" s="1"/>
      </tp>
      <tp t="s">
        <v/>
        <stp/>
        <stp>Market</stp>
        <stp>INDEX</stp>
        <stp>REDBEAN.FUT05.OS</stp>
        <stp>上場来高値</stp>
        <tr r="X169" s="1"/>
      </tp>
      <tp t="s">
        <v/>
        <stp/>
        <stp>Market</stp>
        <stp>INDEX</stp>
        <stp>REDBEAN.FUT06.OS</stp>
        <stp>上場来高値</stp>
        <tr r="X170" s="1"/>
      </tp>
      <tp t="s">
        <v/>
        <stp/>
        <stp>Market</stp>
        <stp>INDEX</stp>
        <stp>SOYBEAN.FUT06.OS</stp>
        <stp>上場来高値</stp>
        <tr r="X176" s="1"/>
      </tp>
    </main>
    <main first="rtdsrv.dff54f4b11dd4e0d9cb19000fb943d8c">
      <tp t="s">
        <v/>
        <stp/>
        <stp>Market</stp>
        <stp>INDEX</stp>
        <stp>PALLADIUM.FUT05.OS</stp>
        <stp>上場来高値</stp>
        <tr r="X139" s="1"/>
      </tp>
    </main>
    <main first="rtdsrv.dff54f4b11dd4e0d9cb19000fb943d8c">
      <tp t="s">
        <v/>
        <stp/>
        <stp>Market</stp>
        <stp>INDEX</stp>
        <stp>PALLADIUM.FUT04.OS</stp>
        <stp>上場来高値</stp>
        <tr r="X138" s="1"/>
      </tp>
    </main>
    <main first="rtdsrv.dff54f4b11dd4e0d9cb19000fb943d8c">
      <tp t="s">
        <v/>
        <stp/>
        <stp>Market</stp>
        <stp>INDEX</stp>
        <stp>PALLADIUM.FUT06.OS</stp>
        <stp>上場来高値</stp>
        <tr r="X140" s="1"/>
      </tp>
      <tp t="s">
        <v/>
        <stp/>
        <stp>Market</stp>
        <stp>INDEX</stp>
        <stp>PALLADIUM.FUT01.OS</stp>
        <stp>上場来高値</stp>
        <tr r="X135" s="1"/>
      </tp>
    </main>
    <main first="rtdsrv.dff54f4b11dd4e0d9cb19000fb943d8c">
      <tp t="s">
        <v/>
        <stp/>
        <stp>Market</stp>
        <stp>INDEX</stp>
        <stp>PALLADIUM.FUT03.OS</stp>
        <stp>上場来高値</stp>
        <tr r="X137" s="1"/>
      </tp>
    </main>
    <main first="rtdsrv.dff54f4b11dd4e0d9cb19000fb943d8c">
      <tp t="s">
        <v/>
        <stp/>
        <stp>Market</stp>
        <stp>INDEX</stp>
        <stp>PALLADIUM.FUT02.OS</stp>
        <stp>上場来高値</stp>
        <tr r="X136" s="1"/>
      </tp>
    </main>
    <main first="rtdsrv.dff54f4b11dd4e0d9cb19000fb943d8c">
      <tp t="s">
        <v>-</v>
        <stp/>
        <stp>Market</stp>
        <stp>INDEX</stp>
        <stp>VIX</stp>
        <stp>出来高</stp>
        <tr r="Q25" s="1"/>
      </tp>
      <tp t="s">
        <v/>
        <stp/>
        <stp>Market</stp>
        <stp>INDEX</stp>
        <stp>PALLADIUM.FUT05.OS</stp>
        <stp>年初来高値</stp>
        <tr r="V139" s="1"/>
      </tp>
      <tp t="s">
        <v/>
        <stp/>
        <stp>Market</stp>
        <stp>INDEX</stp>
        <stp>PALLADIUM.FUT04.OS</stp>
        <stp>年初来高値</stp>
        <tr r="V138" s="1"/>
      </tp>
      <tp t="s">
        <v/>
        <stp/>
        <stp>Market</stp>
        <stp>INDEX</stp>
        <stp>PALLADIUM.FUT06.OS</stp>
        <stp>年初来高値</stp>
        <tr r="V140" s="1"/>
      </tp>
      <tp t="s">
        <v/>
        <stp/>
        <stp>Market</stp>
        <stp>INDEX</stp>
        <stp>PALLADIUM.FUT01.OS</stp>
        <stp>年初来高値</stp>
        <tr r="V135" s="1"/>
      </tp>
      <tp t="s">
        <v/>
        <stp/>
        <stp>Market</stp>
        <stp>INDEX</stp>
        <stp>PALLADIUM.FUT03.OS</stp>
        <stp>年初来高値</stp>
        <tr r="V137" s="1"/>
      </tp>
      <tp t="s">
        <v/>
        <stp/>
        <stp>Market</stp>
        <stp>INDEX</stp>
        <stp>PALLADIUM.FUT02.OS</stp>
        <stp>年初来高値</stp>
        <tr r="V136" s="1"/>
      </tp>
      <tp t="s">
        <v>-</v>
        <stp/>
        <stp>Market</stp>
        <stp>INDEX</stp>
        <stp>SP100</stp>
        <stp>出来高</stp>
        <tr r="Q23" s="1"/>
      </tp>
      <tp t="s">
        <v>-</v>
        <stp/>
        <stp>Market</stp>
        <stp>INDEX</stp>
        <stp>NQ100</stp>
        <stp>出来高</stp>
        <tr r="Q22" s="1"/>
      </tp>
    </main>
    <main first="rtdsrv.dff54f4b11dd4e0d9cb19000fb943d8c">
      <tp t="s">
        <v>06:41</v>
        <stp/>
        <stp>Market</stp>
        <stp>INDEX</stp>
        <stp>SP500</stp>
        <stp>更新時刻</stp>
        <tr r="D24" s="1"/>
      </tp>
      <tp t="s">
        <v>06:41</v>
        <stp/>
        <stp>Market</stp>
        <stp>INDEX</stp>
        <stp>SP100</stp>
        <stp>更新時刻</stp>
        <tr r="D23" s="1"/>
      </tp>
      <tp t="s">
        <v>15:30</v>
        <stp/>
        <stp>Market</stp>
        <stp>INDEX</stp>
        <stp>JN400</stp>
        <stp>更新時刻</stp>
        <tr r="D5" s="1"/>
      </tp>
      <tp t="s">
        <v>07:15</v>
        <stp/>
        <stp>Market</stp>
        <stp>INDEX</stp>
        <stp>NQ100</stp>
        <stp>更新時刻</stp>
        <tr r="D22" s="1"/>
      </tp>
    </main>
    <main first="rtdsrv.dff54f4b11dd4e0d9cb19000fb943d8c">
      <tp>
        <v>59195</v>
        <stp/>
        <stp>Market</stp>
        <stp>INDEX</stp>
        <stp>N225.FUT02.S</stp>
        <stp>高値</stp>
        <tr r="L186" s="1"/>
      </tp>
      <tp>
        <v>59190</v>
        <stp/>
        <stp>Market</stp>
        <stp>INDEX</stp>
        <stp>N225.FUT02.C</stp>
        <stp>高値</stp>
        <tr r="L184" s="1"/>
      </tp>
      <tp>
        <v>59425</v>
        <stp/>
        <stp>Market</stp>
        <stp>INDEX</stp>
        <stp>N225.FUT01.S</stp>
        <stp>高値</stp>
        <tr r="L185" s="1"/>
      </tp>
      <tp>
        <v>59415</v>
        <stp/>
        <stp>Market</stp>
        <stp>INDEX</stp>
        <stp>N225.FUT01.C</stp>
        <stp>高値</stp>
        <tr r="L183" s="1"/>
      </tp>
    </main>
    <main first="rtdsrv.dff54f4b11dd4e0d9cb19000fb943d8c">
      <tp t="s">
        <v>-</v>
        <stp/>
        <stp>Market</stp>
        <stp>INDEX</stp>
        <stp>UTY</stp>
        <stp>出来高</stp>
        <tr r="Q54" s="1"/>
      </tp>
    </main>
    <main first="rtdsrv.dff54f4b11dd4e0d9cb19000fb943d8c">
      <tp>
        <v>0</v>
        <stp/>
        <stp>Market</stp>
        <stp>INDEX</stp>
        <stp>RSS3.FUT09.OS</stp>
        <stp>高値</stp>
        <tr r="L149" s="1"/>
      </tp>
    </main>
    <main first="rtdsrv.dff54f4b11dd4e0d9cb19000fb943d8c">
      <tp>
        <v>0</v>
        <stp/>
        <stp>Market</stp>
        <stp>INDEX</stp>
        <stp>PALLADIUM.FUT06.OS</stp>
        <stp>前日比率</stp>
        <tr r="H140" s="1"/>
      </tp>
      <tp>
        <v>0</v>
        <stp/>
        <stp>Market</stp>
        <stp>INDEX</stp>
        <stp>PALLADIUM.FUT05.OS</stp>
        <stp>前日比率</stp>
        <tr r="H139" s="1"/>
      </tp>
      <tp>
        <v>0</v>
        <stp/>
        <stp>Market</stp>
        <stp>INDEX</stp>
        <stp>PALLADIUM.FUT04.OS</stp>
        <stp>前日比率</stp>
        <tr r="H138" s="1"/>
      </tp>
      <tp>
        <v>0</v>
        <stp/>
        <stp>Market</stp>
        <stp>INDEX</stp>
        <stp>PALLADIUM.FUT03.OS</stp>
        <stp>前日比率</stp>
        <tr r="H137" s="1"/>
      </tp>
      <tp>
        <v>0</v>
        <stp/>
        <stp>Market</stp>
        <stp>INDEX</stp>
        <stp>PALLADIUM.FUT02.OS</stp>
        <stp>前日比率</stp>
        <tr r="H136" s="1"/>
      </tp>
      <tp>
        <v>0</v>
        <stp/>
        <stp>Market</stp>
        <stp>INDEX</stp>
        <stp>PALLADIUM.FUT01.OS</stp>
        <stp>前日比率</stp>
        <tr r="H135" s="1"/>
      </tp>
    </main>
    <main first="rtdsrv.dff54f4b11dd4e0d9cb19000fb943d8c">
      <tp>
        <v>0</v>
        <stp/>
        <stp>Market</stp>
        <stp>INDEX</stp>
        <stp>RSS3.FUT08.OS</stp>
        <stp>高値</stp>
        <tr r="L148" s="1"/>
      </tp>
      <tp>
        <v>1469.6732999999999</v>
        <stp/>
        <stp>Market</stp>
        <stp>INDEX</stp>
        <stp>CPQ</stp>
        <stp>年初来高値</stp>
        <tr r="V60" s="1"/>
      </tp>
    </main>
    <main first="rtdsrv.dff54f4b11dd4e0d9cb19000fb943d8c">
      <tp>
        <v>1598.0268000000001</v>
        <stp/>
        <stp>Market</stp>
        <stp>INDEX</stp>
        <stp>CPQ</stp>
        <stp>上場来高値</stp>
        <tr r="X60" s="1"/>
      </tp>
    </main>
    <main first="rtdsrv.dff54f4b11dd4e0d9cb19000fb943d8c">
      <tp t="s">
        <v/>
        <stp/>
        <stp>Market</stp>
        <stp>INDEX</stp>
        <stp>N225M.FUT01.OS</stp>
        <stp>更新時刻</stp>
        <tr r="D77" s="1"/>
      </tp>
      <tp t="s">
        <v/>
        <stp/>
        <stp>Market</stp>
        <stp>INDEX</stp>
        <stp>N225M.FUT02.OS</stp>
        <stp>更新時刻</stp>
        <tr r="D78" s="1"/>
      </tp>
      <tp t="s">
        <v/>
        <stp/>
        <stp>Market</stp>
        <stp>INDEX</stp>
        <stp>N225M.FUT03.OS</stp>
        <stp>更新時刻</stp>
        <tr r="D79" s="1"/>
      </tp>
      <tp t="s">
        <v/>
        <stp/>
        <stp>Market</stp>
        <stp>INDEX</stp>
        <stp>N225M.FUT04.OS</stp>
        <stp>更新時刻</stp>
        <tr r="D80" s="1"/>
      </tp>
      <tp t="s">
        <v/>
        <stp/>
        <stp>Market</stp>
        <stp>INDEX</stp>
        <stp>N225M.FUT05.OS</stp>
        <stp>更新時刻</stp>
        <tr r="D81" s="1"/>
      </tp>
      <tp>
        <v>9903001</v>
        <stp/>
        <stp>Market</stp>
        <stp>INDEX</stp>
        <stp>TSPM</stp>
        <stp>売買代金</stp>
        <tr r="R6" s="1"/>
      </tp>
      <tp>
        <v>9908502</v>
        <stp/>
        <stp>Market</stp>
        <stp>INDEX</stp>
        <stp>TOPX</stp>
        <stp>売買代金</stp>
        <tr r="R4" s="1"/>
      </tp>
    </main>
    <main first="rtdsrv.dff54f4b11dd4e0d9cb19000fb943d8c">
      <tp t="s">
        <v>2026/02/26</v>
        <stp/>
        <stp>Market</stp>
        <stp>INDEX</stp>
        <stp>NQ</stp>
        <stp>前日日付</stp>
        <tr r="J21" s="1"/>
      </tp>
      <tp>
        <v>0</v>
        <stp/>
        <stp>Market</stp>
        <stp>INDEX</stp>
        <stp>VOLQ</stp>
        <stp>高値</stp>
        <tr r="L64" s="1"/>
      </tp>
    </main>
    <main first="rtdsrv.dff54f4b11dd4e0d9cb19000fb943d8c">
      <tp>
        <v>112.2</v>
        <stp/>
        <stp>Market</stp>
        <stp>INDEX</stp>
        <stp>VVIX</stp>
        <stp>高値</stp>
        <tr r="L26" s="1"/>
      </tp>
    </main>
    <main first="rtdsrv.dff54f4b11dd4e0d9cb19000fb943d8c">
      <tp t="s">
        <v/>
        <stp/>
        <stp>Market</stp>
        <stp>INDEX</stp>
        <stp>PLATINUM.FUT05.OS</stp>
        <stp>前年最高値</stp>
        <tr r="S120" s="1"/>
      </tp>
      <tp t="s">
        <v/>
        <stp/>
        <stp>Market</stp>
        <stp>INDEX</stp>
        <stp>PLATINUM.FUT04.OS</stp>
        <stp>前年最高値</stp>
        <tr r="S119" s="1"/>
      </tp>
    </main>
    <main first="rtdsrv.dff54f4b11dd4e0d9cb19000fb943d8c">
      <tp t="s">
        <v/>
        <stp/>
        <stp>Market</stp>
        <stp>INDEX</stp>
        <stp>PLATINUM.FUT06.OS</stp>
        <stp>前年最高値</stp>
        <tr r="S121" s="1"/>
      </tp>
    </main>
    <main first="rtdsrv.dff54f4b11dd4e0d9cb19000fb943d8c">
      <tp t="s">
        <v/>
        <stp/>
        <stp>Market</stp>
        <stp>INDEX</stp>
        <stp>PLATINUM.FUT01.OS</stp>
        <stp>前年最高値</stp>
        <tr r="S116" s="1"/>
      </tp>
    </main>
    <main first="rtdsrv.dff54f4b11dd4e0d9cb19000fb943d8c">
      <tp t="s">
        <v/>
        <stp/>
        <stp>Market</stp>
        <stp>INDEX</stp>
        <stp>PLATINUM.FUT03.OS</stp>
        <stp>前年最高値</stp>
        <tr r="S118" s="1"/>
      </tp>
      <tp t="s">
        <v/>
        <stp/>
        <stp>Market</stp>
        <stp>INDEX</stp>
        <stp>PLATINUM.FUT02.OS</stp>
        <stp>前年最高値</stp>
        <tr r="S117" s="1"/>
      </tp>
    </main>
    <main first="rtdsrv.dff54f4b11dd4e0d9cb19000fb943d8c">
      <tp t="s">
        <v>-</v>
        <stp/>
        <stp>Market</stp>
        <stp>INDEX</stp>
        <stp>SOX</stp>
        <stp>出来高</stp>
        <tr r="Q51" s="1"/>
      </tp>
    </main>
    <main first="rtdsrv.dff54f4b11dd4e0d9cb19000fb943d8c">
      <tp>
        <v>0</v>
        <stp/>
        <stp>Market</stp>
        <stp>INDEX</stp>
        <stp>JN400</stp>
        <stp>出来高</stp>
        <tr r="Q5" s="1"/>
      </tp>
    </main>
    <main first="rtdsrv.dff54f4b11dd4e0d9cb19000fb943d8c">
      <tp>
        <v>4338.59</v>
        <stp/>
        <stp>Market</stp>
        <stp>INDEX</stp>
        <stp>N500</stp>
        <stp>前日終値</stp>
        <tr r="I9" s="1"/>
      </tp>
      <tp>
        <v>823.49</v>
        <stp/>
        <stp>Market</stp>
        <stp>INDEX</stp>
        <stp>N300</stp>
        <stp>前日終値</stp>
        <tr r="I3" s="1"/>
      </tp>
    </main>
    <main first="rtdsrv.dff54f4b11dd4e0d9cb19000fb943d8c">
      <tp t="s">
        <v>-</v>
        <stp/>
        <stp>Market</stp>
        <stp>INDEX</stp>
        <stp>SP500</stp>
        <stp>出来高</stp>
        <tr r="Q24" s="1"/>
      </tp>
    </main>
    <main first="rtdsrv.dff54f4b11dd4e0d9cb19000fb943d8c">
      <tp t="s">
        <v>-</v>
        <stp/>
        <stp>Market</stp>
        <stp>INDEX</stp>
        <stp>VIX</stp>
        <stp>売買代金</stp>
        <tr r="R25" s="1"/>
      </tp>
    </main>
    <main first="rtdsrv.dff54f4b11dd4e0d9cb19000fb943d8c">
      <tp>
        <v>3938.68</v>
        <stp/>
        <stp>Market</stp>
        <stp>INDEX</stp>
        <stp>TOPX</stp>
        <stp>高値</stp>
        <tr r="L4" s="1"/>
      </tp>
      <tp>
        <v>8685.02</v>
        <stp/>
        <stp>Market</stp>
        <stp>INDEX</stp>
        <stp>TRAN</stp>
        <stp>高値</stp>
        <tr r="L43" s="1"/>
      </tp>
      <tp>
        <v>2029.95</v>
        <stp/>
        <stp>Market</stp>
        <stp>INDEX</stp>
        <stp>TSPM</stp>
        <stp>高値</stp>
        <tr r="L6" s="1"/>
      </tp>
      <tp>
        <v>1765.34</v>
        <stp/>
        <stp>Market</stp>
        <stp>INDEX</stp>
        <stp>TSSM</stp>
        <stp>高値</stp>
        <tr r="L7" s="1"/>
      </tp>
      <tp>
        <v>1011.05</v>
        <stp/>
        <stp>Market</stp>
        <stp>INDEX</stp>
        <stp>TSGM</stp>
        <stp>高値</stp>
        <tr r="L8" s="1"/>
      </tp>
      <tp t="s">
        <v/>
        <stp/>
        <stp>Market</stp>
        <stp>INDEX</stp>
        <stp>FTSECA50</stp>
        <stp>前年最高値</stp>
        <tr r="S102" s="1"/>
      </tp>
    </main>
    <main first="rtdsrv.dff54f4b11dd4e0d9cb19000fb943d8c">
      <tp>
        <v>268745</v>
        <stp/>
        <stp>Market</stp>
        <stp>INDEX</stp>
        <stp>TSSM</stp>
        <stp>売買代金</stp>
        <tr r="R7" s="1"/>
      </tp>
      <tp>
        <v>58753.39</v>
        <stp/>
        <stp>Market</stp>
        <stp>INDEX</stp>
        <stp>N225</stp>
        <stp>前日終値</stp>
        <tr r="I2" s="1"/>
      </tp>
      <tp t="s">
        <v>-</v>
        <stp/>
        <stp>Market</stp>
        <stp>INDEX</stp>
        <stp>INSR</stp>
        <stp>売買代金</stp>
        <tr r="R41" s="1"/>
      </tp>
      <tp>
        <v>56323</v>
        <stp/>
        <stp>Market</stp>
        <stp>INDEX</stp>
        <stp>GOLD.SPOT.OS</stp>
        <stp>売買代金</stp>
        <tr r="R115" s="1"/>
      </tp>
    </main>
    <main first="rtdsrv.dff54f4b11dd4e0d9cb19000fb943d8c">
      <tp>
        <v>1689</v>
        <stp/>
        <stp>Market</stp>
        <stp>INDEX</stp>
        <stp>GOLD.FUT05.OS</stp>
        <stp>出来高</stp>
        <tr r="Q107" s="1"/>
      </tp>
      <tp>
        <v>104</v>
        <stp/>
        <stp>Market</stp>
        <stp>INDEX</stp>
        <stp>GOLD.FUT04.OS</stp>
        <stp>出来高</stp>
        <tr r="Q106" s="1"/>
      </tp>
      <tp>
        <v>6887</v>
        <stp/>
        <stp>Market</stp>
        <stp>INDEX</stp>
        <stp>GOLD.FUT06.OS</stp>
        <stp>出来高</stp>
        <tr r="Q108" s="1"/>
      </tp>
      <tp>
        <v>60</v>
        <stp/>
        <stp>Market</stp>
        <stp>INDEX</stp>
        <stp>GOLD.FUT01.OS</stp>
        <stp>出来高</stp>
        <tr r="Q103" s="1"/>
      </tp>
      <tp>
        <v>21</v>
        <stp/>
        <stp>Market</stp>
        <stp>INDEX</stp>
        <stp>GOLD.FUT03.OS</stp>
        <stp>出来高</stp>
        <tr r="Q105" s="1"/>
      </tp>
      <tp>
        <v>16</v>
        <stp/>
        <stp>Market</stp>
        <stp>INDEX</stp>
        <stp>GOLD.FUT02.OS</stp>
        <stp>出来高</stp>
        <tr r="Q104" s="1"/>
      </tp>
    </main>
    <main first="rtdsrv.dff54f4b11dd4e0d9cb19000fb943d8c">
      <tp>
        <v>463.04</v>
        <stp/>
        <stp>Market</stp>
        <stp>INDEX</stp>
        <stp>XAU</stp>
        <stp>年初来高値</stp>
        <tr r="V50" s="1"/>
      </tp>
      <tp>
        <v>1366.74</v>
        <stp/>
        <stp>Market</stp>
        <stp>INDEX</stp>
        <stp>XAU</stp>
        <stp>上場来高値</stp>
        <tr r="X50" s="1"/>
      </tp>
    </main>
    <main first="rtdsrv.dff54f4b11dd4e0d9cb19000fb943d8c">
      <tp t="s">
        <v>16:30</v>
        <stp/>
        <stp>Market</stp>
        <stp>INDEX</stp>
        <stp>JGB:F</stp>
        <stp>更新時刻</stp>
        <tr r="D16" s="1"/>
      </tp>
    </main>
    <main first="rtdsrv.dff54f4b11dd4e0d9cb19000fb943d8c">
      <tp t="s">
        <v>-</v>
        <stp/>
        <stp>Market</stp>
        <stp>INDEX</stp>
        <stp>NGX</stp>
        <stp>売買代金</stp>
        <tr r="R63" s="1"/>
      </tp>
      <tp t="s">
        <v>-</v>
        <stp/>
        <stp>Market</stp>
        <stp>INDEX</stp>
        <stp>HGX</stp>
        <stp>売買代金</stp>
        <tr r="R52" s="1"/>
      </tp>
      <tp>
        <v>58630</v>
        <stp/>
        <stp>Market</stp>
        <stp>INDEX</stp>
        <stp>N225U.FUT01.OS</stp>
        <stp>現在値</stp>
        <tr r="E82" s="1"/>
      </tp>
      <tp>
        <v>58500</v>
        <stp/>
        <stp>Market</stp>
        <stp>INDEX</stp>
        <stp>N225U.FUT03.OS</stp>
        <stp>現在値</stp>
        <tr r="E84" s="1"/>
      </tp>
      <tp>
        <v>58350</v>
        <stp/>
        <stp>Market</stp>
        <stp>INDEX</stp>
        <stp>N225U.FUT02.OS</stp>
        <stp>現在値</stp>
        <tr r="E83" s="1"/>
      </tp>
      <tp>
        <v>58435</v>
        <stp/>
        <stp>Market</stp>
        <stp>INDEX</stp>
        <stp>N225U.FUT04.OS</stp>
        <stp>現在値</stp>
        <tr r="E85" s="1"/>
      </tp>
      <tp>
        <v>58685</v>
        <stp/>
        <stp>Market</stp>
        <stp>INDEX</stp>
        <stp>N225M.FUT01.OS</stp>
        <stp>現在値</stp>
        <tr r="E77" s="1"/>
      </tp>
      <tp>
        <v>58345</v>
        <stp/>
        <stp>Market</stp>
        <stp>INDEX</stp>
        <stp>N225M.FUT03.OS</stp>
        <stp>現在値</stp>
        <tr r="E79" s="1"/>
      </tp>
      <tp>
        <v>58315</v>
        <stp/>
        <stp>Market</stp>
        <stp>INDEX</stp>
        <stp>N225M.FUT02.OS</stp>
        <stp>現在値</stp>
        <tr r="E78" s="1"/>
      </tp>
      <tp>
        <v>58580</v>
        <stp/>
        <stp>Market</stp>
        <stp>INDEX</stp>
        <stp>N225M.FUT05.OS</stp>
        <stp>現在値</stp>
        <tr r="E81" s="1"/>
      </tp>
      <tp>
        <v>58485</v>
        <stp/>
        <stp>Market</stp>
        <stp>INDEX</stp>
        <stp>N225M.FUT04.OS</stp>
        <stp>現在値</stp>
        <tr r="E80" s="1"/>
      </tp>
    </main>
    <main first="rtdsrv.dff54f4b11dd4e0d9cb19000fb943d8c">
      <tp>
        <v>0</v>
        <stp/>
        <stp>Market</stp>
        <stp>INDEX</stp>
        <stp>RSS3.FUT03.OS</stp>
        <stp>高値</stp>
        <tr r="L143" s="1"/>
      </tp>
    </main>
    <main first="rtdsrv.dff54f4b11dd4e0d9cb19000fb943d8c">
      <tp>
        <v>0</v>
        <stp/>
        <stp>Market</stp>
        <stp>INDEX</stp>
        <stp>RSS3.FUT12.OS</stp>
        <stp>高値</stp>
        <tr r="L152" s="1"/>
      </tp>
      <tp>
        <v>0</v>
        <stp/>
        <stp>Market</stp>
        <stp>INDEX</stp>
        <stp>RSS3.FUT02.OS</stp>
        <stp>高値</stp>
        <tr r="L142" s="1"/>
      </tp>
    </main>
    <main first="rtdsrv.dff54f4b11dd4e0d9cb19000fb943d8c">
      <tp>
        <v>0</v>
        <stp/>
        <stp>Market</stp>
        <stp>INDEX</stp>
        <stp>FTSECA50</stp>
        <stp>現在値</stp>
        <tr r="E102" s="1"/>
      </tp>
    </main>
    <main first="rtdsrv.dff54f4b11dd4e0d9cb19000fb943d8c">
      <tp>
        <v>-0.91</v>
        <stp/>
        <stp>Market</stp>
        <stp>INDEX</stp>
        <stp>NQ</stp>
        <stp>前日比率</stp>
        <tr r="H21" s="1"/>
      </tp>
    </main>
    <main first="rtdsrv.dff54f4b11dd4e0d9cb19000fb943d8c">
      <tp>
        <v>0</v>
        <stp/>
        <stp>Market</stp>
        <stp>INDEX</stp>
        <stp>RSS3.FUT11.OS</stp>
        <stp>高値</stp>
        <tr r="L151" s="1"/>
      </tp>
      <tp>
        <v>0</v>
        <stp/>
        <stp>Market</stp>
        <stp>INDEX</stp>
        <stp>RSS3.FUT01.OS</stp>
        <stp>高値</stp>
        <tr r="L141" s="1"/>
      </tp>
    </main>
    <main first="rtdsrv.dff54f4b11dd4e0d9cb19000fb943d8c">
      <tp>
        <v>8498.1039999999994</v>
        <stp/>
        <stp>Market</stp>
        <stp>INDEX</stp>
        <stp>SOX</stp>
        <stp>年初来高値</stp>
        <tr r="V51" s="1"/>
      </tp>
      <tp>
        <v>23.1</v>
        <stp/>
        <stp>Market</stp>
        <stp>INDEX</stp>
        <stp>VIX</stp>
        <stp>年初来高値</stp>
        <tr r="V25" s="1"/>
      </tp>
      <tp>
        <v>769.2</v>
        <stp/>
        <stp>Market</stp>
        <stp>INDEX</stp>
        <stp>HGX</stp>
        <stp>年初来高値</stp>
        <tr r="V52" s="1"/>
      </tp>
      <tp>
        <v>1603.91</v>
        <stp/>
        <stp>Market</stp>
        <stp>INDEX</stp>
        <stp>NGX</stp>
        <stp>年初来高値</stp>
        <tr r="V63" s="1"/>
      </tp>
      <tp>
        <v>99.2</v>
        <stp/>
        <stp>Market</stp>
        <stp>INDEX</stp>
        <stp>OSX</stp>
        <stp>年初来高値</stp>
        <tr r="V53" s="1"/>
      </tp>
    </main>
    <main first="rtdsrv.dff54f4b11dd4e0d9cb19000fb943d8c">
      <tp>
        <v>1603.91</v>
        <stp/>
        <stp>Market</stp>
        <stp>INDEX</stp>
        <stp>NGX</stp>
        <stp>上場来高値</stp>
        <tr r="X63" s="1"/>
      </tp>
      <tp>
        <v>364.26</v>
        <stp/>
        <stp>Market</stp>
        <stp>INDEX</stp>
        <stp>OSX</stp>
        <stp>上場来高値</stp>
        <tr r="X53" s="1"/>
      </tp>
      <tp>
        <v>837.18</v>
        <stp/>
        <stp>Market</stp>
        <stp>INDEX</stp>
        <stp>HGX</stp>
        <stp>上場来高値</stp>
        <tr r="X52" s="1"/>
      </tp>
      <tp>
        <v>89.53</v>
        <stp/>
        <stp>Market</stp>
        <stp>INDEX</stp>
        <stp>VIX</stp>
        <stp>上場来高値</stp>
        <tr r="X25" s="1"/>
      </tp>
      <tp>
        <v>8498.1039999999994</v>
        <stp/>
        <stp>Market</stp>
        <stp>INDEX</stp>
        <stp>SOX</stp>
        <stp>上場来高値</stp>
        <tr r="X51" s="1"/>
      </tp>
    </main>
    <main first="rtdsrv.dff54f4b11dd4e0d9cb19000fb943d8c">
      <tp>
        <v>7177392</v>
        <stp/>
        <stp>Market</stp>
        <stp>INDEX</stp>
        <stp>PLATINUM.FUT06.OS</stp>
        <stp>売買代金</stp>
        <tr r="R121" s="1"/>
      </tp>
      <tp>
        <v>5491299</v>
        <stp/>
        <stp>Market</stp>
        <stp>INDEX</stp>
        <stp>PLATINUM.FUT05.OS</stp>
        <stp>売買代金</stp>
        <tr r="R120" s="1"/>
      </tp>
      <tp>
        <v>28901</v>
        <stp/>
        <stp>Market</stp>
        <stp>INDEX</stp>
        <stp>PLATINUM.FUT04.OS</stp>
        <stp>売買代金</stp>
        <tr r="R119" s="1"/>
      </tp>
      <tp>
        <v>11474</v>
        <stp/>
        <stp>Market</stp>
        <stp>INDEX</stp>
        <stp>PLATINUM.FUT03.OS</stp>
        <stp>売買代金</stp>
        <tr r="R118" s="1"/>
      </tp>
      <tp>
        <v>0</v>
        <stp/>
        <stp>Market</stp>
        <stp>INDEX</stp>
        <stp>PLATINUM.FUT02.OS</stp>
        <stp>売買代金</stp>
        <tr r="R117" s="1"/>
      </tp>
      <tp>
        <v>0</v>
        <stp/>
        <stp>Market</stp>
        <stp>INDEX</stp>
        <stp>PLATINUM.FUT01.OS</stp>
        <stp>売買代金</stp>
        <tr r="R116" s="1"/>
      </tp>
    </main>
    <main first="rtdsrv.dff54f4b11dd4e0d9cb19000fb943d8c">
      <tp t="s">
        <v/>
        <stp/>
        <stp>Market</stp>
        <stp>INDEX</stp>
        <stp>PLATINUM.SPOT.OS</stp>
        <stp>年初来高値</stp>
        <tr r="V128" s="1"/>
      </tp>
      <tp t="s">
        <v/>
        <stp/>
        <stp>Market</stp>
        <stp>INDEX</stp>
        <stp>PLATINUM.SPOT.OS</stp>
        <stp>上場来高値</stp>
        <tr r="X128" s="1"/>
      </tp>
    </main>
    <main first="rtdsrv.dff54f4b11dd4e0d9cb19000fb943d8c">
      <tp>
        <v>0</v>
        <stp/>
        <stp>Market</stp>
        <stp>INDEX</stp>
        <stp>RSS3.FUT10.OS</stp>
        <stp>高値</stp>
        <tr r="L150" s="1"/>
      </tp>
    </main>
    <main first="rtdsrv.dff54f4b11dd4e0d9cb19000fb943d8c">
      <tp>
        <v>1183.23</v>
        <stp/>
        <stp>Market</stp>
        <stp>INDEX</stp>
        <stp>UTY</stp>
        <stp>年初来高値</stp>
        <tr r="V54" s="1"/>
      </tp>
    </main>
    <main first="rtdsrv.dff54f4b11dd4e0d9cb19000fb943d8c">
      <tp>
        <v>1183.23</v>
        <stp/>
        <stp>Market</stp>
        <stp>INDEX</stp>
        <stp>UTY</stp>
        <stp>上場来高値</stp>
        <tr r="X54" s="1"/>
      </tp>
      <tp t="s">
        <v>-</v>
        <stp/>
        <stp>Market</stp>
        <stp>INDEX</stp>
        <stp>SIXE</stp>
        <stp>売買代金</stp>
        <tr r="R28" s="1"/>
      </tp>
      <tp t="s">
        <v>-</v>
        <stp/>
        <stp>Market</stp>
        <stp>INDEX</stp>
        <stp>SIXC</stp>
        <stp>売買代金</stp>
        <tr r="R33" s="1"/>
      </tp>
      <tp t="s">
        <v>-</v>
        <stp/>
        <stp>Market</stp>
        <stp>INDEX</stp>
        <stp>SIXB</stp>
        <stp>売買代金</stp>
        <tr r="R27" s="1"/>
      </tp>
      <tp t="s">
        <v>-</v>
        <stp/>
        <stp>Market</stp>
        <stp>INDEX</stp>
        <stp>SIXM</stp>
        <stp>売買代金</stp>
        <tr r="R29" s="1"/>
      </tp>
      <tp t="s">
        <v>-</v>
        <stp/>
        <stp>Market</stp>
        <stp>INDEX</stp>
        <stp>SIXI</stp>
        <stp>売買代金</stp>
        <tr r="R34" s="1"/>
      </tp>
      <tp t="s">
        <v>-</v>
        <stp/>
        <stp>Market</stp>
        <stp>INDEX</stp>
        <stp>SIXV</stp>
        <stp>売買代金</stp>
        <tr r="R37" s="1"/>
      </tp>
      <tp t="s">
        <v>-</v>
        <stp/>
        <stp>Market</stp>
        <stp>INDEX</stp>
        <stp>SIXU</stp>
        <stp>売買代金</stp>
        <tr r="R31" s="1"/>
      </tp>
      <tp t="s">
        <v>-</v>
        <stp/>
        <stp>Market</stp>
        <stp>INDEX</stp>
        <stp>SIXT</stp>
        <stp>売買代金</stp>
        <tr r="R36" s="1"/>
      </tp>
      <tp t="s">
        <v>-</v>
        <stp/>
        <stp>Market</stp>
        <stp>INDEX</stp>
        <stp>NDXT</stp>
        <stp>売買代金</stp>
        <tr r="R49" s="1"/>
      </tp>
      <tp t="s">
        <v>-</v>
        <stp/>
        <stp>Market</stp>
        <stp>INDEX</stp>
        <stp>SIXR</stp>
        <stp>売買代金</stp>
        <tr r="R35" s="1"/>
      </tp>
      <tp t="s">
        <v>-</v>
        <stp/>
        <stp>Market</stp>
        <stp>INDEX</stp>
        <stp>SIXY</stp>
        <stp>売買代金</stp>
        <tr r="R32" s="1"/>
      </tp>
    </main>
    <main first="rtdsrv.dff54f4b11dd4e0d9cb19000fb943d8c">
      <tp>
        <v>0</v>
        <stp/>
        <stp>Market</stp>
        <stp>INDEX</stp>
        <stp>PALLADIUM.FUT04.OS</stp>
        <stp>出来高</stp>
        <tr r="Q138" s="1"/>
      </tp>
      <tp>
        <v>0</v>
        <stp/>
        <stp>Market</stp>
        <stp>INDEX</stp>
        <stp>PALLADIUM.FUT05.OS</stp>
        <stp>出来高</stp>
        <tr r="Q139" s="1"/>
      </tp>
      <tp>
        <v>0</v>
        <stp/>
        <stp>Market</stp>
        <stp>INDEX</stp>
        <stp>PALLADIUM.FUT06.OS</stp>
        <stp>出来高</stp>
        <tr r="Q140" s="1"/>
      </tp>
      <tp>
        <v>0</v>
        <stp/>
        <stp>Market</stp>
        <stp>INDEX</stp>
        <stp>PALLADIUM.FUT01.OS</stp>
        <stp>出来高</stp>
        <tr r="Q135" s="1"/>
      </tp>
      <tp>
        <v>0</v>
        <stp/>
        <stp>Market</stp>
        <stp>INDEX</stp>
        <stp>PALLADIUM.FUT02.OS</stp>
        <stp>出来高</stp>
        <tr r="Q136" s="1"/>
      </tp>
      <tp>
        <v>0</v>
        <stp/>
        <stp>Market</stp>
        <stp>INDEX</stp>
        <stp>PALLADIUM.FUT03.OS</stp>
        <stp>出来高</stp>
        <tr r="Q137" s="1"/>
      </tp>
    </main>
    <main first="rtdsrv.dff54f4b11dd4e0d9cb19000fb943d8c">
      <tp>
        <v>0</v>
        <stp/>
        <stp>Market</stp>
        <stp>INDEX</stp>
        <stp>RSS3.FUT07.OS</stp>
        <stp>高値</stp>
        <tr r="L147" s="1"/>
      </tp>
    </main>
    <main first="rtdsrv.dff54f4b11dd4e0d9cb19000fb943d8c">
      <tp>
        <v>0</v>
        <stp/>
        <stp>Market</stp>
        <stp>INDEX</stp>
        <stp>JN400.FUT05.OS</stp>
        <stp>現在値</stp>
        <tr r="E100" s="1"/>
      </tp>
      <tp>
        <v>0</v>
        <stp/>
        <stp>Market</stp>
        <stp>INDEX</stp>
        <stp>JN400.FUT04.OS</stp>
        <stp>現在値</stp>
        <tr r="E99" s="1"/>
      </tp>
      <tp>
        <v>0</v>
        <stp/>
        <stp>Market</stp>
        <stp>INDEX</stp>
        <stp>JN400.FUT03.OS</stp>
        <stp>現在値</stp>
        <tr r="E98" s="1"/>
      </tp>
      <tp>
        <v>0</v>
        <stp/>
        <stp>Market</stp>
        <stp>INDEX</stp>
        <stp>JN400.FUT02.OS</stp>
        <stp>現在値</stp>
        <tr r="E97" s="1"/>
      </tp>
      <tp>
        <v>35340</v>
        <stp/>
        <stp>Market</stp>
        <stp>INDEX</stp>
        <stp>JN400.FUT01.OS</stp>
        <stp>現在値</stp>
        <tr r="E96" s="1"/>
      </tp>
    </main>
    <main first="rtdsrv.dff54f4b11dd4e0d9cb19000fb943d8c">
      <tp t="s">
        <v>-</v>
        <stp/>
        <stp>Market</stp>
        <stp>INDEX</stp>
        <stp>NBI</stp>
        <stp>売買代金</stp>
        <tr r="R47" s="1"/>
      </tp>
    </main>
    <main first="rtdsrv.dff54f4b11dd4e0d9cb19000fb943d8c">
      <tp t="s">
        <v/>
        <stp/>
        <stp>Market</stp>
        <stp>INDEX</stp>
        <stp>PALLADIUM.FUT01.OS</stp>
        <stp>前日日付</stp>
        <tr r="J135" s="1"/>
      </tp>
      <tp t="s">
        <v/>
        <stp/>
        <stp>Market</stp>
        <stp>INDEX</stp>
        <stp>PALLADIUM.FUT02.OS</stp>
        <stp>前日日付</stp>
        <tr r="J136" s="1"/>
      </tp>
      <tp t="s">
        <v/>
        <stp/>
        <stp>Market</stp>
        <stp>INDEX</stp>
        <stp>PALLADIUM.FUT03.OS</stp>
        <stp>前日日付</stp>
        <tr r="J137" s="1"/>
      </tp>
      <tp t="s">
        <v/>
        <stp/>
        <stp>Market</stp>
        <stp>INDEX</stp>
        <stp>PALLADIUM.FUT04.OS</stp>
        <stp>前日日付</stp>
        <tr r="J138" s="1"/>
      </tp>
      <tp t="s">
        <v/>
        <stp/>
        <stp>Market</stp>
        <stp>INDEX</stp>
        <stp>PALLADIUM.FUT05.OS</stp>
        <stp>前日日付</stp>
        <tr r="J139" s="1"/>
      </tp>
      <tp t="s">
        <v/>
        <stp/>
        <stp>Market</stp>
        <stp>INDEX</stp>
        <stp>PALLADIUM.FUT06.OS</stp>
        <stp>前日日付</stp>
        <tr r="J140" s="1"/>
      </tp>
    </main>
    <main first="rtdsrv.dff54f4b11dd4e0d9cb19000fb943d8c">
      <tp>
        <v>379</v>
        <stp/>
        <stp>Market</stp>
        <stp>INDEX</stp>
        <stp>RSS3.FUT06.OS</stp>
        <stp>高値</stp>
        <tr r="L146" s="1"/>
      </tp>
    </main>
    <main first="rtdsrv.dff54f4b11dd4e0d9cb19000fb943d8c">
      <tp>
        <v>0</v>
        <stp/>
        <stp>Market</stp>
        <stp>INDEX</stp>
        <stp>SILVER.FUT06.OS</stp>
        <stp>現在値</stp>
        <tr r="E134" s="1"/>
      </tp>
      <tp>
        <v>435</v>
        <stp/>
        <stp>Market</stp>
        <stp>INDEX</stp>
        <stp>SILVER.FUT04.OS</stp>
        <stp>現在値</stp>
        <tr r="E132" s="1"/>
      </tp>
      <tp>
        <v>455.6</v>
        <stp/>
        <stp>Market</stp>
        <stp>INDEX</stp>
        <stp>SILVER.FUT05.OS</stp>
        <stp>現在値</stp>
        <tr r="E133" s="1"/>
      </tp>
      <tp>
        <v>0</v>
        <stp/>
        <stp>Market</stp>
        <stp>INDEX</stp>
        <stp>SILVER.FUT02.OS</stp>
        <stp>現在値</stp>
        <tr r="E130" s="1"/>
      </tp>
      <tp>
        <v>0</v>
        <stp/>
        <stp>Market</stp>
        <stp>INDEX</stp>
        <stp>SILVER.FUT03.OS</stp>
        <stp>現在値</stp>
        <tr r="E131" s="1"/>
      </tp>
      <tp>
        <v>0</v>
        <stp/>
        <stp>Market</stp>
        <stp>INDEX</stp>
        <stp>SILVER.FUT01.OS</stp>
        <stp>現在値</stp>
        <tr r="E129" s="1"/>
      </tp>
    </main>
    <main first="rtdsrv.dff54f4b11dd4e0d9cb19000fb943d8c">
      <tp t="s">
        <v>-</v>
        <stp/>
        <stp>Market</stp>
        <stp>INDEX</stp>
        <stp>XAU</stp>
        <stp>売買代金</stp>
        <tr r="R50" s="1"/>
      </tp>
    </main>
    <main first="rtdsrv.dff54f4b11dd4e0d9cb19000fb943d8c">
      <tp t="s">
        <v/>
        <stp/>
        <stp>Market</stp>
        <stp>INDEX</stp>
        <stp>GOLDMINI.FUT04.OS</stp>
        <stp>指標コード</stp>
        <tr r="A112" s="1"/>
      </tp>
      <tp t="s">
        <v/>
        <stp/>
        <stp>Market</stp>
        <stp>INDEX</stp>
        <stp>GOLDMINI.FUT05.OS</stp>
        <stp>指標コード</stp>
        <tr r="A113" s="1"/>
      </tp>
      <tp t="s">
        <v/>
        <stp/>
        <stp>Market</stp>
        <stp>INDEX</stp>
        <stp>GOLDMINI.FUT06.OS</stp>
        <stp>指標コード</stp>
        <tr r="A114" s="1"/>
      </tp>
      <tp t="s">
        <v/>
        <stp/>
        <stp>Market</stp>
        <stp>INDEX</stp>
        <stp>GOLDMINI.FUT01.OS</stp>
        <stp>指標コード</stp>
        <tr r="A109" s="1"/>
      </tp>
      <tp t="s">
        <v/>
        <stp/>
        <stp>Market</stp>
        <stp>INDEX</stp>
        <stp>GOLDMINI.FUT02.OS</stp>
        <stp>指標コード</stp>
        <tr r="A110" s="1"/>
      </tp>
      <tp t="s">
        <v/>
        <stp/>
        <stp>Market</stp>
        <stp>INDEX</stp>
        <stp>GOLDMINI.FUT03.OS</stp>
        <stp>指標コード</stp>
        <tr r="A111" s="1"/>
      </tp>
    </main>
    <main first="rtdsrv.dff54f4b11dd4e0d9cb19000fb943d8c">
      <tp>
        <v>376.4</v>
        <stp/>
        <stp>Market</stp>
        <stp>INDEX</stp>
        <stp>RSS3.FUT05.OS</stp>
        <stp>高値</stp>
        <tr r="L145" s="1"/>
      </tp>
    </main>
    <main first="rtdsrv.dff54f4b11dd4e0d9cb19000fb943d8c">
      <tp>
        <v>0</v>
        <stp/>
        <stp>Market</stp>
        <stp>INDEX</stp>
        <stp>TSR20.FUT09.OS</stp>
        <stp>現在値</stp>
        <tr r="E161" s="1"/>
      </tp>
      <tp>
        <v>0</v>
        <stp/>
        <stp>Market</stp>
        <stp>INDEX</stp>
        <stp>TSR20.FUT08.OS</stp>
        <stp>現在値</stp>
        <tr r="E160" s="1"/>
      </tp>
      <tp>
        <v>0</v>
        <stp/>
        <stp>Market</stp>
        <stp>INDEX</stp>
        <stp>TSR20.FUT01.OS</stp>
        <stp>現在値</stp>
        <tr r="E153" s="1"/>
      </tp>
      <tp>
        <v>0</v>
        <stp/>
        <stp>Market</stp>
        <stp>INDEX</stp>
        <stp>TSR20.FUT03.OS</stp>
        <stp>現在値</stp>
        <tr r="E155" s="1"/>
      </tp>
      <tp>
        <v>0</v>
        <stp/>
        <stp>Market</stp>
        <stp>INDEX</stp>
        <stp>TSR20.FUT02.OS</stp>
        <stp>現在値</stp>
        <tr r="E154" s="1"/>
      </tp>
      <tp>
        <v>0</v>
        <stp/>
        <stp>Market</stp>
        <stp>INDEX</stp>
        <stp>TSR20.FUT05.OS</stp>
        <stp>現在値</stp>
        <tr r="E157" s="1"/>
      </tp>
      <tp>
        <v>0</v>
        <stp/>
        <stp>Market</stp>
        <stp>INDEX</stp>
        <stp>TSR20.FUT04.OS</stp>
        <stp>現在値</stp>
        <tr r="E156" s="1"/>
      </tp>
      <tp>
        <v>0</v>
        <stp/>
        <stp>Market</stp>
        <stp>INDEX</stp>
        <stp>TSR20.FUT07.OS</stp>
        <stp>現在値</stp>
        <tr r="E159" s="1"/>
      </tp>
      <tp>
        <v>0</v>
        <stp/>
        <stp>Market</stp>
        <stp>INDEX</stp>
        <stp>TSR20.FUT06.OS</stp>
        <stp>現在値</stp>
        <tr r="E158" s="1"/>
      </tp>
      <tp>
        <v>0</v>
        <stp/>
        <stp>Market</stp>
        <stp>INDEX</stp>
        <stp>TSR20.FUT11.OS</stp>
        <stp>現在値</stp>
        <tr r="E163" s="1"/>
      </tp>
      <tp>
        <v>0</v>
        <stp/>
        <stp>Market</stp>
        <stp>INDEX</stp>
        <stp>TSR20.FUT10.OS</stp>
        <stp>現在値</stp>
        <tr r="E162" s="1"/>
      </tp>
      <tp>
        <v>0</v>
        <stp/>
        <stp>Market</stp>
        <stp>INDEX</stp>
        <stp>TSR20.FUT12.OS</stp>
        <stp>現在値</stp>
        <tr r="E164" s="1"/>
      </tp>
    </main>
    <main first="rtdsrv.dff54f4b11dd4e0d9cb19000fb943d8c">
      <tp t="s">
        <v>-</v>
        <stp/>
        <stp>Market</stp>
        <stp>INDEX</stp>
        <stp>XAU</stp>
        <stp>出来高</stp>
        <tr r="Q50" s="1"/>
      </tp>
      <tp>
        <v>371.6</v>
        <stp/>
        <stp>Market</stp>
        <stp>INDEX</stp>
        <stp>RSS3.FUT04.OS</stp>
        <stp>高値</stp>
        <tr r="L144" s="1"/>
      </tp>
    </main>
    <main first="rtdsrv.dff54f4b11dd4e0d9cb19000fb943d8c">
      <tp t="s">
        <v>-</v>
        <stp/>
        <stp>Market</stp>
        <stp>INDEX</stp>
        <stp>NQUSMT</stp>
        <stp>売買代金</stp>
        <tr r="R57" s="1"/>
      </tp>
    </main>
    <main first="rtdsrv.dff54f4b11dd4e0d9cb19000fb943d8c">
      <tp t="s">
        <v>07:15</v>
        <stp/>
        <stp>Market</stp>
        <stp>INDEX</stp>
        <stp>CPQ</stp>
        <stp>更新時刻</stp>
        <tr r="D60" s="1"/>
      </tp>
      <tp t="s">
        <v/>
        <stp/>
        <stp>Market</stp>
        <stp>INDEX</stp>
        <stp>GOLDMINI.FUT06.OS</stp>
        <stp>更新時刻</stp>
        <tr r="D114" s="1"/>
      </tp>
      <tp t="s">
        <v/>
        <stp/>
        <stp>Market</stp>
        <stp>INDEX</stp>
        <stp>GOLDMINI.FUT05.OS</stp>
        <stp>更新時刻</stp>
        <tr r="D113" s="1"/>
      </tp>
      <tp t="s">
        <v/>
        <stp/>
        <stp>Market</stp>
        <stp>INDEX</stp>
        <stp>GOLDMINI.FUT04.OS</stp>
        <stp>更新時刻</stp>
        <tr r="D112" s="1"/>
      </tp>
      <tp t="s">
        <v/>
        <stp/>
        <stp>Market</stp>
        <stp>INDEX</stp>
        <stp>GOLDMINI.FUT03.OS</stp>
        <stp>更新時刻</stp>
        <tr r="D111" s="1"/>
      </tp>
      <tp t="s">
        <v/>
        <stp/>
        <stp>Market</stp>
        <stp>INDEX</stp>
        <stp>GOLDMINI.FUT02.OS</stp>
        <stp>更新時刻</stp>
        <tr r="D110" s="1"/>
      </tp>
      <tp t="s">
        <v/>
        <stp/>
        <stp>Market</stp>
        <stp>INDEX</stp>
        <stp>GOLDMINI.FUT01.OS</stp>
        <stp>更新時刻</stp>
        <tr r="D109" s="1"/>
      </tp>
    </main>
    <main first="rtdsrv.dff54f4b11dd4e0d9cb19000fb943d8c">
      <tp>
        <v>8098.3710000000001</v>
        <stp/>
        <stp>Market</stp>
        <stp>INDEX</stp>
        <stp>SOX</stp>
        <stp>現在値</stp>
        <tr r="E51" s="1"/>
      </tp>
    </main>
    <main first="rtdsrv.dff54f4b11dd4e0d9cb19000fb943d8c">
      <tp>
        <v>35625.760000000002</v>
        <stp/>
        <stp>Market</stp>
        <stp>INDEX</stp>
        <stp>JN400</stp>
        <stp>現在値</stp>
        <tr r="E5" s="1"/>
      </tp>
    </main>
    <main first="rtdsrv.dff54f4b11dd4e0d9cb19000fb943d8c">
      <tp t="s">
        <v/>
        <stp/>
        <stp>Market</stp>
        <stp>INDEX</stp>
        <stp>CNH/JPY</stp>
        <stp>前日終値</stp>
        <tr r="I210" s="1"/>
      </tp>
    </main>
    <main first="rtdsrv.dff54f4b11dd4e0d9cb19000fb943d8c">
      <tp t="s">
        <v>NQUSST</v>
        <stp/>
        <stp>Market</stp>
        <stp>INDEX</stp>
        <stp>NQUSST</stp>
        <stp>指標コード</stp>
        <tr r="A58" s="1"/>
      </tp>
      <tp t="s">
        <v>NQUSMT</v>
        <stp/>
        <stp>Market</stp>
        <stp>INDEX</stp>
        <stp>NQUSMT</stp>
        <stp>指標コード</stp>
        <tr r="A57" s="1"/>
      </tp>
      <tp t="s">
        <v>NQUSLT</v>
        <stp/>
        <stp>Market</stp>
        <stp>INDEX</stp>
        <stp>NQUSLT</stp>
        <stp>指標コード</stp>
        <tr r="A56" s="1"/>
      </tp>
    </main>
    <main first="rtdsrv.dff54f4b11dd4e0d9cb19000fb943d8c">
      <tp t="s">
        <v/>
        <stp/>
        <stp>Market</stp>
        <stp>INDEX</stp>
        <stp>N225.FUT01.C</stp>
        <stp>上場来高値</stp>
        <tr r="X183" s="1"/>
      </tp>
      <tp t="s">
        <v/>
        <stp/>
        <stp>Market</stp>
        <stp>INDEX</stp>
        <stp>N225.FUT02.C</stp>
        <stp>上場来高値</stp>
        <tr r="X184" s="1"/>
      </tp>
    </main>
    <main first="rtdsrv.dff54f4b11dd4e0d9cb19000fb943d8c">
      <tp>
        <v>23913.56</v>
        <stp/>
        <stp>Market</stp>
        <stp>INDEX</stp>
        <stp>IXCO</stp>
        <stp>前年最高値</stp>
        <tr r="S45" s="1"/>
      </tp>
    </main>
    <main first="rtdsrv.dff54f4b11dd4e0d9cb19000fb943d8c">
      <tp>
        <v>0</v>
        <stp/>
        <stp>Market</stp>
        <stp>INDEX</stp>
        <stp>REDBEAN.FUT03.OS</stp>
        <stp>高値</stp>
        <tr r="L167" s="1"/>
      </tp>
    </main>
    <main first="rtdsrv.dff54f4b11dd4e0d9cb19000fb943d8c">
      <tp t="s">
        <v/>
        <stp/>
        <stp>Market</stp>
        <stp>INDEX</stp>
        <stp>N225.FUT01.C</stp>
        <stp>年初来高値</stp>
        <tr r="V183" s="1"/>
      </tp>
      <tp t="s">
        <v/>
        <stp/>
        <stp>Market</stp>
        <stp>INDEX</stp>
        <stp>N225.FUT02.C</stp>
        <stp>年初来高値</stp>
        <tr r="V184" s="1"/>
      </tp>
    </main>
    <main first="rtdsrv.dff54f4b11dd4e0d9cb19000fb943d8c">
      <tp>
        <v>0</v>
        <stp/>
        <stp>Market</stp>
        <stp>INDEX</stp>
        <stp>SOYBEAN.FUT02.OS</stp>
        <stp>高値</stp>
        <tr r="L172" s="1"/>
      </tp>
      <tp>
        <v>2002.64</v>
        <stp/>
        <stp>Market</stp>
        <stp>INDEX</stp>
        <stp>EMCLOUD</stp>
        <stp>前年最高値</stp>
        <tr r="S62" s="1"/>
      </tp>
    </main>
    <main first="rtdsrv.dff54f4b11dd4e0d9cb19000fb943d8c">
      <tp t="s">
        <v/>
        <stp/>
        <stp>Market</stp>
        <stp>INDEX</stp>
        <stp>EUR/USD</stp>
        <stp>前日日付</stp>
        <tr r="J197" s="1"/>
      </tp>
    </main>
    <main first="rtdsrv.dff54f4b11dd4e0d9cb19000fb943d8c">
      <tp t="s">
        <v/>
        <stp/>
        <stp>Market</stp>
        <stp>INDEX</stp>
        <stp>MXN/JPY</stp>
        <stp>前日比率</stp>
        <tr r="H211" s="1"/>
      </tp>
      <tp t="s">
        <v/>
        <stp/>
        <stp>Market</stp>
        <stp>INDEX</stp>
        <stp>AUD/USD</stp>
        <stp>前日日付</stp>
        <tr r="J199" s="1"/>
      </tp>
      <tp t="s">
        <v>SIXV</v>
        <stp/>
        <stp>Market</stp>
        <stp>INDEX</stp>
        <stp>SIXV</stp>
        <stp>指標コード</stp>
        <tr r="A37" s="1"/>
      </tp>
    </main>
    <main first="rtdsrv.dff54f4b11dd4e0d9cb19000fb943d8c">
      <tp t="s">
        <v>-</v>
        <stp/>
        <stp>Market</stp>
        <stp>INDEX</stp>
        <stp>NQUSLT</stp>
        <stp>売買代金</stp>
        <tr r="R56" s="1"/>
      </tp>
    </main>
    <main first="rtdsrv.dff54f4b11dd4e0d9cb19000fb943d8c">
      <tp>
        <v>875.24</v>
        <stp/>
        <stp>Market</stp>
        <stp>INDEX</stp>
        <stp>TSGMC</stp>
        <stp>前日終値</stp>
        <tr r="I12" s="1"/>
      </tp>
    </main>
    <main first="rtdsrv.dff54f4b11dd4e0d9cb19000fb943d8c">
      <tp>
        <v>6878.88</v>
        <stp/>
        <stp>Market</stp>
        <stp>INDEX</stp>
        <stp>SP500</stp>
        <stp>現在値</stp>
        <tr r="E24" s="1"/>
      </tp>
    </main>
    <main first="rtdsrv.dff54f4b11dd4e0d9cb19000fb943d8c">
      <tp t="s">
        <v/>
        <stp/>
        <stp>Market</stp>
        <stp>INDEX</stp>
        <stp>NOK/JPY</stp>
        <stp>前日終値</stp>
        <tr r="I208" s="1"/>
      </tp>
    </main>
    <main first="rtdsrv.dff54f4b11dd4e0d9cb19000fb943d8c">
      <tp>
        <v>15025.5</v>
        <stp/>
        <stp>Market</stp>
        <stp>INDEX</stp>
        <stp>OFIN</stp>
        <stp>前年最高値</stp>
        <tr r="S42" s="1"/>
      </tp>
      <tp>
        <v>7608.39</v>
        <stp/>
        <stp>Market</stp>
        <stp>INDEX</stp>
        <stp>TRAN</stp>
        <stp>前年最高値</stp>
        <tr r="S43" s="1"/>
      </tp>
      <tp>
        <v>0</v>
        <stp/>
        <stp>Market</stp>
        <stp>INDEX</stp>
        <stp>REDBEAN.FUT02.OS</stp>
        <stp>高値</stp>
        <tr r="L166" s="1"/>
      </tp>
      <tp>
        <v>11900</v>
        <stp/>
        <stp>Market</stp>
        <stp>INDEX</stp>
        <stp>PLATINUM.SPOT.OS</stp>
        <stp>高値</stp>
        <tr r="L128" s="1"/>
      </tp>
    </main>
    <main first="rtdsrv.dff54f4b11dd4e0d9cb19000fb943d8c">
      <tp>
        <v>0</v>
        <stp/>
        <stp>Market</stp>
        <stp>INDEX</stp>
        <stp>SOYBEAN.FUT03.OS</stp>
        <stp>高値</stp>
        <tr r="L173" s="1"/>
      </tp>
      <tp>
        <v>0</v>
        <stp/>
        <stp>Market</stp>
        <stp>INDEX</stp>
        <stp>PLATINUMMINI.FUT02.OS</stp>
        <stp>前日比率</stp>
        <tr r="H123" s="1"/>
      </tp>
      <tp>
        <v>0</v>
        <stp/>
        <stp>Market</stp>
        <stp>INDEX</stp>
        <stp>PLATINUMMINI.FUT03.OS</stp>
        <stp>前日比率</stp>
        <tr r="H124" s="1"/>
      </tp>
      <tp>
        <v>0</v>
        <stp/>
        <stp>Market</stp>
        <stp>INDEX</stp>
        <stp>PLATINUMMINI.FUT01.OS</stp>
        <stp>前日比率</stp>
        <tr r="H122" s="1"/>
      </tp>
      <tp>
        <v>-0.6</v>
        <stp/>
        <stp>Market</stp>
        <stp>INDEX</stp>
        <stp>PLATINUMMINI.FUT06.OS</stp>
        <stp>前日比率</stp>
        <tr r="H127" s="1"/>
      </tp>
      <tp>
        <v>0</v>
        <stp/>
        <stp>Market</stp>
        <stp>INDEX</stp>
        <stp>PLATINUMMINI.FUT04.OS</stp>
        <stp>前日比率</stp>
        <tr r="H125" s="1"/>
      </tp>
      <tp>
        <v>-1.66</v>
        <stp/>
        <stp>Market</stp>
        <stp>INDEX</stp>
        <stp>PLATINUMMINI.FUT05.OS</stp>
        <stp>前日比率</stp>
        <tr r="H126" s="1"/>
      </tp>
    </main>
    <main first="rtdsrv.dff54f4b11dd4e0d9cb19000fb943d8c">
      <tp t="s">
        <v/>
        <stp/>
        <stp>Market</stp>
        <stp>INDEX</stp>
        <stp>CHF/JPY</stp>
        <stp>指標コード</stp>
        <tr r="A194" s="1"/>
      </tp>
    </main>
    <main first="rtdsrv.dff54f4b11dd4e0d9cb19000fb943d8c">
      <tp t="s">
        <v/>
        <stp/>
        <stp>Market</stp>
        <stp>INDEX</stp>
        <stp>NZD/USD</stp>
        <stp>前日比率</stp>
        <tr r="H200" s="1"/>
      </tp>
    </main>
    <main first="rtdsrv.dff54f4b11dd4e0d9cb19000fb943d8c">
      <tp t="s">
        <v/>
        <stp/>
        <stp>Market</stp>
        <stp>INDEX</stp>
        <stp>N225.FUT02.C</stp>
        <stp>更新時刻</stp>
        <tr r="D184" s="1"/>
      </tp>
      <tp t="s">
        <v/>
        <stp/>
        <stp>Market</stp>
        <stp>INDEX</stp>
        <stp>N225.FUT01.C</stp>
        <stp>更新時刻</stp>
        <tr r="D183" s="1"/>
      </tp>
      <tp t="s">
        <v/>
        <stp/>
        <stp>Market</stp>
        <stp>INDEX</stp>
        <stp>N225.FUT02.S</stp>
        <stp>更新時刻</stp>
        <tr r="D186" s="1"/>
      </tp>
      <tp t="s">
        <v/>
        <stp/>
        <stp>Market</stp>
        <stp>INDEX</stp>
        <stp>N225.FUT01.S</stp>
        <stp>更新時刻</stp>
        <tr r="D185" s="1"/>
      </tp>
    </main>
    <main first="rtdsrv.dff54f4b11dd4e0d9cb19000fb943d8c">
      <tp>
        <v>0</v>
        <stp/>
        <stp>Market</stp>
        <stp>INDEX</stp>
        <stp>FTSECA50</stp>
        <stp>売買代金</stp>
        <tr r="R102" s="1"/>
      </tp>
    </main>
    <main first="rtdsrv.dff54f4b11dd4e0d9cb19000fb943d8c">
      <tp t="s">
        <v>06:44</v>
        <stp/>
        <stp>Market</stp>
        <stp>INDEX</stp>
        <stp>DJIA</stp>
        <stp>更新時刻</stp>
        <tr r="D20" s="1"/>
      </tp>
    </main>
    <main first="rtdsrv.dff54f4b11dd4e0d9cb19000fb943d8c">
      <tp t="s">
        <v>07:15</v>
        <stp/>
        <stp>Market</stp>
        <stp>INDEX</stp>
        <stp>OFIN</stp>
        <stp>更新時刻</stp>
        <tr r="D42" s="1"/>
      </tp>
    </main>
    <main first="rtdsrv.dff54f4b11dd4e0d9cb19000fb943d8c">
      <tp t="s">
        <v>06:15</v>
        <stp/>
        <stp>Market</stp>
        <stp>INDEX</stp>
        <stp>VVIX</stp>
        <stp>更新時刻</stp>
        <tr r="D26" s="1"/>
      </tp>
    </main>
    <main first="rtdsrv.dff54f4b11dd4e0d9cb19000fb943d8c">
      <tp t="s">
        <v/>
        <stp/>
        <stp>Market</stp>
        <stp>INDEX</stp>
        <stp>TSR20.FUT06.OS</stp>
        <stp>前年最高値</stp>
        <tr r="S158" s="1"/>
      </tp>
      <tp t="s">
        <v/>
        <stp/>
        <stp>Market</stp>
        <stp>INDEX</stp>
        <stp>TSR20.FUT07.OS</stp>
        <stp>前年最高値</stp>
        <tr r="S159" s="1"/>
      </tp>
      <tp t="s">
        <v/>
        <stp/>
        <stp>Market</stp>
        <stp>INDEX</stp>
        <stp>TSR20.FUT04.OS</stp>
        <stp>前年最高値</stp>
        <tr r="S156" s="1"/>
      </tp>
      <tp t="s">
        <v/>
        <stp/>
        <stp>Market</stp>
        <stp>INDEX</stp>
        <stp>TSR20.FUT05.OS</stp>
        <stp>前年最高値</stp>
        <tr r="S157" s="1"/>
      </tp>
      <tp t="s">
        <v/>
        <stp/>
        <stp>Market</stp>
        <stp>INDEX</stp>
        <stp>TSR20.FUT02.OS</stp>
        <stp>前年最高値</stp>
        <tr r="S154" s="1"/>
      </tp>
    </main>
    <main first="rtdsrv.dff54f4b11dd4e0d9cb19000fb943d8c">
      <tp t="s">
        <v/>
        <stp/>
        <stp>Market</stp>
        <stp>INDEX</stp>
        <stp>TSR20.FUT03.OS</stp>
        <stp>前年最高値</stp>
        <tr r="S155" s="1"/>
      </tp>
      <tp t="s">
        <v/>
        <stp/>
        <stp>Market</stp>
        <stp>INDEX</stp>
        <stp>TSR20.FUT01.OS</stp>
        <stp>前年最高値</stp>
        <tr r="S153" s="1"/>
      </tp>
      <tp>
        <v>0</v>
        <stp/>
        <stp>Market</stp>
        <stp>INDEX</stp>
        <stp>REDBEAN.FUT02.OS</stp>
        <stp>前日比率</stp>
        <tr r="H166" s="1"/>
      </tp>
      <tp>
        <v>0</v>
        <stp/>
        <stp>Market</stp>
        <stp>INDEX</stp>
        <stp>REDBEAN.FUT03.OS</stp>
        <stp>前日比率</stp>
        <tr r="H167" s="1"/>
      </tp>
      <tp>
        <v>0</v>
        <stp/>
        <stp>Market</stp>
        <stp>INDEX</stp>
        <stp>REDBEAN.FUT01.OS</stp>
        <stp>前日比率</stp>
        <tr r="H165" s="1"/>
      </tp>
      <tp>
        <v>0</v>
        <stp/>
        <stp>Market</stp>
        <stp>INDEX</stp>
        <stp>REDBEAN.FUT06.OS</stp>
        <stp>前日比率</stp>
        <tr r="H170" s="1"/>
      </tp>
      <tp>
        <v>0</v>
        <stp/>
        <stp>Market</stp>
        <stp>INDEX</stp>
        <stp>REDBEAN.FUT04.OS</stp>
        <stp>前日比率</stp>
        <tr r="H168" s="1"/>
      </tp>
      <tp>
        <v>0</v>
        <stp/>
        <stp>Market</stp>
        <stp>INDEX</stp>
        <stp>REDBEAN.FUT05.OS</stp>
        <stp>前日比率</stp>
        <tr r="H169" s="1"/>
      </tp>
    </main>
    <main first="rtdsrv.dff54f4b11dd4e0d9cb19000fb943d8c">
      <tp t="s">
        <v/>
        <stp/>
        <stp>Market</stp>
        <stp>INDEX</stp>
        <stp>TSR20.FUT08.OS</stp>
        <stp>前年最高値</stp>
        <tr r="S160" s="1"/>
      </tp>
      <tp t="s">
        <v/>
        <stp/>
        <stp>Market</stp>
        <stp>INDEX</stp>
        <stp>TSR20.FUT09.OS</stp>
        <stp>前年最高値</stp>
        <tr r="S161" s="1"/>
      </tp>
      <tp>
        <v>1040.82</v>
        <stp/>
        <stp>Market</stp>
        <stp>INDEX</stp>
        <stp>TSGM</stp>
        <stp>前年最高値</stp>
        <tr r="S8" s="1"/>
      </tp>
      <tp>
        <v>1542.79</v>
        <stp/>
        <stp>Market</stp>
        <stp>INDEX</stp>
        <stp>TSSM</stp>
        <stp>前年最高値</stp>
        <tr r="S7" s="1"/>
      </tp>
      <tp>
        <v>1769.81</v>
        <stp/>
        <stp>Market</stp>
        <stp>INDEX</stp>
        <stp>TSPM</stp>
        <stp>前年最高値</stp>
        <tr r="S6" s="1"/>
      </tp>
      <tp>
        <v>0</v>
        <stp/>
        <stp>Market</stp>
        <stp>INDEX</stp>
        <stp>REDBEAN.FUT01.OS</stp>
        <stp>高値</stp>
        <tr r="L165" s="1"/>
      </tp>
      <tp>
        <v>689.65</v>
        <stp/>
        <stp>Market</stp>
        <stp>INDEX</stp>
        <stp>SIXM</stp>
        <stp>前年最高値</stp>
        <tr r="S29" s="1"/>
      </tp>
    </main>
    <main first="rtdsrv.dff54f4b11dd4e0d9cb19000fb943d8c">
      <tp>
        <v>1316.5</v>
        <stp/>
        <stp>Market</stp>
        <stp>INDEX</stp>
        <stp>EMCLOUD</stp>
        <stp>高値</stp>
        <tr r="L62" s="1"/>
      </tp>
    </main>
    <main first="rtdsrv.dff54f4b11dd4e0d9cb19000fb943d8c">
      <tp t="s">
        <v/>
        <stp/>
        <stp>Market</stp>
        <stp>INDEX</stp>
        <stp>NZD/JPY</stp>
        <stp>前日比率</stp>
        <tr r="H191" s="1"/>
      </tp>
    </main>
    <main first="rtdsrv.dff54f4b11dd4e0d9cb19000fb943d8c">
      <tp t="s">
        <v/>
        <stp/>
        <stp>Market</stp>
        <stp>INDEX</stp>
        <stp>GBP/CHF</stp>
        <stp>前日比率</stp>
        <tr r="H202" s="1"/>
      </tp>
    </main>
    <main first="rtdsrv.dff54f4b11dd4e0d9cb19000fb943d8c">
      <tp t="s">
        <v>SIXT</v>
        <stp/>
        <stp>Market</stp>
        <stp>INDEX</stp>
        <stp>SIXT</stp>
        <stp>指標コード</stp>
        <tr r="A36" s="1"/>
      </tp>
    </main>
    <main first="rtdsrv.dff54f4b11dd4e0d9cb19000fb943d8c">
      <tp>
        <v>1989.05</v>
        <stp/>
        <stp>Market</stp>
        <stp>INDEX</stp>
        <stp>NQROBO</stp>
        <stp>前年最高値</stp>
        <tr r="S61" s="1"/>
      </tp>
      <tp t="s">
        <v>NDXT</v>
        <stp/>
        <stp>Market</stp>
        <stp>INDEX</stp>
        <stp>NDXT</stp>
        <stp>指標コード</stp>
        <tr r="A49" s="1"/>
      </tp>
    </main>
    <main first="rtdsrv.dff54f4b11dd4e0d9cb19000fb943d8c">
      <tp>
        <v>27330</v>
        <stp/>
        <stp>Market</stp>
        <stp>INDEX</stp>
        <stp>GOLD.FUT06.OS</stp>
        <stp>現在値</stp>
        <tr r="E108" s="1"/>
      </tp>
      <tp>
        <v>27110</v>
        <stp/>
        <stp>Market</stp>
        <stp>INDEX</stp>
        <stp>GOLD.FUT05.OS</stp>
        <stp>現在値</stp>
        <tr r="E107" s="1"/>
      </tp>
      <tp>
        <v>26876</v>
        <stp/>
        <stp>Market</stp>
        <stp>INDEX</stp>
        <stp>GOLD.FUT04.OS</stp>
        <stp>現在値</stp>
        <tr r="E106" s="1"/>
      </tp>
      <tp>
        <v>26600</v>
        <stp/>
        <stp>Market</stp>
        <stp>INDEX</stp>
        <stp>GOLD.FUT03.OS</stp>
        <stp>現在値</stp>
        <tr r="E105" s="1"/>
      </tp>
      <tp>
        <v>26466</v>
        <stp/>
        <stp>Market</stp>
        <stp>INDEX</stp>
        <stp>GOLD.FUT02.OS</stp>
        <stp>現在値</stp>
        <tr r="E104" s="1"/>
      </tp>
      <tp>
        <v>26435</v>
        <stp/>
        <stp>Market</stp>
        <stp>INDEX</stp>
        <stp>GOLD.FUT01.OS</stp>
        <stp>現在値</stp>
        <tr r="E103" s="1"/>
      </tp>
    </main>
    <main first="rtdsrv.dff54f4b11dd4e0d9cb19000fb943d8c">
      <tp t="s">
        <v>17:08</v>
        <stp/>
        <stp>Market</stp>
        <stp>INDEX</stp>
        <stp>HSI</stp>
        <stp>更新時刻</stp>
        <tr r="D65" s="1"/>
      </tp>
    </main>
    <main first="rtdsrv.dff54f4b11dd4e0d9cb19000fb943d8c">
      <tp t="s">
        <v>07:15</v>
        <stp/>
        <stp>Market</stp>
        <stp>INDEX</stp>
        <stp>OSX</stp>
        <stp>更新時刻</stp>
        <tr r="D53" s="1"/>
      </tp>
    </main>
    <main first="rtdsrv.dff54f4b11dd4e0d9cb19000fb943d8c">
      <tp t="s">
        <v>07:15</v>
        <stp/>
        <stp>Market</stp>
        <stp>INDEX</stp>
        <stp>IXHC</stp>
        <stp>更新時刻</stp>
        <tr r="D48" s="1"/>
      </tp>
    </main>
    <main first="rtdsrv.dff54f4b11dd4e0d9cb19000fb943d8c">
      <tp>
        <v>15011517</v>
        <stp/>
        <stp>Market</stp>
        <stp>INDEX</stp>
        <stp>N225U.FUT04.OS</stp>
        <stp>売買代金</stp>
        <tr r="R85" s="1"/>
      </tp>
      <tp>
        <v>255952098</v>
        <stp/>
        <stp>Market</stp>
        <stp>INDEX</stp>
        <stp>N225U.FUT01.OS</stp>
        <stp>売買代金</stp>
        <tr r="R82" s="1"/>
      </tp>
      <tp>
        <v>1766154</v>
        <stp/>
        <stp>Market</stp>
        <stp>INDEX</stp>
        <stp>N225U.FUT02.OS</stp>
        <stp>売買代金</stp>
        <tr r="R83" s="1"/>
      </tp>
      <tp>
        <v>123911</v>
        <stp/>
        <stp>Market</stp>
        <stp>INDEX</stp>
        <stp>N225U.FUT03.OS</stp>
        <stp>売買代金</stp>
        <tr r="R84" s="1"/>
      </tp>
      <tp t="s">
        <v/>
        <stp/>
        <stp>Market</stp>
        <stp>INDEX</stp>
        <stp>AUD/CHF</stp>
        <stp>前日終値</stp>
        <tr r="I205" s="1"/>
      </tp>
    </main>
    <main first="rtdsrv.dff54f4b11dd4e0d9cb19000fb943d8c">
      <tp t="s">
        <v>15:30</v>
        <stp/>
        <stp>Market</stp>
        <stp>INDEX</stp>
        <stp>MTHR</stp>
        <stp>更新時刻</stp>
        <tr r="D13" s="1"/>
      </tp>
      <tp>
        <v>0</v>
        <stp/>
        <stp>Market</stp>
        <stp>INDEX</stp>
        <stp>JN400.FUT05.OS</stp>
        <stp>前日終値</stp>
        <tr r="I100" s="1"/>
      </tp>
      <tp>
        <v>0</v>
        <stp/>
        <stp>Market</stp>
        <stp>INDEX</stp>
        <stp>JN400.FUT04.OS</stp>
        <stp>前日終値</stp>
        <tr r="I99" s="1"/>
      </tp>
      <tp>
        <v>35800</v>
        <stp/>
        <stp>Market</stp>
        <stp>INDEX</stp>
        <stp>JN400.FUT01.OS</stp>
        <stp>前日終値</stp>
        <tr r="I96" s="1"/>
      </tp>
      <tp>
        <v>0</v>
        <stp/>
        <stp>Market</stp>
        <stp>INDEX</stp>
        <stp>JN400.FUT03.OS</stp>
        <stp>前日終値</stp>
        <tr r="I98" s="1"/>
      </tp>
      <tp>
        <v>0</v>
        <stp/>
        <stp>Market</stp>
        <stp>INDEX</stp>
        <stp>JN400.FUT02.OS</stp>
        <stp>前日終値</stp>
        <tr r="I97" s="1"/>
      </tp>
    </main>
    <main first="rtdsrv.dff54f4b11dd4e0d9cb19000fb943d8c">
      <tp t="s">
        <v/>
        <stp/>
        <stp>Market</stp>
        <stp>INDEX</stp>
        <stp>EUR/CHF</stp>
        <stp>前日終値</stp>
        <tr r="I204" s="1"/>
      </tp>
    </main>
    <main first="rtdsrv.dff54f4b11dd4e0d9cb19000fb943d8c">
      <tp t="s">
        <v>JN400</v>
        <stp/>
        <stp>Market</stp>
        <stp>INDEX</stp>
        <stp>JN400</stp>
        <stp>指標コード</stp>
        <tr r="A5" s="1"/>
      </tp>
      <tp t="s">
        <v/>
        <stp/>
        <stp>Market</stp>
        <stp>INDEX</stp>
        <stp>TSR20.FUT12.OS</stp>
        <stp>前年最高値</stp>
        <tr r="S164" s="1"/>
      </tp>
      <tp t="s">
        <v/>
        <stp/>
        <stp>Market</stp>
        <stp>INDEX</stp>
        <stp>TSR20.FUT10.OS</stp>
        <stp>前年最高値</stp>
        <tr r="S162" s="1"/>
      </tp>
    </main>
    <main first="rtdsrv.dff54f4b11dd4e0d9cb19000fb943d8c">
      <tp t="s">
        <v/>
        <stp/>
        <stp>Market</stp>
        <stp>INDEX</stp>
        <stp>TSR20.FUT11.OS</stp>
        <stp>前年最高値</stp>
        <tr r="S163" s="1"/>
      </tp>
    </main>
    <main first="rtdsrv.dff54f4b11dd4e0d9cb19000fb943d8c">
      <tp>
        <v>0</v>
        <stp/>
        <stp>Market</stp>
        <stp>INDEX</stp>
        <stp>SOYBEAN.FUT01.OS</stp>
        <stp>高値</stp>
        <tr r="L171" s="1"/>
      </tp>
    </main>
    <main first="rtdsrv.dff54f4b11dd4e0d9cb19000fb943d8c">
      <tp t="s">
        <v/>
        <stp/>
        <stp>Market</stp>
        <stp>INDEX</stp>
        <stp>USD/JPY</stp>
        <stp>指標コード</stp>
        <tr r="A187" s="1"/>
      </tp>
      <tp t="s">
        <v/>
        <stp/>
        <stp>Market</stp>
        <stp>INDEX</stp>
        <stp>SGD/JPY</stp>
        <stp>指標コード</stp>
        <tr r="A196" s="1"/>
      </tp>
      <tp t="s">
        <v/>
        <stp/>
        <stp>Market</stp>
        <stp>INDEX</stp>
        <stp>AUD/JPY</stp>
        <stp>指標コード</stp>
        <tr r="A190" s="1"/>
      </tp>
      <tp t="s">
        <v/>
        <stp/>
        <stp>Market</stp>
        <stp>INDEX</stp>
        <stp>CAD/JPY</stp>
        <stp>指標コード</stp>
        <tr r="A193" s="1"/>
      </tp>
      <tp t="s">
        <v/>
        <stp/>
        <stp>Market</stp>
        <stp>INDEX</stp>
        <stp>NZD/JPY</stp>
        <stp>指標コード</stp>
        <tr r="A191" s="1"/>
      </tp>
      <tp t="s">
        <v/>
        <stp/>
        <stp>Market</stp>
        <stp>INDEX</stp>
        <stp>HKD/JPY</stp>
        <stp>指標コード</stp>
        <tr r="A195" s="1"/>
      </tp>
      <tp t="s">
        <v>2026/02/27</v>
        <stp/>
        <stp>Market</stp>
        <stp>INDEX</stp>
        <stp>GOLD.FUT01.OS</stp>
        <stp>前日日付</stp>
        <tr r="J103" s="1"/>
      </tp>
      <tp t="s">
        <v>2026/02/27</v>
        <stp/>
        <stp>Market</stp>
        <stp>INDEX</stp>
        <stp>GOLD.FUT03.OS</stp>
        <stp>前日日付</stp>
        <tr r="J105" s="1"/>
      </tp>
      <tp t="s">
        <v>2026/02/27</v>
        <stp/>
        <stp>Market</stp>
        <stp>INDEX</stp>
        <stp>GOLD.FUT02.OS</stp>
        <stp>前日日付</stp>
        <tr r="J104" s="1"/>
      </tp>
      <tp t="s">
        <v>2026/02/27</v>
        <stp/>
        <stp>Market</stp>
        <stp>INDEX</stp>
        <stp>GOLD.FUT05.OS</stp>
        <stp>前日日付</stp>
        <tr r="J107" s="1"/>
      </tp>
      <tp t="s">
        <v>2026/02/27</v>
        <stp/>
        <stp>Market</stp>
        <stp>INDEX</stp>
        <stp>GOLD.FUT04.OS</stp>
        <stp>前日日付</stp>
        <tr r="J106" s="1"/>
      </tp>
      <tp t="s">
        <v>2026/02/27</v>
        <stp/>
        <stp>Market</stp>
        <stp>INDEX</stp>
        <stp>GOLD.FUT06.OS</stp>
        <stp>前日日付</stp>
        <tr r="J108" s="1"/>
      </tp>
    </main>
    <main first="rtdsrv.dff54f4b11dd4e0d9cb19000fb943d8c">
      <tp t="s">
        <v/>
        <stp/>
        <stp>Market</stp>
        <stp>INDEX</stp>
        <stp>AUD/JPY</stp>
        <stp>前日日付</stp>
        <tr r="J190" s="1"/>
      </tp>
    </main>
    <main first="rtdsrv.dff54f4b11dd4e0d9cb19000fb943d8c">
      <tp t="s">
        <v/>
        <stp/>
        <stp>Market</stp>
        <stp>INDEX</stp>
        <stp>EUR/JPY</stp>
        <stp>前日日付</stp>
        <tr r="J188" s="1"/>
      </tp>
    </main>
    <main first="rtdsrv.dff54f4b11dd4e0d9cb19000fb943d8c">
      <tp t="s">
        <v>SIXU</v>
        <stp/>
        <stp>Market</stp>
        <stp>INDEX</stp>
        <stp>SIXU</stp>
        <stp>指標コード</stp>
        <tr r="A31" s="1"/>
      </tp>
      <tp>
        <v>3492.8</v>
        <stp/>
        <stp>Market</stp>
        <stp>INDEX</stp>
        <stp>SP100</stp>
        <stp>前年最高値</stp>
        <tr r="S23" s="1"/>
      </tp>
      <tp>
        <v>6945.77</v>
        <stp/>
        <stp>Market</stp>
        <stp>INDEX</stp>
        <stp>SP500</stp>
        <stp>前年最高値</stp>
        <tr r="S24" s="1"/>
      </tp>
    </main>
    <main first="rtdsrv.dff54f4b11dd4e0d9cb19000fb943d8c">
      <tp t="s">
        <v>07:15</v>
        <stp/>
        <stp>Market</stp>
        <stp>INDEX</stp>
        <stp>UTY</stp>
        <stp>更新時刻</stp>
        <tr r="D54" s="1"/>
      </tp>
    </main>
    <main first="rtdsrv.dff54f4b11dd4e0d9cb19000fb943d8c">
      <tp t="s">
        <v/>
        <stp/>
        <stp>Market</stp>
        <stp>INDEX</stp>
        <stp>MOT.FUT01.OS</stp>
        <stp>更新時刻</stp>
        <tr r="D91" s="1"/>
      </tp>
    </main>
    <main first="rtdsrv.dff54f4b11dd4e0d9cb19000fb943d8c">
      <tp t="s">
        <v/>
        <stp/>
        <stp>Market</stp>
        <stp>INDEX</stp>
        <stp>MOT.FUT02.OS</stp>
        <stp>更新時刻</stp>
        <tr r="D92" s="1"/>
      </tp>
      <tp t="s">
        <v/>
        <stp/>
        <stp>Market</stp>
        <stp>INDEX</stp>
        <stp>MOT.FUT03.OS</stp>
        <stp>更新時刻</stp>
        <tr r="D93" s="1"/>
      </tp>
    </main>
    <main first="rtdsrv.dff54f4b11dd4e0d9cb19000fb943d8c">
      <tp t="s">
        <v/>
        <stp/>
        <stp>Market</stp>
        <stp>INDEX</stp>
        <stp>MOT.FUT04.OS</stp>
        <stp>更新時刻</stp>
        <tr r="D94" s="1"/>
      </tp>
    </main>
    <main first="rtdsrv.dff54f4b11dd4e0d9cb19000fb943d8c">
      <tp t="s">
        <v/>
        <stp/>
        <stp>Market</stp>
        <stp>INDEX</stp>
        <stp>MOT.FUT05.OS</stp>
        <stp>更新時刻</stp>
        <tr r="D95" s="1"/>
      </tp>
    </main>
    <main first="rtdsrv.dff54f4b11dd4e0d9cb19000fb943d8c">
      <tp>
        <v>4776.34</v>
        <stp/>
        <stp>Market</stp>
        <stp>INDEX</stp>
        <stp>BANK</stp>
        <stp>前年最高値</stp>
        <tr r="S40" s="1"/>
      </tp>
    </main>
    <main first="rtdsrv.dff54f4b11dd4e0d9cb19000fb943d8c">
      <tp>
        <v>0</v>
        <stp/>
        <stp>Market</stp>
        <stp>INDEX</stp>
        <stp>SOYBEAN.FUT06.OS</stp>
        <stp>高値</stp>
        <tr r="L176" s="1"/>
      </tp>
    </main>
    <main first="rtdsrv.dff54f4b11dd4e0d9cb19000fb943d8c">
      <tp t="s">
        <v/>
        <stp/>
        <stp>Market</stp>
        <stp>INDEX</stp>
        <stp>TRY/JPY</stp>
        <stp>前日日付</stp>
        <tr r="J209" s="1"/>
      </tp>
      <tp t="s">
        <v>SIXR</v>
        <stp/>
        <stp>Market</stp>
        <stp>INDEX</stp>
        <stp>SIXR</stp>
        <stp>指標コード</stp>
        <tr r="A35" s="1"/>
      </tp>
      <tp>
        <v>9585.82</v>
        <stp/>
        <stp>Market</stp>
        <stp>INDEX</stp>
        <stp>HSCEI</stp>
        <stp>年初来高値</stp>
        <tr r="V66" s="1"/>
      </tp>
      <tp>
        <v>4511.88</v>
        <stp/>
        <stp>Market</stp>
        <stp>INDEX</stp>
        <stp>HSCCI</stp>
        <stp>年初来高値</stp>
        <tr r="V67" s="1"/>
      </tp>
      <tp>
        <v>1432.93</v>
        <stp/>
        <stp>Market</stp>
        <stp>INDEX</stp>
        <stp>TSM20</stp>
        <stp>前年最高値</stp>
        <tr r="S11" s="1"/>
      </tp>
      <tp>
        <v>20609.099999999999</v>
        <stp/>
        <stp>Market</stp>
        <stp>INDEX</stp>
        <stp>HSCEI</stp>
        <stp>上場来高値</stp>
        <tr r="X66" s="1"/>
      </tp>
      <tp>
        <v>7107.94</v>
        <stp/>
        <stp>Market</stp>
        <stp>INDEX</stp>
        <stp>HSCCI</stp>
        <stp>上場来高値</stp>
        <tr r="X67" s="1"/>
      </tp>
      <tp t="s">
        <v>INSR</v>
        <stp/>
        <stp>Market</stp>
        <stp>INDEX</stp>
        <stp>INSR</stp>
        <stp>指標コード</stp>
        <tr r="A41" s="1"/>
      </tp>
      <tp t="s">
        <v>MTHR</v>
        <stp/>
        <stp>Market</stp>
        <stp>INDEX</stp>
        <stp>MTHR</stp>
        <stp>指標コード</stp>
        <tr r="A13" s="1"/>
      </tp>
      <tp>
        <v>2029.44</v>
        <stp/>
        <stp>Market</stp>
        <stp>INDEX</stp>
        <stp>TREIT</stp>
        <stp>前日終値</stp>
        <tr r="I15" s="1"/>
      </tp>
      <tp>
        <v>0</v>
        <stp/>
        <stp>Market</stp>
        <stp>INDEX</stp>
        <stp>TS1EX</stp>
        <stp>現在値</stp>
        <tr r="E10" s="1"/>
      </tp>
    </main>
    <main first="rtdsrv.dff54f4b11dd4e0d9cb19000fb943d8c">
      <tp>
        <v>19.86</v>
        <stp/>
        <stp>Market</stp>
        <stp>INDEX</stp>
        <stp>VIX</stp>
        <stp>現在値</stp>
        <tr r="E25" s="1"/>
      </tp>
    </main>
    <main first="rtdsrv.dff54f4b11dd4e0d9cb19000fb943d8c">
      <tp t="s">
        <v/>
        <stp/>
        <stp>Market</stp>
        <stp>INDEX</stp>
        <stp>USD/CHF</stp>
        <stp>前日終値</stp>
        <tr r="I201" s="1"/>
      </tp>
      <tp t="s">
        <v>07:15</v>
        <stp/>
        <stp>Market</stp>
        <stp>INDEX</stp>
        <stp>BANK</stp>
        <stp>更新時刻</stp>
        <tr r="D40" s="1"/>
      </tp>
      <tp t="s">
        <v/>
        <stp/>
        <stp>Market</stp>
        <stp>INDEX</stp>
        <stp>HKD/JPY</stp>
        <stp>前日終値</stp>
        <tr r="I195" s="1"/>
      </tp>
    </main>
    <main first="rtdsrv.dff54f4b11dd4e0d9cb19000fb943d8c">
      <tp>
        <v>24960.035</v>
        <stp/>
        <stp>Market</stp>
        <stp>INDEX</stp>
        <stp>NQ100</stp>
        <stp>現在値</stp>
        <tr r="E22" s="1"/>
      </tp>
      <tp>
        <v>3347.38</v>
        <stp/>
        <stp>Market</stp>
        <stp>INDEX</stp>
        <stp>SP100</stp>
        <stp>現在値</stp>
        <tr r="E23" s="1"/>
      </tp>
    </main>
    <main first="rtdsrv.dff54f4b11dd4e0d9cb19000fb943d8c">
      <tp>
        <v>0</v>
        <stp/>
        <stp>Market</stp>
        <stp>INDEX</stp>
        <stp>REDBEAN.FUT06.OS</stp>
        <stp>高値</stp>
        <tr r="L170" s="1"/>
      </tp>
    </main>
    <main first="rtdsrv.dff54f4b11dd4e0d9cb19000fb943d8c">
      <tp>
        <v>22735.784</v>
        <stp/>
        <stp>Market</stp>
        <stp>INDEX</stp>
        <stp>NQ</stp>
        <stp>高値</stp>
        <tr r="L21" s="1"/>
      </tp>
    </main>
    <main first="rtdsrv.dff54f4b11dd4e0d9cb19000fb943d8c">
      <tp t="s">
        <v/>
        <stp/>
        <stp>Market</stp>
        <stp>INDEX</stp>
        <stp>NZD/CHF</stp>
        <stp>前年最高値</stp>
        <tr r="S206" s="1"/>
      </tp>
      <tp t="s">
        <v/>
        <stp/>
        <stp>Market</stp>
        <stp>INDEX</stp>
        <stp>EUR/GBP</stp>
        <stp>前年最高値</stp>
        <tr r="S203" s="1"/>
      </tp>
      <tp t="s">
        <v/>
        <stp/>
        <stp>Market</stp>
        <stp>INDEX</stp>
        <stp>AUD/CHF</stp>
        <stp>前年最高値</stp>
        <tr r="S205" s="1"/>
      </tp>
      <tp t="s">
        <v/>
        <stp/>
        <stp>Market</stp>
        <stp>INDEX</stp>
        <stp>USD/CHF</stp>
        <stp>前年最高値</stp>
        <tr r="S201" s="1"/>
      </tp>
      <tp t="s">
        <v/>
        <stp/>
        <stp>Market</stp>
        <stp>INDEX</stp>
        <stp>USD/JPY</stp>
        <stp>前日日付</stp>
        <tr r="J187" s="1"/>
      </tp>
      <tp t="s">
        <v/>
        <stp/>
        <stp>Market</stp>
        <stp>INDEX</stp>
        <stp>TSR20.FUT12.OS</stp>
        <stp>前日日付</stp>
        <tr r="J164" s="1"/>
      </tp>
      <tp t="s">
        <v/>
        <stp/>
        <stp>Market</stp>
        <stp>INDEX</stp>
        <stp>TSR20.FUT11.OS</stp>
        <stp>前日日付</stp>
        <tr r="J163" s="1"/>
      </tp>
      <tp t="s">
        <v/>
        <stp/>
        <stp>Market</stp>
        <stp>INDEX</stp>
        <stp>TSR20.FUT10.OS</stp>
        <stp>前日日付</stp>
        <tr r="J162" s="1"/>
      </tp>
      <tp t="s">
        <v/>
        <stp/>
        <stp>Market</stp>
        <stp>INDEX</stp>
        <stp>TSR20.FUT07.OS</stp>
        <stp>前日日付</stp>
        <tr r="J159" s="1"/>
      </tp>
      <tp t="s">
        <v/>
        <stp/>
        <stp>Market</stp>
        <stp>INDEX</stp>
        <stp>TSR20.FUT06.OS</stp>
        <stp>前日日付</stp>
        <tr r="J158" s="1"/>
      </tp>
      <tp t="s">
        <v/>
        <stp/>
        <stp>Market</stp>
        <stp>INDEX</stp>
        <stp>TSR20.FUT05.OS</stp>
        <stp>前日日付</stp>
        <tr r="J157" s="1"/>
      </tp>
      <tp t="s">
        <v/>
        <stp/>
        <stp>Market</stp>
        <stp>INDEX</stp>
        <stp>TSR20.FUT04.OS</stp>
        <stp>前日日付</stp>
        <tr r="J156" s="1"/>
      </tp>
      <tp t="s">
        <v/>
        <stp/>
        <stp>Market</stp>
        <stp>INDEX</stp>
        <stp>TSR20.FUT03.OS</stp>
        <stp>前日日付</stp>
        <tr r="J155" s="1"/>
      </tp>
      <tp t="s">
        <v/>
        <stp/>
        <stp>Market</stp>
        <stp>INDEX</stp>
        <stp>TSR20.FUT02.OS</stp>
        <stp>前日日付</stp>
        <tr r="J154" s="1"/>
      </tp>
      <tp t="s">
        <v/>
        <stp/>
        <stp>Market</stp>
        <stp>INDEX</stp>
        <stp>TSR20.FUT01.OS</stp>
        <stp>前日日付</stp>
        <tr r="J153" s="1"/>
      </tp>
      <tp t="s">
        <v/>
        <stp/>
        <stp>Market</stp>
        <stp>INDEX</stp>
        <stp>TSR20.FUT09.OS</stp>
        <stp>前日日付</stp>
        <tr r="J161" s="1"/>
      </tp>
      <tp t="s">
        <v/>
        <stp/>
        <stp>Market</stp>
        <stp>INDEX</stp>
        <stp>TSR20.FUT08.OS</stp>
        <stp>前日日付</stp>
        <tr r="J160" s="1"/>
      </tp>
    </main>
    <main first="rtdsrv.dff54f4b11dd4e0d9cb19000fb943d8c">
      <tp t="s">
        <v>2026/02/26</v>
        <stp/>
        <stp>Market</stp>
        <stp>INDEX</stp>
        <stp>JGB:FDI</stp>
        <stp>前日日付</stp>
        <tr r="J19" s="1"/>
      </tp>
      <tp>
        <v>2078.1999999999998</v>
        <stp/>
        <stp>Market</stp>
        <stp>INDEX</stp>
        <stp>TREIT</stp>
        <stp>年初来高値</stp>
        <tr r="V15" s="1"/>
      </tp>
      <tp t="s">
        <v>-</v>
        <stp/>
        <stp>Market</stp>
        <stp>INDEX</stp>
        <stp>NQROBO</stp>
        <stp>出来高</stp>
        <tr r="Q61" s="1"/>
      </tp>
      <tp>
        <v>2636.23</v>
        <stp/>
        <stp>Market</stp>
        <stp>INDEX</stp>
        <stp>TREIT</stp>
        <stp>上場来高値</stp>
        <tr r="X15" s="1"/>
      </tp>
      <tp t="s">
        <v>INDS</v>
        <stp/>
        <stp>Market</stp>
        <stp>INDEX</stp>
        <stp>INDS</stp>
        <stp>指標コード</stp>
        <tr r="A39" s="1"/>
      </tp>
    </main>
    <main first="rtdsrv.dff54f4b11dd4e0d9cb19000fb943d8c">
      <tp t="s">
        <v>15:50</v>
        <stp/>
        <stp>Market</stp>
        <stp>INDEX</stp>
        <stp>NVI</stp>
        <stp>更新時刻</stp>
        <tr r="D14" s="1"/>
      </tp>
      <tp>
        <v>1188.96</v>
        <stp/>
        <stp>Market</stp>
        <stp>INDEX</stp>
        <stp>UTY</stp>
        <stp>現在値</stp>
        <tr r="E54" s="1"/>
      </tp>
    </main>
    <main first="rtdsrv.dff54f4b11dd4e0d9cb19000fb943d8c">
      <tp>
        <v>1343.49</v>
        <stp/>
        <stp>Market</stp>
        <stp>INDEX</stp>
        <stp>EMCLOUD</stp>
        <stp>前日終値</stp>
        <tr r="I62" s="1"/>
      </tp>
    </main>
    <main first="rtdsrv.dff54f4b11dd4e0d9cb19000fb943d8c">
      <tp t="s">
        <v/>
        <stp/>
        <stp>Market</stp>
        <stp>INDEX</stp>
        <stp>CHF/JPY</stp>
        <stp>前日終値</stp>
        <tr r="I194" s="1"/>
      </tp>
    </main>
    <main first="rtdsrv.dff54f4b11dd4e0d9cb19000fb943d8c">
      <tp t="s">
        <v/>
        <stp/>
        <stp>Market</stp>
        <stp>INDEX</stp>
        <stp>GOLD.SPOT.OS</stp>
        <stp>指標コード</stp>
        <tr r="A115" s="1"/>
      </tp>
      <tp t="s">
        <v/>
        <stp/>
        <stp>Market</stp>
        <stp>INDEX</stp>
        <stp>JN400.FUT05.OS</stp>
        <stp>指標コード</stp>
        <tr r="A100" s="1"/>
      </tp>
      <tp>
        <v>0</v>
        <stp/>
        <stp>Market</stp>
        <stp>INDEX</stp>
        <stp>REDBEAN.FUT05.OS</stp>
        <stp>高値</stp>
        <tr r="L169" s="1"/>
      </tp>
      <tp t="s">
        <v/>
        <stp/>
        <stp>Market</stp>
        <stp>INDEX</stp>
        <stp>JN400.FUT04.OS</stp>
        <stp>指標コード</stp>
        <tr r="A99" s="1"/>
      </tp>
      <tp t="s">
        <v>NQCYBR</v>
        <stp/>
        <stp>Market</stp>
        <stp>INDEX</stp>
        <stp>NQCYBR</stp>
        <stp>指標コード</stp>
        <tr r="A59" s="1"/>
      </tp>
      <tp t="s">
        <v/>
        <stp/>
        <stp>Market</stp>
        <stp>INDEX</stp>
        <stp>JN400.FUT01.OS</stp>
        <stp>指標コード</stp>
        <tr r="A96" s="1"/>
      </tp>
      <tp>
        <v>1594.11</v>
        <stp/>
        <stp>Market</stp>
        <stp>INDEX</stp>
        <stp>SIXI</stp>
        <stp>前年最高値</stp>
        <tr r="S34" s="1"/>
      </tp>
      <tp t="s">
        <v/>
        <stp/>
        <stp>Market</stp>
        <stp>INDEX</stp>
        <stp>JN400.FUT03.OS</stp>
        <stp>指標コード</stp>
        <tr r="A98" s="1"/>
      </tp>
      <tp t="s">
        <v/>
        <stp/>
        <stp>Market</stp>
        <stp>INDEX</stp>
        <stp>JN400.FUT02.OS</stp>
        <stp>指標コード</stp>
        <tr r="A97" s="1"/>
      </tp>
    </main>
    <main first="rtdsrv.dff54f4b11dd4e0d9cb19000fb943d8c">
      <tp>
        <v>0</v>
        <stp/>
        <stp>Market</stp>
        <stp>INDEX</stp>
        <stp>SOYBEAN.FUT04.OS</stp>
        <stp>高値</stp>
        <tr r="L174" s="1"/>
      </tp>
      <tp t="s">
        <v>2026/02/26</v>
        <stp/>
        <stp>Market</stp>
        <stp>INDEX</stp>
        <stp>SIXRE</stp>
        <stp>前日日付</stp>
        <tr r="J30" s="1"/>
      </tp>
    </main>
    <main first="rtdsrv.dff54f4b11dd4e0d9cb19000fb943d8c">
      <tp t="s">
        <v/>
        <stp/>
        <stp>Market</stp>
        <stp>INDEX</stp>
        <stp>SILVER.FUT01.OS</stp>
        <stp>前年最高値</stp>
        <tr r="S129" s="1"/>
      </tp>
      <tp t="s">
        <v/>
        <stp/>
        <stp>Market</stp>
        <stp>INDEX</stp>
        <stp>EUR/AUD</stp>
        <stp>前日日付</stp>
        <tr r="J213" s="1"/>
      </tp>
      <tp t="s">
        <v/>
        <stp/>
        <stp>Market</stp>
        <stp>INDEX</stp>
        <stp>SILVER.FUT03.OS</stp>
        <stp>前年最高値</stp>
        <tr r="S131" s="1"/>
      </tp>
      <tp t="s">
        <v/>
        <stp/>
        <stp>Market</stp>
        <stp>INDEX</stp>
        <stp>SILVER.FUT02.OS</stp>
        <stp>前年最高値</stp>
        <tr r="S130" s="1"/>
      </tp>
      <tp t="s">
        <v/>
        <stp/>
        <stp>Market</stp>
        <stp>INDEX</stp>
        <stp>SILVER.FUT05.OS</stp>
        <stp>前年最高値</stp>
        <tr r="S133" s="1"/>
      </tp>
      <tp t="s">
        <v/>
        <stp/>
        <stp>Market</stp>
        <stp>INDEX</stp>
        <stp>SILVER.FUT04.OS</stp>
        <stp>前年最高値</stp>
        <tr r="S132" s="1"/>
      </tp>
      <tp t="s">
        <v/>
        <stp/>
        <stp>Market</stp>
        <stp>INDEX</stp>
        <stp>SILVER.FUT06.OS</stp>
        <stp>前年最高値</stp>
        <tr r="S134" s="1"/>
      </tp>
    </main>
    <main first="rtdsrv.dff54f4b11dd4e0d9cb19000fb943d8c">
      <tp t="s">
        <v>2026/02/26</v>
        <stp/>
        <stp>Market</stp>
        <stp>INDEX</stp>
        <stp>SILVER.FUT01.OS</stp>
        <stp>前日日付</stp>
        <tr r="J129" s="1"/>
      </tp>
      <tp t="s">
        <v>2026/02/27</v>
        <stp/>
        <stp>Market</stp>
        <stp>INDEX</stp>
        <stp>SILVER.FUT02.OS</stp>
        <stp>前日日付</stp>
        <tr r="J130" s="1"/>
      </tp>
      <tp t="s">
        <v>2026/02/27</v>
        <stp/>
        <stp>Market</stp>
        <stp>INDEX</stp>
        <stp>SILVER.FUT03.OS</stp>
        <stp>前日日付</stp>
        <tr r="J131" s="1"/>
      </tp>
      <tp t="s">
        <v>2026/02/25</v>
        <stp/>
        <stp>Market</stp>
        <stp>INDEX</stp>
        <stp>SILVER.FUT04.OS</stp>
        <stp>前日日付</stp>
        <tr r="J132" s="1"/>
      </tp>
      <tp t="s">
        <v>2026/02/25</v>
        <stp/>
        <stp>Market</stp>
        <stp>INDEX</stp>
        <stp>SILVER.FUT05.OS</stp>
        <stp>前日日付</stp>
        <tr r="J133" s="1"/>
      </tp>
      <tp t="s">
        <v>2026/02/27</v>
        <stp/>
        <stp>Market</stp>
        <stp>INDEX</stp>
        <stp>SILVER.FUT06.OS</stp>
        <stp>前日日付</stp>
        <tr r="J134" s="1"/>
      </tp>
      <tp t="s">
        <v/>
        <stp/>
        <stp>Market</stp>
        <stp>INDEX</stp>
        <stp>N225.FUT01.OS</stp>
        <stp>上場来高値</stp>
        <tr r="X72" s="1"/>
      </tp>
      <tp t="s">
        <v/>
        <stp/>
        <stp>Market</stp>
        <stp>INDEX</stp>
        <stp>N225.FUT03.OS</stp>
        <stp>上場来高値</stp>
        <tr r="X74" s="1"/>
      </tp>
      <tp t="s">
        <v/>
        <stp/>
        <stp>Market</stp>
        <stp>INDEX</stp>
        <stp>N225.FUT02.OS</stp>
        <stp>上場来高値</stp>
        <tr r="X73" s="1"/>
      </tp>
      <tp t="s">
        <v/>
        <stp/>
        <stp>Market</stp>
        <stp>INDEX</stp>
        <stp>N225.FUT05.OS</stp>
        <stp>上場来高値</stp>
        <tr r="X76" s="1"/>
      </tp>
      <tp t="s">
        <v/>
        <stp/>
        <stp>Market</stp>
        <stp>INDEX</stp>
        <stp>N225.FUT04.OS</stp>
        <stp>上場来高値</stp>
        <tr r="X75" s="1"/>
      </tp>
      <tp t="s">
        <v/>
        <stp/>
        <stp>Market</stp>
        <stp>INDEX</stp>
        <stp>N225U.FUT02.OS</stp>
        <stp>年初来高値</stp>
        <tr r="V83" s="1"/>
      </tp>
      <tp t="s">
        <v/>
        <stp/>
        <stp>Market</stp>
        <stp>INDEX</stp>
        <stp>N225M.FUT02.OS</stp>
        <stp>年初来高値</stp>
        <tr r="V78" s="1"/>
      </tp>
      <tp t="s">
        <v/>
        <stp/>
        <stp>Market</stp>
        <stp>INDEX</stp>
        <stp>N225U.FUT03.OS</stp>
        <stp>年初来高値</stp>
        <tr r="V84" s="1"/>
      </tp>
      <tp t="s">
        <v/>
        <stp/>
        <stp>Market</stp>
        <stp>INDEX</stp>
        <stp>N225M.FUT03.OS</stp>
        <stp>年初来高値</stp>
        <tr r="V79" s="1"/>
      </tp>
      <tp t="s">
        <v/>
        <stp/>
        <stp>Market</stp>
        <stp>INDEX</stp>
        <stp>N225U.FUT01.OS</stp>
        <stp>年初来高値</stp>
        <tr r="V82" s="1"/>
      </tp>
      <tp t="s">
        <v/>
        <stp/>
        <stp>Market</stp>
        <stp>INDEX</stp>
        <stp>N225M.FUT01.OS</stp>
        <stp>年初来高値</stp>
        <tr r="V77" s="1"/>
      </tp>
      <tp t="s">
        <v/>
        <stp/>
        <stp>Market</stp>
        <stp>INDEX</stp>
        <stp>N225U.FUT04.OS</stp>
        <stp>年初来高値</stp>
        <tr r="V85" s="1"/>
      </tp>
      <tp t="s">
        <v/>
        <stp/>
        <stp>Market</stp>
        <stp>INDEX</stp>
        <stp>N225M.FUT04.OS</stp>
        <stp>年初来高値</stp>
        <tr r="V80" s="1"/>
      </tp>
      <tp t="s">
        <v/>
        <stp/>
        <stp>Market</stp>
        <stp>INDEX</stp>
        <stp>N225M.FUT05.OS</stp>
        <stp>年初来高値</stp>
        <tr r="V81" s="1"/>
      </tp>
      <tp t="s">
        <v/>
        <stp/>
        <stp>Market</stp>
        <stp>INDEX</stp>
        <stp>N225.FUT01.OS</stp>
        <stp>年初来高値</stp>
        <tr r="V72" s="1"/>
      </tp>
      <tp t="s">
        <v/>
        <stp/>
        <stp>Market</stp>
        <stp>INDEX</stp>
        <stp>N225.FUT03.OS</stp>
        <stp>年初来高値</stp>
        <tr r="V74" s="1"/>
      </tp>
      <tp t="s">
        <v/>
        <stp/>
        <stp>Market</stp>
        <stp>INDEX</stp>
        <stp>N225.FUT02.OS</stp>
        <stp>年初来高値</stp>
        <tr r="V73" s="1"/>
      </tp>
      <tp t="s">
        <v/>
        <stp/>
        <stp>Market</stp>
        <stp>INDEX</stp>
        <stp>N225.FUT05.OS</stp>
        <stp>年初来高値</stp>
        <tr r="V76" s="1"/>
      </tp>
      <tp t="s">
        <v/>
        <stp/>
        <stp>Market</stp>
        <stp>INDEX</stp>
        <stp>N225.FUT04.OS</stp>
        <stp>年初来高値</stp>
        <tr r="V75" s="1"/>
      </tp>
      <tp t="s">
        <v/>
        <stp/>
        <stp>Market</stp>
        <stp>INDEX</stp>
        <stp>N225U.FUT02.OS</stp>
        <stp>上場来高値</stp>
        <tr r="X83" s="1"/>
      </tp>
      <tp t="s">
        <v/>
        <stp/>
        <stp>Market</stp>
        <stp>INDEX</stp>
        <stp>N225M.FUT02.OS</stp>
        <stp>上場来高値</stp>
        <tr r="X78" s="1"/>
      </tp>
      <tp t="s">
        <v/>
        <stp/>
        <stp>Market</stp>
        <stp>INDEX</stp>
        <stp>N225U.FUT03.OS</stp>
        <stp>上場来高値</stp>
        <tr r="X84" s="1"/>
      </tp>
      <tp t="s">
        <v/>
        <stp/>
        <stp>Market</stp>
        <stp>INDEX</stp>
        <stp>N225M.FUT03.OS</stp>
        <stp>上場来高値</stp>
        <tr r="X79" s="1"/>
      </tp>
      <tp t="s">
        <v/>
        <stp/>
        <stp>Market</stp>
        <stp>INDEX</stp>
        <stp>N225U.FUT01.OS</stp>
        <stp>上場来高値</stp>
        <tr r="X82" s="1"/>
      </tp>
      <tp t="s">
        <v/>
        <stp/>
        <stp>Market</stp>
        <stp>INDEX</stp>
        <stp>N225M.FUT01.OS</stp>
        <stp>上場来高値</stp>
        <tr r="X77" s="1"/>
      </tp>
      <tp t="s">
        <v/>
        <stp/>
        <stp>Market</stp>
        <stp>INDEX</stp>
        <stp>N225U.FUT04.OS</stp>
        <stp>上場来高値</stp>
        <tr r="X85" s="1"/>
      </tp>
      <tp t="s">
        <v/>
        <stp/>
        <stp>Market</stp>
        <stp>INDEX</stp>
        <stp>N225M.FUT04.OS</stp>
        <stp>上場来高値</stp>
        <tr r="X80" s="1"/>
      </tp>
      <tp t="s">
        <v/>
        <stp/>
        <stp>Market</stp>
        <stp>INDEX</stp>
        <stp>N225M.FUT05.OS</stp>
        <stp>上場来高値</stp>
        <tr r="X81" s="1"/>
      </tp>
    </main>
    <main first="rtdsrv.dff54f4b11dd4e0d9cb19000fb943d8c">
      <tp>
        <v>0</v>
        <stp/>
        <stp>Market</stp>
        <stp>INDEX</stp>
        <stp>TOPX.FUT05.OS</stp>
        <stp>前日終値</stp>
        <tr r="I90" s="1"/>
      </tp>
      <tp>
        <v>0</v>
        <stp/>
        <stp>Market</stp>
        <stp>INDEX</stp>
        <stp>TOPX.FUT04.OS</stp>
        <stp>前日終値</stp>
        <tr r="I89" s="1"/>
      </tp>
      <tp>
        <v>3954.5</v>
        <stp/>
        <stp>Market</stp>
        <stp>INDEX</stp>
        <stp>TOPX.FUT01.OS</stp>
        <stp>前日終値</stp>
        <tr r="I86" s="1"/>
      </tp>
      <tp>
        <v>0</v>
        <stp/>
        <stp>Market</stp>
        <stp>INDEX</stp>
        <stp>TOPX.FUT03.OS</stp>
        <stp>前日終値</stp>
        <tr r="I88" s="1"/>
      </tp>
      <tp>
        <v>3873</v>
        <stp/>
        <stp>Market</stp>
        <stp>INDEX</stp>
        <stp>TOPX.FUT02.OS</stp>
        <stp>前日終値</stp>
        <tr r="I87" s="1"/>
      </tp>
    </main>
    <main first="rtdsrv.dff54f4b11dd4e0d9cb19000fb943d8c">
      <tp t="s">
        <v/>
        <stp/>
        <stp>Market</stp>
        <stp>INDEX</stp>
        <stp>VOLQ</stp>
        <stp>更新時刻</stp>
        <tr r="D64" s="1"/>
      </tp>
    </main>
    <main first="rtdsrv.dff54f4b11dd4e0d9cb19000fb943d8c">
      <tp>
        <v>0</v>
        <stp/>
        <stp>Market</stp>
        <stp>INDEX</stp>
        <stp>REDBEAN.FUT04.OS</stp>
        <stp>高値</stp>
        <tr r="L168" s="1"/>
      </tp>
    </main>
    <main first="rtdsrv.dff54f4b11dd4e0d9cb19000fb943d8c">
      <tp>
        <v>0</v>
        <stp/>
        <stp>Market</stp>
        <stp>INDEX</stp>
        <stp>SOYBEAN.FUT05.OS</stp>
        <stp>高値</stp>
        <tr r="L175" s="1"/>
      </tp>
      <tp t="s">
        <v>NQ100</v>
        <stp/>
        <stp>Market</stp>
        <stp>INDEX</stp>
        <stp>NQ100</stp>
        <stp>指標コード</stp>
        <tr r="A22" s="1"/>
      </tp>
      <tp t="s">
        <v>2026/02/26</v>
        <stp/>
        <stp>Market</stp>
        <stp>INDEX</stp>
        <stp>SHKSC</stp>
        <stp>前日日付</stp>
        <tr r="J70" s="1"/>
      </tp>
      <tp>
        <v>-0.34329199999999999</v>
        <stp/>
        <stp>Market</stp>
        <stp>INDEX</stp>
        <stp>CSI300</stp>
        <stp>前日比率</stp>
        <tr r="H71" s="1"/>
      </tp>
      <tp t="s">
        <v>2026/02/26</v>
        <stp/>
        <stp>Market</stp>
        <stp>INDEX</stp>
        <stp>SPESG</stp>
        <stp>前日日付</stp>
        <tr r="J38" s="1"/>
      </tp>
      <tp t="s">
        <v/>
        <stp/>
        <stp>Market</stp>
        <stp>INDEX</stp>
        <stp>TCWSI</stp>
        <stp>前日日付</stp>
        <tr r="J101" s="1"/>
      </tp>
      <tp>
        <v>0</v>
        <stp/>
        <stp>Market</stp>
        <stp>INDEX</stp>
        <stp>CORN.FUT06.OS</stp>
        <stp>前日比率</stp>
        <tr r="H182" s="1"/>
      </tp>
      <tp>
        <v>0</v>
        <stp/>
        <stp>Market</stp>
        <stp>INDEX</stp>
        <stp>CORN.FUT04.OS</stp>
        <stp>前日比率</stp>
        <tr r="H180" s="1"/>
      </tp>
      <tp>
        <v>0</v>
        <stp/>
        <stp>Market</stp>
        <stp>INDEX</stp>
        <stp>CORN.FUT05.OS</stp>
        <stp>前日比率</stp>
        <tr r="H181" s="1"/>
      </tp>
      <tp>
        <v>0</v>
        <stp/>
        <stp>Market</stp>
        <stp>INDEX</stp>
        <stp>CORN.FUT02.OS</stp>
        <stp>前日比率</stp>
        <tr r="H178" s="1"/>
      </tp>
      <tp>
        <v>0</v>
        <stp/>
        <stp>Market</stp>
        <stp>INDEX</stp>
        <stp>CORN.FUT03.OS</stp>
        <stp>前日比率</stp>
        <tr r="H179" s="1"/>
      </tp>
      <tp>
        <v>0</v>
        <stp/>
        <stp>Market</stp>
        <stp>INDEX</stp>
        <stp>CORN.FUT01.OS</stp>
        <stp>前日比率</stp>
        <tr r="H177" s="1"/>
      </tp>
      <tp t="s">
        <v/>
        <stp/>
        <stp>Market</stp>
        <stp>INDEX</stp>
        <stp>AUD/NZD</stp>
        <stp>前年最高値</stp>
        <tr r="S207" s="1"/>
      </tp>
      <tp t="s">
        <v/>
        <stp/>
        <stp>Market</stp>
        <stp>INDEX</stp>
        <stp>TRY/JPY</stp>
        <stp>前年最高値</stp>
        <tr r="S209" s="1"/>
      </tp>
      <tp t="s">
        <v/>
        <stp/>
        <stp>Market</stp>
        <stp>INDEX</stp>
        <stp>NZD/USD</stp>
        <stp>前年最高値</stp>
        <tr r="S200" s="1"/>
      </tp>
      <tp t="s">
        <v/>
        <stp/>
        <stp>Market</stp>
        <stp>INDEX</stp>
        <stp>AUD/USD</stp>
        <stp>前年最高値</stp>
        <tr r="S199" s="1"/>
      </tp>
      <tp t="s">
        <v/>
        <stp/>
        <stp>Market</stp>
        <stp>INDEX</stp>
        <stp>USD/CAD</stp>
        <stp>前年最高値</stp>
        <tr r="S212" s="1"/>
      </tp>
      <tp t="s">
        <v/>
        <stp/>
        <stp>Market</stp>
        <stp>INDEX</stp>
        <stp>AUD/NZD</stp>
        <stp>前日比率</stp>
        <tr r="H207" s="1"/>
      </tp>
      <tp t="s">
        <v>VOLQ</v>
        <stp/>
        <stp>Market</stp>
        <stp>INDEX</stp>
        <stp>VOLQ</stp>
        <stp>指標コード</stp>
        <tr r="A64" s="1"/>
      </tp>
    </main>
    <main first="rtdsrv.dff54f4b11dd4e0d9cb19000fb943d8c">
      <tp>
        <v>0</v>
        <stp/>
        <stp>Market</stp>
        <stp>INDEX</stp>
        <stp>PALLADIUM.FUT06.OS</stp>
        <stp>現在値</stp>
        <tr r="E140" s="1"/>
      </tp>
      <tp>
        <v>0</v>
        <stp/>
        <stp>Market</stp>
        <stp>INDEX</stp>
        <stp>PALLADIUM.FUT04.OS</stp>
        <stp>現在値</stp>
        <tr r="E138" s="1"/>
      </tp>
      <tp>
        <v>0</v>
        <stp/>
        <stp>Market</stp>
        <stp>INDEX</stp>
        <stp>PALLADIUM.FUT05.OS</stp>
        <stp>現在値</stp>
        <tr r="E139" s="1"/>
      </tp>
      <tp>
        <v>0</v>
        <stp/>
        <stp>Market</stp>
        <stp>INDEX</stp>
        <stp>PALLADIUM.FUT02.OS</stp>
        <stp>現在値</stp>
        <tr r="E136" s="1"/>
      </tp>
      <tp>
        <v>0</v>
        <stp/>
        <stp>Market</stp>
        <stp>INDEX</stp>
        <stp>PALLADIUM.FUT03.OS</stp>
        <stp>現在値</stp>
        <tr r="E137" s="1"/>
      </tp>
      <tp>
        <v>0</v>
        <stp/>
        <stp>Market</stp>
        <stp>INDEX</stp>
        <stp>PALLADIUM.FUT01.OS</stp>
        <stp>現在値</stp>
        <tr r="E135" s="1"/>
      </tp>
    </main>
    <main first="rtdsrv.dff54f4b11dd4e0d9cb19000fb943d8c">
      <tp t="s">
        <v>07:15</v>
        <stp/>
        <stp>Market</stp>
        <stp>INDEX</stp>
        <stp>IXF</stp>
        <stp>更新時刻</stp>
        <tr r="D46" s="1"/>
      </tp>
      <tp t="s">
        <v>07:15</v>
        <stp/>
        <stp>Market</stp>
        <stp>INDEX</stp>
        <stp>HXC</stp>
        <stp>更新時刻</stp>
        <tr r="D55" s="1"/>
      </tp>
    </main>
    <main first="rtdsrv.dff54f4b11dd4e0d9cb19000fb943d8c">
      <tp t="s">
        <v>07:15</v>
        <stp/>
        <stp>Market</stp>
        <stp>INDEX</stp>
        <stp>IXCO</stp>
        <stp>更新時刻</stp>
        <tr r="D45" s="1"/>
      </tp>
    </main>
    <main first="rtdsrv.dff54f4b11dd4e0d9cb19000fb943d8c">
      <tp>
        <v>0.43</v>
        <stp/>
        <stp>Market</stp>
        <stp>INDEX</stp>
        <stp>SIXRE</stp>
        <stp>前日比率</stp>
        <tr r="H30" s="1"/>
      </tp>
    </main>
    <main first="rtdsrv.dff54f4b11dd4e0d9cb19000fb943d8c">
      <tp t="s">
        <v/>
        <stp/>
        <stp>Market</stp>
        <stp>INDEX</stp>
        <stp>EUR/USD</stp>
        <stp>指標コード</stp>
        <tr r="A197" s="1"/>
      </tp>
      <tp t="s">
        <v/>
        <stp/>
        <stp>Market</stp>
        <stp>INDEX</stp>
        <stp>GBP/CHF</stp>
        <stp>指標コード</stp>
        <tr r="A202" s="1"/>
      </tp>
      <tp t="s">
        <v/>
        <stp/>
        <stp>Market</stp>
        <stp>INDEX</stp>
        <stp>EUR/AUD</stp>
        <stp>指標コード</stp>
        <tr r="A213" s="1"/>
      </tp>
    </main>
    <main first="rtdsrv.dff54f4b11dd4e0d9cb19000fb943d8c">
      <tp t="s">
        <v/>
        <stp/>
        <stp>Market</stp>
        <stp>INDEX</stp>
        <stp>EUR/AUD</stp>
        <stp>前日比率</stp>
        <tr r="H213" s="1"/>
      </tp>
    </main>
    <main first="rtdsrv.dff54f4b11dd4e0d9cb19000fb943d8c">
      <tp>
        <v>0</v>
        <stp/>
        <stp>Market</stp>
        <stp>INDEX</stp>
        <stp>SILVER.FUT06.OS</stp>
        <stp>前日比率</stp>
        <tr r="H134" s="1"/>
      </tp>
      <tp>
        <v>1.74</v>
        <stp/>
        <stp>Market</stp>
        <stp>INDEX</stp>
        <stp>SILVER.FUT05.OS</stp>
        <stp>前日比率</stp>
        <tr r="H133" s="1"/>
      </tp>
      <tp>
        <v>0</v>
        <stp/>
        <stp>Market</stp>
        <stp>INDEX</stp>
        <stp>SILVER.FUT04.OS</stp>
        <stp>前日比率</stp>
        <tr r="H132" s="1"/>
      </tp>
      <tp>
        <v>0</v>
        <stp/>
        <stp>Market</stp>
        <stp>INDEX</stp>
        <stp>SILVER.FUT03.OS</stp>
        <stp>前日比率</stp>
        <tr r="H131" s="1"/>
      </tp>
      <tp>
        <v>0</v>
        <stp/>
        <stp>Market</stp>
        <stp>INDEX</stp>
        <stp>SILVER.FUT02.OS</stp>
        <stp>前日比率</stp>
        <tr r="H130" s="1"/>
      </tp>
      <tp>
        <v>0</v>
        <stp/>
        <stp>Market</stp>
        <stp>INDEX</stp>
        <stp>SILVER.FUT01.OS</stp>
        <stp>前日比率</stp>
        <tr r="H129" s="1"/>
      </tp>
    </main>
    <main first="rtdsrv.dff54f4b11dd4e0d9cb19000fb943d8c">
      <tp>
        <v>0</v>
        <stp/>
        <stp>Market</stp>
        <stp>INDEX</stp>
        <stp>TS1EX</stp>
        <stp>前日終値</stp>
        <tr r="I10" s="1"/>
      </tp>
    </main>
    <main first="rtdsrv.dff54f4b11dd4e0d9cb19000fb943d8c">
      <tp>
        <v>8814.2900000000009</v>
        <stp/>
        <stp>Market</stp>
        <stp>INDEX</stp>
        <stp>HSCEI</stp>
        <stp>前日終値</stp>
        <tr r="I66" s="1"/>
      </tp>
    </main>
    <main first="rtdsrv.dff54f4b11dd4e0d9cb19000fb943d8c">
      <tp>
        <v>0</v>
        <stp/>
        <stp>Market</stp>
        <stp>INDEX</stp>
        <stp>SOYBEAN.FUT01.OS</stp>
        <stp>前日終値</stp>
        <tr r="I171" s="1"/>
      </tp>
      <tp>
        <v>0</v>
        <stp/>
        <stp>Market</stp>
        <stp>INDEX</stp>
        <stp>SOYBEAN.FUT02.OS</stp>
        <stp>前日終値</stp>
        <tr r="I172" s="1"/>
      </tp>
      <tp>
        <v>0</v>
        <stp/>
        <stp>Market</stp>
        <stp>INDEX</stp>
        <stp>SOYBEAN.FUT03.OS</stp>
        <stp>前日終値</stp>
        <tr r="I173" s="1"/>
      </tp>
      <tp>
        <v>0</v>
        <stp/>
        <stp>Market</stp>
        <stp>INDEX</stp>
        <stp>SOYBEAN.FUT04.OS</stp>
        <stp>前日終値</stp>
        <tr r="I174" s="1"/>
      </tp>
      <tp>
        <v>0</v>
        <stp/>
        <stp>Market</stp>
        <stp>INDEX</stp>
        <stp>SOYBEAN.FUT05.OS</stp>
        <stp>前日終値</stp>
        <tr r="I175" s="1"/>
      </tp>
      <tp>
        <v>0</v>
        <stp/>
        <stp>Market</stp>
        <stp>INDEX</stp>
        <stp>SOYBEAN.FUT06.OS</stp>
        <stp>前日終値</stp>
        <tr r="I176" s="1"/>
      </tp>
    </main>
    <main first="rtdsrv.dff54f4b11dd4e0d9cb19000fb943d8c">
      <tp t="s">
        <v/>
        <stp/>
        <stp>Market</stp>
        <stp>INDEX</stp>
        <stp>EUR/GBP</stp>
        <stp>前日終値</stp>
        <tr r="I203" s="1"/>
      </tp>
      <tp t="s">
        <v/>
        <stp/>
        <stp>Market</stp>
        <stp>INDEX</stp>
        <stp>SGD/JPY</stp>
        <stp>前日終値</stp>
        <tr r="I196" s="1"/>
      </tp>
      <tp t="s">
        <v/>
        <stp/>
        <stp>Market</stp>
        <stp>INDEX</stp>
        <stp>GBP/AUD</stp>
        <stp>前日終値</stp>
        <tr r="I214" s="1"/>
      </tp>
      <tp>
        <v>0</v>
        <stp/>
        <stp>Market</stp>
        <stp>INDEX</stp>
        <stp>JN400.FUT05.OS</stp>
        <stp>出来高</stp>
        <tr r="Q100" s="1"/>
      </tp>
      <tp>
        <v>0</v>
        <stp/>
        <stp>Market</stp>
        <stp>INDEX</stp>
        <stp>JN400.FUT04.OS</stp>
        <stp>出来高</stp>
        <tr r="Q99" s="1"/>
      </tp>
      <tp>
        <v>2373</v>
        <stp/>
        <stp>Market</stp>
        <stp>INDEX</stp>
        <stp>JN400.FUT01.OS</stp>
        <stp>出来高</stp>
        <tr r="Q96" s="1"/>
      </tp>
      <tp>
        <v>0</v>
        <stp/>
        <stp>Market</stp>
        <stp>INDEX</stp>
        <stp>JN400.FUT03.OS</stp>
        <stp>出来高</stp>
        <tr r="Q98" s="1"/>
      </tp>
      <tp>
        <v>0</v>
        <stp/>
        <stp>Market</stp>
        <stp>INDEX</stp>
        <stp>JN400.FUT02.OS</stp>
        <stp>出来高</stp>
        <tr r="Q97" s="1"/>
      </tp>
    </main>
    <main first="rtdsrv.dff54f4b11dd4e0d9cb19000fb943d8c">
      <tp>
        <v>0</v>
        <stp/>
        <stp>Market</stp>
        <stp>INDEX</stp>
        <stp>TCWSI</stp>
        <stp>前日比率</stp>
        <tr r="H101" s="1"/>
      </tp>
      <tp>
        <v>-0.79</v>
        <stp/>
        <stp>Market</stp>
        <stp>INDEX</stp>
        <stp>SPESG</stp>
        <stp>前日比率</stp>
        <tr r="H38" s="1"/>
      </tp>
    </main>
    <main first="rtdsrv.dff54f4b11dd4e0d9cb19000fb943d8c">
      <tp>
        <v>0.5</v>
        <stp/>
        <stp>Market</stp>
        <stp>INDEX</stp>
        <stp>SHKSC</stp>
        <stp>前日比率</stp>
        <tr r="H70" s="1"/>
      </tp>
      <tp t="s">
        <v>2026/02/26</v>
        <stp/>
        <stp>Market</stp>
        <stp>INDEX</stp>
        <stp>CSI300</stp>
        <stp>前日日付</stp>
        <tr r="J71" s="1"/>
      </tp>
      <tp t="s">
        <v/>
        <stp/>
        <stp>Market</stp>
        <stp>INDEX</stp>
        <stp>MXN/JPY</stp>
        <stp>指標コード</stp>
        <tr r="A211" s="1"/>
      </tp>
    </main>
    <main first="rtdsrv.dff54f4b11dd4e0d9cb19000fb943d8c">
      <tp t="s">
        <v>2025/05/02</v>
        <stp/>
        <stp>Market</stp>
        <stp>INDEX</stp>
        <stp>CORN.FUT01.OS</stp>
        <stp>前日日付</stp>
        <tr r="J177" s="1"/>
      </tp>
      <tp t="s">
        <v/>
        <stp/>
        <stp>Market</stp>
        <stp>INDEX</stp>
        <stp>CORN.FUT03.OS</stp>
        <stp>前日日付</stp>
        <tr r="J179" s="1"/>
      </tp>
      <tp t="s">
        <v/>
        <stp/>
        <stp>Market</stp>
        <stp>INDEX</stp>
        <stp>CORN.FUT02.OS</stp>
        <stp>前日日付</stp>
        <tr r="J178" s="1"/>
      </tp>
      <tp t="s">
        <v/>
        <stp/>
        <stp>Market</stp>
        <stp>INDEX</stp>
        <stp>CORN.FUT05.OS</stp>
        <stp>前日日付</stp>
        <tr r="J181" s="1"/>
      </tp>
      <tp t="s">
        <v/>
        <stp/>
        <stp>Market</stp>
        <stp>INDEX</stp>
        <stp>CORN.FUT04.OS</stp>
        <stp>前日日付</stp>
        <tr r="J180" s="1"/>
      </tp>
      <tp t="s">
        <v/>
        <stp/>
        <stp>Market</stp>
        <stp>INDEX</stp>
        <stp>CORN.FUT06.OS</stp>
        <stp>前日日付</stp>
        <tr r="J182" s="1"/>
      </tp>
    </main>
    <main first="rtdsrv.dff54f4b11dd4e0d9cb19000fb943d8c">
      <tp t="s">
        <v/>
        <stp/>
        <stp>Market</stp>
        <stp>INDEX</stp>
        <stp>AUD/NZD</stp>
        <stp>前日日付</stp>
        <tr r="J207" s="1"/>
      </tp>
    </main>
    <main first="rtdsrv.dff54f4b11dd4e0d9cb19000fb943d8c">
      <tp>
        <v>0</v>
        <stp/>
        <stp>Market</stp>
        <stp>INDEX</stp>
        <stp>JGB:F</stp>
        <stp>上場来高値</stp>
        <tr r="X16" s="1"/>
      </tp>
      <tp>
        <v>0</v>
        <stp/>
        <stp>Market</stp>
        <stp>INDEX</stp>
        <stp>TS1EX</stp>
        <stp>年初来高値</stp>
        <tr r="V10" s="1"/>
      </tp>
      <tp>
        <v>0</v>
        <stp/>
        <stp>Market</stp>
        <stp>INDEX</stp>
        <stp>JGB:F</stp>
        <stp>年初来高値</stp>
        <tr r="V16" s="1"/>
      </tp>
      <tp>
        <v>0</v>
        <stp/>
        <stp>Market</stp>
        <stp>INDEX</stp>
        <stp>TS1EX</stp>
        <stp>上場来高値</stp>
        <tr r="X10" s="1"/>
      </tp>
    </main>
    <main first="rtdsrv.dff54f4b11dd4e0d9cb19000fb943d8c">
      <tp t="s">
        <v>07:15</v>
        <stp/>
        <stp>Market</stp>
        <stp>INDEX</stp>
        <stp>TRAN</stp>
        <stp>更新時刻</stp>
        <tr r="D43" s="1"/>
      </tp>
    </main>
    <main first="rtdsrv.dff54f4b11dd4e0d9cb19000fb943d8c">
      <tp>
        <v>999.03</v>
        <stp/>
        <stp>Market</stp>
        <stp>INDEX</stp>
        <stp>SIXE</stp>
        <stp>前年最高値</stp>
        <tr r="S28" s="1"/>
      </tp>
      <tp>
        <v>1</v>
        <stp/>
        <stp>Market</stp>
        <stp>INDEX</stp>
        <stp>SILVER.FUT04.OS</stp>
        <stp>出来高</stp>
        <tr r="Q132" s="1"/>
      </tp>
      <tp>
        <v>1</v>
        <stp/>
        <stp>Market</stp>
        <stp>INDEX</stp>
        <stp>SILVER.FUT05.OS</stp>
        <stp>出来高</stp>
        <tr r="Q133" s="1"/>
      </tp>
      <tp>
        <v>0</v>
        <stp/>
        <stp>Market</stp>
        <stp>INDEX</stp>
        <stp>SILVER.FUT06.OS</stp>
        <stp>出来高</stp>
        <tr r="Q134" s="1"/>
      </tp>
      <tp>
        <v>0</v>
        <stp/>
        <stp>Market</stp>
        <stp>INDEX</stp>
        <stp>SILVER.FUT01.OS</stp>
        <stp>出来高</stp>
        <tr r="Q129" s="1"/>
      </tp>
      <tp>
        <v>0</v>
        <stp/>
        <stp>Market</stp>
        <stp>INDEX</stp>
        <stp>SILVER.FUT02.OS</stp>
        <stp>出来高</stp>
        <tr r="Q130" s="1"/>
      </tp>
      <tp>
        <v>0</v>
        <stp/>
        <stp>Market</stp>
        <stp>INDEX</stp>
        <stp>SILVER.FUT03.OS</stp>
        <stp>出来高</stp>
        <tr r="Q131" s="1"/>
      </tp>
    </main>
    <main first="rtdsrv.dff54f4b11dd4e0d9cb19000fb943d8c">
      <tp t="s">
        <v/>
        <stp/>
        <stp>Market</stp>
        <stp>INDEX</stp>
        <stp>GBP/USD</stp>
        <stp>指標コード</stp>
        <tr r="A198" s="1"/>
      </tp>
      <tp t="s">
        <v/>
        <stp/>
        <stp>Market</stp>
        <stp>INDEX</stp>
        <stp>EUR/CHF</stp>
        <stp>指標コード</stp>
        <tr r="A204" s="1"/>
      </tp>
      <tp t="s">
        <v/>
        <stp/>
        <stp>Market</stp>
        <stp>INDEX</stp>
        <stp>GBP/AUD</stp>
        <stp>指標コード</stp>
        <tr r="A214" s="1"/>
      </tp>
    </main>
    <main first="rtdsrv.dff54f4b11dd4e0d9cb19000fb943d8c">
      <tp t="s">
        <v/>
        <stp/>
        <stp>Market</stp>
        <stp>INDEX</stp>
        <stp>TRY/JPY</stp>
        <stp>前日比率</stp>
        <tr r="H209" s="1"/>
      </tp>
    </main>
    <main first="rtdsrv.dff54f4b11dd4e0d9cb19000fb943d8c">
      <tp t="s">
        <v/>
        <stp/>
        <stp>Market</stp>
        <stp>INDEX</stp>
        <stp>MOT.FUT04.OS</stp>
        <stp>前年最高値</stp>
        <tr r="S94" s="1"/>
      </tp>
      <tp t="s">
        <v/>
        <stp/>
        <stp>Market</stp>
        <stp>INDEX</stp>
        <stp>MOT.FUT05.OS</stp>
        <stp>前年最高値</stp>
        <tr r="S95" s="1"/>
      </tp>
      <tp t="s">
        <v/>
        <stp/>
        <stp>Market</stp>
        <stp>INDEX</stp>
        <stp>MOT.FUT02.OS</stp>
        <stp>前年最高値</stp>
        <tr r="S92" s="1"/>
      </tp>
      <tp t="s">
        <v/>
        <stp/>
        <stp>Market</stp>
        <stp>INDEX</stp>
        <stp>MOT.FUT03.OS</stp>
        <stp>前年最高値</stp>
        <tr r="S93" s="1"/>
      </tp>
      <tp t="s">
        <v/>
        <stp/>
        <stp>Market</stp>
        <stp>INDEX</stp>
        <stp>MOT.FUT01.OS</stp>
        <stp>前年最高値</stp>
        <tr r="S91" s="1"/>
      </tp>
    </main>
    <main first="rtdsrv.dff54f4b11dd4e0d9cb19000fb943d8c">
      <tp>
        <v>470.37</v>
        <stp/>
        <stp>Market</stp>
        <stp>INDEX</stp>
        <stp>XAU</stp>
        <stp>現在値</stp>
        <tr r="E50" s="1"/>
      </tp>
      <tp>
        <v>118000</v>
        <stp/>
        <stp>Market</stp>
        <stp>INDEX</stp>
        <stp>N225.FUT05.OS</stp>
        <stp>売買代金</stp>
        <tr r="R76" s="1"/>
      </tp>
      <tp>
        <v>350770</v>
        <stp/>
        <stp>Market</stp>
        <stp>INDEX</stp>
        <stp>N225.FUT04.OS</stp>
        <stp>売買代金</stp>
        <tr r="R75" s="1"/>
      </tp>
      <tp>
        <v>117670</v>
        <stp/>
        <stp>Market</stp>
        <stp>INDEX</stp>
        <stp>N225.FUT03.OS</stp>
        <stp>売買代金</stp>
        <tr r="R74" s="1"/>
      </tp>
      <tp>
        <v>21460540</v>
        <stp/>
        <stp>Market</stp>
        <stp>INDEX</stp>
        <stp>N225.FUT02.OS</stp>
        <stp>売買代金</stp>
        <tr r="R73" s="1"/>
      </tp>
      <tp>
        <v>691689250</v>
        <stp/>
        <stp>Market</stp>
        <stp>INDEX</stp>
        <stp>N225.FUT01.OS</stp>
        <stp>売買代金</stp>
        <tr r="R72" s="1"/>
      </tp>
    </main>
    <main first="rtdsrv.dff54f4b11dd4e0d9cb19000fb943d8c">
      <tp t="s">
        <v/>
        <stp/>
        <stp>Market</stp>
        <stp>INDEX</stp>
        <stp>CORN.FUT04.OS</stp>
        <stp>年初来高値</stp>
        <tr r="V180" s="1"/>
      </tp>
      <tp t="s">
        <v/>
        <stp/>
        <stp>Market</stp>
        <stp>INDEX</stp>
        <stp>CORN.FUT05.OS</stp>
        <stp>年初来高値</stp>
        <tr r="V181" s="1"/>
      </tp>
      <tp t="s">
        <v/>
        <stp/>
        <stp>Market</stp>
        <stp>INDEX</stp>
        <stp>CORN.FUT06.OS</stp>
        <stp>年初来高値</stp>
        <tr r="V182" s="1"/>
      </tp>
    </main>
    <main first="rtdsrv.dff54f4b11dd4e0d9cb19000fb943d8c">
      <tp t="s">
        <v/>
        <stp/>
        <stp>Market</stp>
        <stp>INDEX</stp>
        <stp>CORN.FUT01.OS</stp>
        <stp>年初来高値</stp>
        <tr r="V177" s="1"/>
      </tp>
      <tp t="s">
        <v/>
        <stp/>
        <stp>Market</stp>
        <stp>INDEX</stp>
        <stp>CORN.FUT02.OS</stp>
        <stp>年初来高値</stp>
        <tr r="V178" s="1"/>
      </tp>
      <tp t="s">
        <v/>
        <stp/>
        <stp>Market</stp>
        <stp>INDEX</stp>
        <stp>CORN.FUT03.OS</stp>
        <stp>年初来高値</stp>
        <tr r="V179" s="1"/>
      </tp>
      <tp t="s">
        <v>JGB:FI</v>
        <stp/>
        <stp>Market</stp>
        <stp>INDEX</stp>
        <stp>JGB:FI</stp>
        <stp>指標コード</stp>
        <tr r="A18" s="1"/>
      </tp>
      <tp t="s">
        <v/>
        <stp/>
        <stp>Market</stp>
        <stp>INDEX</stp>
        <stp>CORN.FUT04.OS</stp>
        <stp>上場来高値</stp>
        <tr r="X180" s="1"/>
      </tp>
      <tp t="s">
        <v/>
        <stp/>
        <stp>Market</stp>
        <stp>INDEX</stp>
        <stp>CORN.FUT05.OS</stp>
        <stp>上場来高値</stp>
        <tr r="X181" s="1"/>
      </tp>
      <tp t="s">
        <v/>
        <stp/>
        <stp>Market</stp>
        <stp>INDEX</stp>
        <stp>CORN.FUT06.OS</stp>
        <stp>上場来高値</stp>
        <tr r="X182" s="1"/>
      </tp>
      <tp>
        <v>0</v>
        <stp/>
        <stp>Market</stp>
        <stp>INDEX</stp>
        <stp>TSR20.FUT09.OS</stp>
        <stp>出来高</stp>
        <tr r="Q161" s="1"/>
      </tp>
      <tp>
        <v>0</v>
        <stp/>
        <stp>Market</stp>
        <stp>INDEX</stp>
        <stp>TSR20.FUT08.OS</stp>
        <stp>出来高</stp>
        <tr r="Q160" s="1"/>
      </tp>
      <tp>
        <v>0</v>
        <stp/>
        <stp>Market</stp>
        <stp>INDEX</stp>
        <stp>TSR20.FUT03.OS</stp>
        <stp>出来高</stp>
        <tr r="Q155" s="1"/>
      </tp>
      <tp>
        <v>0</v>
        <stp/>
        <stp>Market</stp>
        <stp>INDEX</stp>
        <stp>TSR20.FUT02.OS</stp>
        <stp>出来高</stp>
        <tr r="Q154" s="1"/>
      </tp>
      <tp>
        <v>0</v>
        <stp/>
        <stp>Market</stp>
        <stp>INDEX</stp>
        <stp>TSR20.FUT01.OS</stp>
        <stp>出来高</stp>
        <tr r="Q153" s="1"/>
      </tp>
      <tp>
        <v>0</v>
        <stp/>
        <stp>Market</stp>
        <stp>INDEX</stp>
        <stp>TSR20.FUT07.OS</stp>
        <stp>出来高</stp>
        <tr r="Q159" s="1"/>
      </tp>
      <tp>
        <v>0</v>
        <stp/>
        <stp>Market</stp>
        <stp>INDEX</stp>
        <stp>TSR20.FUT06.OS</stp>
        <stp>出来高</stp>
        <tr r="Q158" s="1"/>
      </tp>
      <tp>
        <v>0</v>
        <stp/>
        <stp>Market</stp>
        <stp>INDEX</stp>
        <stp>TSR20.FUT05.OS</stp>
        <stp>出来高</stp>
        <tr r="Q157" s="1"/>
      </tp>
      <tp>
        <v>0</v>
        <stp/>
        <stp>Market</stp>
        <stp>INDEX</stp>
        <stp>TSR20.FUT04.OS</stp>
        <stp>出来高</stp>
        <tr r="Q156" s="1"/>
      </tp>
      <tp>
        <v>0</v>
        <stp/>
        <stp>Market</stp>
        <stp>INDEX</stp>
        <stp>TSR20.FUT12.OS</stp>
        <stp>出来高</stp>
        <tr r="Q164" s="1"/>
      </tp>
      <tp>
        <v>0</v>
        <stp/>
        <stp>Market</stp>
        <stp>INDEX</stp>
        <stp>TSR20.FUT11.OS</stp>
        <stp>出来高</stp>
        <tr r="Q163" s="1"/>
      </tp>
      <tp>
        <v>0</v>
        <stp/>
        <stp>Market</stp>
        <stp>INDEX</stp>
        <stp>TSR20.FUT10.OS</stp>
        <stp>出来高</stp>
        <tr r="Q162" s="1"/>
      </tp>
      <tp t="s">
        <v/>
        <stp/>
        <stp>Market</stp>
        <stp>INDEX</stp>
        <stp>CORN.FUT01.OS</stp>
        <stp>上場来高値</stp>
        <tr r="X177" s="1"/>
      </tp>
    </main>
    <main first="rtdsrv.dff54f4b11dd4e0d9cb19000fb943d8c">
      <tp t="s">
        <v/>
        <stp/>
        <stp>Market</stp>
        <stp>INDEX</stp>
        <stp>CORN.FUT02.OS</stp>
        <stp>上場来高値</stp>
        <tr r="X178" s="1"/>
      </tp>
      <tp t="s">
        <v/>
        <stp/>
        <stp>Market</stp>
        <stp>INDEX</stp>
        <stp>CORN.FUT03.OS</stp>
        <stp>上場来高値</stp>
        <tr r="X179" s="1"/>
      </tp>
    </main>
    <main first="rtdsrv.dff54f4b11dd4e0d9cb19000fb943d8c">
      <tp t="s">
        <v/>
        <stp/>
        <stp>Market</stp>
        <stp>INDEX</stp>
        <stp>USD/JPY</stp>
        <stp>前日比率</stp>
        <tr r="H187" s="1"/>
      </tp>
    </main>
    <main first="rtdsrv.dff54f4b11dd4e0d9cb19000fb943d8c">
      <tp>
        <v>-0.41</v>
        <stp/>
        <stp>Market</stp>
        <stp>INDEX</stp>
        <stp>JGB:FDI</stp>
        <stp>前日比率</stp>
        <tr r="H19" s="1"/>
      </tp>
    </main>
    <main first="rtdsrv.dff54f4b11dd4e0d9cb19000fb943d8c">
      <tp>
        <v>0</v>
        <stp/>
        <stp>Market</stp>
        <stp>INDEX</stp>
        <stp>TSR20.FUT10.OS</stp>
        <stp>前日比率</stp>
        <tr r="H162" s="1"/>
      </tp>
      <tp>
        <v>0</v>
        <stp/>
        <stp>Market</stp>
        <stp>INDEX</stp>
        <stp>TSR20.FUT11.OS</stp>
        <stp>前日比率</stp>
        <tr r="H163" s="1"/>
      </tp>
      <tp>
        <v>0</v>
        <stp/>
        <stp>Market</stp>
        <stp>INDEX</stp>
        <stp>TSR20.FUT12.OS</stp>
        <stp>前日比率</stp>
        <tr r="H164" s="1"/>
      </tp>
    </main>
    <main first="rtdsrv.dff54f4b11dd4e0d9cb19000fb943d8c">
      <tp>
        <v>0</v>
        <stp/>
        <stp>Market</stp>
        <stp>INDEX</stp>
        <stp>TSR20.FUT08.OS</stp>
        <stp>前日比率</stp>
        <tr r="H160" s="1"/>
      </tp>
      <tp>
        <v>0</v>
        <stp/>
        <stp>Market</stp>
        <stp>INDEX</stp>
        <stp>TSR20.FUT09.OS</stp>
        <stp>前日比率</stp>
        <tr r="H161" s="1"/>
      </tp>
      <tp>
        <v>0</v>
        <stp/>
        <stp>Market</stp>
        <stp>INDEX</stp>
        <stp>TSR20.FUT01.OS</stp>
        <stp>前日比率</stp>
        <tr r="H153" s="1"/>
      </tp>
      <tp>
        <v>0</v>
        <stp/>
        <stp>Market</stp>
        <stp>INDEX</stp>
        <stp>TSR20.FUT02.OS</stp>
        <stp>前日比率</stp>
        <tr r="H154" s="1"/>
      </tp>
      <tp>
        <v>0</v>
        <stp/>
        <stp>Market</stp>
        <stp>INDEX</stp>
        <stp>TSR20.FUT03.OS</stp>
        <stp>前日比率</stp>
        <tr r="H155" s="1"/>
      </tp>
      <tp>
        <v>0</v>
        <stp/>
        <stp>Market</stp>
        <stp>INDEX</stp>
        <stp>TSR20.FUT04.OS</stp>
        <stp>前日比率</stp>
        <tr r="H156" s="1"/>
      </tp>
      <tp>
        <v>0</v>
        <stp/>
        <stp>Market</stp>
        <stp>INDEX</stp>
        <stp>TSR20.FUT05.OS</stp>
        <stp>前日比率</stp>
        <tr r="H157" s="1"/>
      </tp>
      <tp>
        <v>0</v>
        <stp/>
        <stp>Market</stp>
        <stp>INDEX</stp>
        <stp>TSR20.FUT06.OS</stp>
        <stp>前日比率</stp>
        <tr r="H158" s="1"/>
      </tp>
      <tp>
        <v>0</v>
        <stp/>
        <stp>Market</stp>
        <stp>INDEX</stp>
        <stp>TSR20.FUT07.OS</stp>
        <stp>前日比率</stp>
        <tr r="H159" s="1"/>
      </tp>
    </main>
    <main first="rtdsrv.dff54f4b11dd4e0d9cb19000fb943d8c">
      <tp t="s">
        <v/>
        <stp/>
        <stp>Market</stp>
        <stp>INDEX</stp>
        <stp>GBP/JPY</stp>
        <stp>前日終値</stp>
        <tr r="I189" s="1"/>
      </tp>
      <tp t="s">
        <v>15:30</v>
        <stp/>
        <stp>Market</stp>
        <stp>INDEX</stp>
        <stp>TSGM</stp>
        <stp>更新時刻</stp>
        <tr r="D8" s="1"/>
      </tp>
      <tp t="s">
        <v/>
        <stp/>
        <stp>Market</stp>
        <stp>INDEX</stp>
        <stp>NZD/CHF</stp>
        <stp>前日終値</stp>
        <tr r="I206" s="1"/>
      </tp>
      <tp t="s">
        <v/>
        <stp/>
        <stp>Market</stp>
        <stp>INDEX</stp>
        <stp>USD/CAD</stp>
        <stp>前日終値</stp>
        <tr r="I212" s="1"/>
      </tp>
      <tp t="s">
        <v/>
        <stp/>
        <stp>Market</stp>
        <stp>INDEX</stp>
        <stp>REDBEAN.FUT05.OS</stp>
        <stp>前日日付</stp>
        <tr r="J169" s="1"/>
      </tp>
      <tp t="s">
        <v/>
        <stp/>
        <stp>Market</stp>
        <stp>INDEX</stp>
        <stp>REDBEAN.FUT04.OS</stp>
        <stp>前日日付</stp>
        <tr r="J168" s="1"/>
      </tp>
      <tp t="s">
        <v/>
        <stp/>
        <stp>Market</stp>
        <stp>INDEX</stp>
        <stp>REDBEAN.FUT06.OS</stp>
        <stp>前日日付</stp>
        <tr r="J170" s="1"/>
      </tp>
      <tp t="s">
        <v/>
        <stp/>
        <stp>Market</stp>
        <stp>INDEX</stp>
        <stp>REDBEAN.FUT01.OS</stp>
        <stp>前日日付</stp>
        <tr r="J165" s="1"/>
      </tp>
      <tp t="s">
        <v/>
        <stp/>
        <stp>Market</stp>
        <stp>INDEX</stp>
        <stp>REDBEAN.FUT03.OS</stp>
        <stp>前日日付</stp>
        <tr r="J167" s="1"/>
      </tp>
      <tp t="s">
        <v/>
        <stp/>
        <stp>Market</stp>
        <stp>INDEX</stp>
        <stp>REDBEAN.FUT02.OS</stp>
        <stp>前日日付</stp>
        <tr r="J166" s="1"/>
      </tp>
    </main>
    <main first="rtdsrv.dff54f4b11dd4e0d9cb19000fb943d8c">
      <tp>
        <v>1213.5999999999999</v>
        <stp/>
        <stp>Market</stp>
        <stp>INDEX</stp>
        <stp>IXHC</stp>
        <stp>前年最高値</stp>
        <tr r="S48" s="1"/>
      </tp>
      <tp>
        <v>519.87</v>
        <stp/>
        <stp>Market</stp>
        <stp>INDEX</stp>
        <stp>IXTC</stp>
        <stp>前年最高値</stp>
        <tr r="S44" s="1"/>
      </tp>
    </main>
    <main first="rtdsrv.dff54f4b11dd4e0d9cb19000fb943d8c">
      <tp>
        <v>0</v>
        <stp/>
        <stp>Market</stp>
        <stp>INDEX</stp>
        <stp>SSEC</stp>
        <stp>前年最高値</stp>
        <tr r="S68" s="1"/>
      </tp>
      <tp>
        <v>623.83000000000004</v>
        <stp/>
        <stp>Market</stp>
        <stp>INDEX</stp>
        <stp>SIXC</stp>
        <stp>前年最高値</stp>
        <tr r="S33" s="1"/>
      </tp>
    </main>
    <main first="rtdsrv.dff54f4b11dd4e0d9cb19000fb943d8c">
      <tp t="s">
        <v/>
        <stp/>
        <stp>Market</stp>
        <stp>INDEX</stp>
        <stp>NOK/JPY</stp>
        <stp>指標コード</stp>
        <tr r="A208" s="1"/>
      </tp>
    </main>
    <main first="rtdsrv.dff54f4b11dd4e0d9cb19000fb943d8c">
      <tp t="s">
        <v/>
        <stp/>
        <stp>Market</stp>
        <stp>INDEX</stp>
        <stp>GBP/CHF</stp>
        <stp>前日日付</stp>
        <tr r="J202" s="1"/>
      </tp>
    </main>
    <main first="rtdsrv.dff54f4b11dd4e0d9cb19000fb943d8c">
      <tp t="s">
        <v/>
        <stp/>
        <stp>Market</stp>
        <stp>INDEX</stp>
        <stp>EUR/JPY</stp>
        <stp>前年最高値</stp>
        <tr r="S188" s="1"/>
      </tp>
      <tp t="s">
        <v/>
        <stp/>
        <stp>Market</stp>
        <stp>INDEX</stp>
        <stp>ZAR/JPY</stp>
        <stp>前年最高値</stp>
        <tr r="S192" s="1"/>
      </tp>
    </main>
    <main first="rtdsrv.dff54f4b11dd4e0d9cb19000fb943d8c">
      <tp t="s">
        <v/>
        <stp/>
        <stp>Market</stp>
        <stp>INDEX</stp>
        <stp>NZD/JPY</stp>
        <stp>前日日付</stp>
        <tr r="J191" s="1"/>
      </tp>
    </main>
    <main first="rtdsrv.dff54f4b11dd4e0d9cb19000fb943d8c">
      <tp>
        <v>0</v>
        <stp/>
        <stp>Market</stp>
        <stp>INDEX</stp>
        <stp>JGB:FDI</stp>
        <stp>前年最高値</stp>
        <tr r="S19" s="1"/>
      </tp>
    </main>
    <main first="rtdsrv.dff54f4b11dd4e0d9cb19000fb943d8c">
      <tp>
        <v>211</v>
        <stp/>
        <stp>Market</stp>
        <stp>INDEX</stp>
        <stp>N225U.FUT03.OS</stp>
        <stp>出来高</stp>
        <tr r="Q84" s="1"/>
      </tp>
      <tp>
        <v>3010</v>
        <stp/>
        <stp>Market</stp>
        <stp>INDEX</stp>
        <stp>N225U.FUT02.OS</stp>
        <stp>出来高</stp>
        <tr r="Q83" s="1"/>
      </tp>
      <tp>
        <v>434849</v>
        <stp/>
        <stp>Market</stp>
        <stp>INDEX</stp>
        <stp>N225U.FUT01.OS</stp>
        <stp>出来高</stp>
        <tr r="Q82" s="1"/>
      </tp>
      <tp>
        <v>25576</v>
        <stp/>
        <stp>Market</stp>
        <stp>INDEX</stp>
        <stp>N225U.FUT04.OS</stp>
        <stp>出来高</stp>
        <tr r="Q85" s="1"/>
      </tp>
    </main>
    <main first="rtdsrv.dff54f4b11dd4e0d9cb19000fb943d8c">
      <tp>
        <v>137</v>
        <stp/>
        <stp>Market</stp>
        <stp>INDEX</stp>
        <stp>N225M.FUT03.OS</stp>
        <stp>出来高</stp>
        <tr r="Q79" s="1"/>
      </tp>
      <tp>
        <v>2427</v>
        <stp/>
        <stp>Market</stp>
        <stp>INDEX</stp>
        <stp>N225M.FUT02.OS</stp>
        <stp>出来高</stp>
        <tr r="Q78" s="1"/>
      </tp>
      <tp>
        <v>257046</v>
        <stp/>
        <stp>Market</stp>
        <stp>INDEX</stp>
        <stp>N225M.FUT01.OS</stp>
        <stp>出来高</stp>
        <tr r="Q77" s="1"/>
      </tp>
      <tp>
        <v>13</v>
        <stp/>
        <stp>Market</stp>
        <stp>INDEX</stp>
        <stp>N225M.FUT05.OS</stp>
        <stp>出来高</stp>
        <tr r="Q81" s="1"/>
      </tp>
      <tp>
        <v>14576</v>
        <stp/>
        <stp>Market</stp>
        <stp>INDEX</stp>
        <stp>N225M.FUT04.OS</stp>
        <stp>出来高</stp>
        <tr r="Q80" s="1"/>
      </tp>
    </main>
    <main first="rtdsrv.dff54f4b11dd4e0d9cb19000fb943d8c">
      <tp>
        <v>0</v>
        <stp/>
        <stp>Market</stp>
        <stp>INDEX</stp>
        <stp>RSS3.FUT12.OS</stp>
        <stp>売買代金</stp>
        <tr r="R152" s="1"/>
      </tp>
      <tp>
        <v>0</v>
        <stp/>
        <stp>Market</stp>
        <stp>INDEX</stp>
        <stp>RSS3.FUT10.OS</stp>
        <stp>売買代金</stp>
        <tr r="R150" s="1"/>
      </tp>
      <tp>
        <v>0</v>
        <stp/>
        <stp>Market</stp>
        <stp>INDEX</stp>
        <stp>RSS3.FUT11.OS</stp>
        <stp>売買代金</stp>
        <tr r="R151" s="1"/>
      </tp>
      <tp>
        <v>0</v>
        <stp/>
        <stp>Market</stp>
        <stp>INDEX</stp>
        <stp>RSS3.FUT08.OS</stp>
        <stp>売買代金</stp>
        <tr r="R148" s="1"/>
      </tp>
      <tp>
        <v>0</v>
        <stp/>
        <stp>Market</stp>
        <stp>INDEX</stp>
        <stp>RSS3.FUT09.OS</stp>
        <stp>売買代金</stp>
        <tr r="R149" s="1"/>
      </tp>
      <tp>
        <v>137819</v>
        <stp/>
        <stp>Market</stp>
        <stp>INDEX</stp>
        <stp>RSS3.FUT06.OS</stp>
        <stp>売買代金</stp>
        <tr r="R146" s="1"/>
      </tp>
      <tp>
        <v>0</v>
        <stp/>
        <stp>Market</stp>
        <stp>INDEX</stp>
        <stp>RSS3.FUT07.OS</stp>
        <stp>売買代金</stp>
        <tr r="R147" s="1"/>
      </tp>
      <tp>
        <v>5553</v>
        <stp/>
        <stp>Market</stp>
        <stp>INDEX</stp>
        <stp>RSS3.FUT04.OS</stp>
        <stp>売買代金</stp>
        <tr r="R144" s="1"/>
      </tp>
      <tp>
        <v>56169</v>
        <stp/>
        <stp>Market</stp>
        <stp>INDEX</stp>
        <stp>RSS3.FUT05.OS</stp>
        <stp>売買代金</stp>
        <tr r="R145" s="1"/>
      </tp>
      <tp>
        <v>0</v>
        <stp/>
        <stp>Market</stp>
        <stp>INDEX</stp>
        <stp>RSS3.FUT02.OS</stp>
        <stp>売買代金</stp>
        <tr r="R142" s="1"/>
      </tp>
      <tp>
        <v>0</v>
        <stp/>
        <stp>Market</stp>
        <stp>INDEX</stp>
        <stp>RSS3.FUT03.OS</stp>
        <stp>売買代金</stp>
        <tr r="R143" s="1"/>
      </tp>
      <tp>
        <v>0</v>
        <stp/>
        <stp>Market</stp>
        <stp>INDEX</stp>
        <stp>RSS3.FUT01.OS</stp>
        <stp>売買代金</stp>
        <tr r="R141" s="1"/>
      </tp>
    </main>
    <main first="rtdsrv.dff54f4b11dd4e0d9cb19000fb943d8c">
      <tp>
        <v>986.91</v>
        <stp/>
        <stp>Market</stp>
        <stp>INDEX</stp>
        <stp>SIXB</stp>
        <stp>前年最高値</stp>
        <tr r="S27" s="1"/>
      </tp>
    </main>
    <main first="rtdsrv.dff54f4b11dd4e0d9cb19000fb943d8c">
      <tp>
        <v>1.07</v>
        <stp/>
        <stp>Market</stp>
        <stp>INDEX</stp>
        <stp>GOLD.FUT06.OS</stp>
        <stp>前日比率</stp>
        <tr r="H108" s="1"/>
      </tp>
      <tp>
        <v>1.46</v>
        <stp/>
        <stp>Market</stp>
        <stp>INDEX</stp>
        <stp>GOLD.FUT04.OS</stp>
        <stp>前日比率</stp>
        <tr r="H106" s="1"/>
      </tp>
      <tp>
        <v>1.1000000000000001</v>
        <stp/>
        <stp>Market</stp>
        <stp>INDEX</stp>
        <stp>GOLD.FUT05.OS</stp>
        <stp>前日比率</stp>
        <tr r="H107" s="1"/>
      </tp>
      <tp>
        <v>1.7</v>
        <stp/>
        <stp>Market</stp>
        <stp>INDEX</stp>
        <stp>GOLD.FUT02.OS</stp>
        <stp>前日比率</stp>
        <tr r="H104" s="1"/>
      </tp>
      <tp>
        <v>1.1399999999999999</v>
        <stp/>
        <stp>Market</stp>
        <stp>INDEX</stp>
        <stp>GOLD.FUT03.OS</stp>
        <stp>前日比率</stp>
        <tr r="H105" s="1"/>
      </tp>
      <tp>
        <v>1.44</v>
        <stp/>
        <stp>Market</stp>
        <stp>INDEX</stp>
        <stp>GOLD.FUT01.OS</stp>
        <stp>前日比率</stp>
        <tr r="H103" s="1"/>
      </tp>
    </main>
    <main first="rtdsrv.dff54f4b11dd4e0d9cb19000fb943d8c">
      <tp t="s">
        <v/>
        <stp/>
        <stp>Market</stp>
        <stp>INDEX</stp>
        <stp>AUD/JPY</stp>
        <stp>前日比率</stp>
        <tr r="H190" s="1"/>
      </tp>
    </main>
    <main first="rtdsrv.dff54f4b11dd4e0d9cb19000fb943d8c">
      <tp t="s">
        <v/>
        <stp/>
        <stp>Market</stp>
        <stp>INDEX</stp>
        <stp>EUR/JPY</stp>
        <stp>前日比率</stp>
        <tr r="H188" s="1"/>
      </tp>
    </main>
    <main first="rtdsrv.dff54f4b11dd4e0d9cb19000fb943d8c">
      <tp>
        <v>11890</v>
        <stp/>
        <stp>Market</stp>
        <stp>INDEX</stp>
        <stp>PLATINUM.SPOT.OS</stp>
        <stp>前日終値</stp>
        <tr r="I128" s="1"/>
      </tp>
    </main>
    <main first="rtdsrv.dff54f4b11dd4e0d9cb19000fb943d8c">
      <tp t="s">
        <v>17:29</v>
        <stp/>
        <stp>Market</stp>
        <stp>INDEX</stp>
        <stp>SSEA</stp>
        <stp>更新時刻</stp>
        <tr r="D69" s="1"/>
      </tp>
      <tp t="s">
        <v>16:00</v>
        <stp/>
        <stp>Market</stp>
        <stp>INDEX</stp>
        <stp>SSEC</stp>
        <stp>更新時刻</stp>
        <tr r="D68" s="1"/>
      </tp>
    </main>
    <main first="rtdsrv.dff54f4b11dd4e0d9cb19000fb943d8c">
      <tp>
        <v>48886.86</v>
        <stp/>
        <stp>Market</stp>
        <stp>INDEX</stp>
        <stp>DJIA</stp>
        <stp>前年最高値</stp>
        <tr r="S20" s="1"/>
      </tp>
    </main>
    <main first="rtdsrv.dff54f4b11dd4e0d9cb19000fb943d8c">
      <tp t="s">
        <v>JGB:FL</v>
        <stp/>
        <stp>Market</stp>
        <stp>INDEX</stp>
        <stp>JGB:FL</stp>
        <stp>指標コード</stp>
        <tr r="A17" s="1"/>
      </tp>
      <tp>
        <v>4229.5582999999997</v>
        <stp/>
        <stp>Market</stp>
        <stp>INDEX</stp>
        <stp>SSEA</stp>
        <stp>前年最高値</stp>
        <tr r="S69" s="1"/>
      </tp>
    </main>
    <main first="rtdsrv.dff54f4b11dd4e0d9cb19000fb943d8c">
      <tp t="s">
        <v/>
        <stp/>
        <stp>Market</stp>
        <stp>INDEX</stp>
        <stp>MXN/JPY</stp>
        <stp>前日日付</stp>
        <tr r="J211" s="1"/>
      </tp>
    </main>
    <main first="rtdsrv.dff54f4b11dd4e0d9cb19000fb943d8c">
      <tp t="s">
        <v/>
        <stp/>
        <stp>Market</stp>
        <stp>INDEX</stp>
        <stp>GBP/JPY</stp>
        <stp>前年最高値</stp>
        <tr r="S189" s="1"/>
      </tp>
    </main>
    <main first="rtdsrv.dff54f4b11dd4e0d9cb19000fb943d8c">
      <tp t="s">
        <v/>
        <stp/>
        <stp>Market</stp>
        <stp>INDEX</stp>
        <stp>EUR/USD</stp>
        <stp>前日比率</stp>
        <tr r="H197" s="1"/>
      </tp>
    </main>
    <main first="rtdsrv.dff54f4b11dd4e0d9cb19000fb943d8c">
      <tp t="s">
        <v/>
        <stp/>
        <stp>Market</stp>
        <stp>INDEX</stp>
        <stp>AUD/USD</stp>
        <stp>前日比率</stp>
        <tr r="H199" s="1"/>
      </tp>
    </main>
    <main first="rtdsrv.dff54f4b11dd4e0d9cb19000fb943d8c">
      <tp t="s">
        <v>TOPX</v>
        <stp/>
        <stp>Market</stp>
        <stp>INDEX</stp>
        <stp>TOPX</stp>
        <stp>指標コード</stp>
        <tr r="A4" s="1"/>
      </tp>
      <tp>
        <v>0</v>
        <stp/>
        <stp>Market</stp>
        <stp>INDEX</stp>
        <stp>FTSECA50</stp>
        <stp>出来高</stp>
        <tr r="Q102" s="1"/>
      </tp>
      <tp t="s">
        <v>VVIX</v>
        <stp/>
        <stp>Market</stp>
        <stp>INDEX</stp>
        <stp>VVIX</stp>
        <stp>指標コード</stp>
        <tr r="A26" s="1"/>
      </tp>
    </main>
    <main first="rtdsrv.dff54f4b11dd4e0d9cb19000fb943d8c">
      <tp>
        <v>4411.8500000000004</v>
        <stp/>
        <stp>Market</stp>
        <stp>INDEX</stp>
        <stp>HSCCI</stp>
        <stp>前日終値</stp>
        <tr r="I67" s="1"/>
      </tp>
      <tp t="s">
        <v>-</v>
        <stp/>
        <stp>Market</stp>
        <stp>INDEX</stp>
        <stp>NQROBO</stp>
        <stp>売買代金</stp>
        <tr r="R61" s="1"/>
      </tp>
    </main>
    <main first="rtdsrv.dff54f4b11dd4e0d9cb19000fb943d8c">
      <tp t="s">
        <v>-</v>
        <stp/>
        <stp>Market</stp>
        <stp>INDEX</stp>
        <stp>NQCYBR</stp>
        <stp>売買代金</stp>
        <tr r="R59" s="1"/>
      </tp>
      <tp>
        <v>0</v>
        <stp/>
        <stp>Market</stp>
        <stp>INDEX</stp>
        <stp>JGB:FI</stp>
        <stp>売買代金</stp>
        <tr r="R18" s="1"/>
      </tp>
    </main>
    <main first="rtdsrv.dff54f4b11dd4e0d9cb19000fb943d8c">
      <tp>
        <v>0</v>
        <stp/>
        <stp>Market</stp>
        <stp>INDEX</stp>
        <stp>JGB:FL</stp>
        <stp>売買代金</stp>
        <tr r="R17" s="1"/>
      </tp>
    </main>
    <main first="rtdsrv.dff54f4b11dd4e0d9cb19000fb943d8c">
      <tp t="s">
        <v/>
        <stp/>
        <stp>Market</stp>
        <stp>INDEX</stp>
        <stp>ZAR/JPY</stp>
        <stp>前日終値</stp>
        <tr r="I192" s="1"/>
      </tp>
      <tp t="s">
        <v/>
        <stp/>
        <stp>Market</stp>
        <stp>INDEX</stp>
        <stp>CAD/JPY</stp>
        <stp>前日終値</stp>
        <tr r="I193" s="1"/>
      </tp>
    </main>
    <main first="rtdsrv.dff54f4b11dd4e0d9cb19000fb943d8c">
      <tp t="s">
        <v>07:15</v>
        <stp/>
        <stp>Market</stp>
        <stp>INDEX</stp>
        <stp>INDS</stp>
        <stp>更新時刻</stp>
        <tr r="D39" s="1"/>
      </tp>
    </main>
    <main first="rtdsrv.dff54f4b11dd4e0d9cb19000fb943d8c">
      <tp t="s">
        <v/>
        <stp/>
        <stp>Market</stp>
        <stp>INDEX</stp>
        <stp>GBP/USD</stp>
        <stp>前日終値</stp>
        <tr r="I198" s="1"/>
      </tp>
    </main>
    <main first="rtdsrv.dff54f4b11dd4e0d9cb19000fb943d8c">
      <tp t="s">
        <v/>
        <stp/>
        <stp>Market</stp>
        <stp>INDEX</stp>
        <stp>GOLD.FUT04.OS</stp>
        <stp>年初来高値</stp>
        <tr r="V106" s="1"/>
      </tp>
      <tp t="s">
        <v/>
        <stp/>
        <stp>Market</stp>
        <stp>INDEX</stp>
        <stp>GOLD.FUT05.OS</stp>
        <stp>年初来高値</stp>
        <tr r="V107" s="1"/>
      </tp>
      <tp t="s">
        <v/>
        <stp/>
        <stp>Market</stp>
        <stp>INDEX</stp>
        <stp>GOLD.FUT06.OS</stp>
        <stp>年初来高値</stp>
        <tr r="V108" s="1"/>
      </tp>
    </main>
    <main first="rtdsrv.dff54f4b11dd4e0d9cb19000fb943d8c">
      <tp t="s">
        <v/>
        <stp/>
        <stp>Market</stp>
        <stp>INDEX</stp>
        <stp>GOLD.FUT01.OS</stp>
        <stp>年初来高値</stp>
        <tr r="V103" s="1"/>
      </tp>
      <tp t="s">
        <v/>
        <stp/>
        <stp>Market</stp>
        <stp>INDEX</stp>
        <stp>GOLD.FUT02.OS</stp>
        <stp>年初来高値</stp>
        <tr r="V104" s="1"/>
      </tp>
      <tp t="s">
        <v/>
        <stp/>
        <stp>Market</stp>
        <stp>INDEX</stp>
        <stp>GOLD.FUT03.OS</stp>
        <stp>年初来高値</stp>
        <tr r="V105" s="1"/>
      </tp>
    </main>
    <main first="rtdsrv.dff54f4b11dd4e0d9cb19000fb943d8c">
      <tp t="s">
        <v/>
        <stp/>
        <stp>Market</stp>
        <stp>INDEX</stp>
        <stp>GOLD.FUT04.OS</stp>
        <stp>上場来高値</stp>
        <tr r="X106" s="1"/>
      </tp>
      <tp t="s">
        <v/>
        <stp/>
        <stp>Market</stp>
        <stp>INDEX</stp>
        <stp>GOLD.FUT05.OS</stp>
        <stp>上場来高値</stp>
        <tr r="X107" s="1"/>
      </tp>
      <tp t="s">
        <v/>
        <stp/>
        <stp>Market</stp>
        <stp>INDEX</stp>
        <stp>GOLD.FUT06.OS</stp>
        <stp>上場来高値</stp>
        <tr r="X108" s="1"/>
      </tp>
      <tp t="s">
        <v/>
        <stp/>
        <stp>Market</stp>
        <stp>INDEX</stp>
        <stp>GOLD.FUT01.OS</stp>
        <stp>上場来高値</stp>
        <tr r="X103" s="1"/>
      </tp>
      <tp t="s">
        <v/>
        <stp/>
        <stp>Market</stp>
        <stp>INDEX</stp>
        <stp>GOLD.FUT02.OS</stp>
        <stp>上場来高値</stp>
        <tr r="X104" s="1"/>
      </tp>
      <tp t="s">
        <v/>
        <stp/>
        <stp>Market</stp>
        <stp>INDEX</stp>
        <stp>GOLD.FUT03.OS</stp>
        <stp>上場来高値</stp>
        <tr r="X105" s="1"/>
      </tp>
      <tp t="s">
        <v>2026/02/27</v>
        <stp/>
        <stp>Market</stp>
        <stp>INDEX</stp>
        <stp>PLATINUMMINI.FUT05.OS</stp>
        <stp>前日日付</stp>
        <tr r="J126" s="1"/>
      </tp>
      <tp t="s">
        <v>2026/02/27</v>
        <stp/>
        <stp>Market</stp>
        <stp>INDEX</stp>
        <stp>PLATINUMMINI.FUT04.OS</stp>
        <stp>前日日付</stp>
        <tr r="J125" s="1"/>
      </tp>
      <tp t="s">
        <v>2026/02/27</v>
        <stp/>
        <stp>Market</stp>
        <stp>INDEX</stp>
        <stp>PLATINUMMINI.FUT06.OS</stp>
        <stp>前日日付</stp>
        <tr r="J127" s="1"/>
      </tp>
      <tp t="s">
        <v>2026/02/26</v>
        <stp/>
        <stp>Market</stp>
        <stp>INDEX</stp>
        <stp>PLATINUMMINI.FUT01.OS</stp>
        <stp>前日日付</stp>
        <tr r="J122" s="1"/>
      </tp>
      <tp t="s">
        <v>2026/02/27</v>
        <stp/>
        <stp>Market</stp>
        <stp>INDEX</stp>
        <stp>PLATINUMMINI.FUT03.OS</stp>
        <stp>前日日付</stp>
        <tr r="J124" s="1"/>
      </tp>
      <tp t="s">
        <v>2026/02/27</v>
        <stp/>
        <stp>Market</stp>
        <stp>INDEX</stp>
        <stp>PLATINUMMINI.FUT02.OS</stp>
        <stp>前日日付</stp>
        <tr r="J123" s="1"/>
      </tp>
    </main>
    <main first="rtdsrv.dff54f4b11dd4e0d9cb19000fb943d8c">
      <tp t="s">
        <v/>
        <stp/>
        <stp>Market</stp>
        <stp>INDEX</stp>
        <stp>CNH/JPY</stp>
        <stp>指標コード</stp>
        <tr r="A210" s="1"/>
      </tp>
    </main>
    <main first="rtdsrv.dff54f4b11dd4e0d9cb19000fb943d8c">
      <tp t="s">
        <v/>
        <stp/>
        <stp>Market</stp>
        <stp>INDEX</stp>
        <stp>NZD/USD</stp>
        <stp>前日日付</stp>
        <tr r="J200" s="1"/>
      </tp>
    </main>
    <main first="rtdsrv.dff54f4b11dd4e0d9cb19000fb943d8c">
      <tp t="s">
        <v>SIXY</v>
        <stp/>
        <stp>Market</stp>
        <stp>INDEX</stp>
        <stp>SIXY</stp>
        <stp>指標コード</stp>
        <tr r="A32" s="1"/>
      </tp>
    </main>
    <main first="rtdsrv.dff54f4b11dd4e0d9cb19000fb943d8c">
      <tp>
        <v>1220.9421</v>
        <stp/>
        <stp>Market</stp>
        <stp>INDEX</stp>
        <stp>CPQ</stp>
        <stp>現在値</stp>
        <tr r="E60" s="1"/>
      </tp>
    </main>
    <main first="rtdsrv.dff54f4b11dd4e0d9cb19000fb943d8c">
      <tp t="s">
        <v/>
        <stp/>
        <stp>Market</stp>
        <stp>INDEX</stp>
        <stp>N225.FUT01.S</stp>
        <stp>上場来高値</stp>
        <tr r="X185" s="1"/>
      </tp>
      <tp t="s">
        <v/>
        <stp/>
        <stp>Market</stp>
        <stp>INDEX</stp>
        <stp>N225.FUT02.S</stp>
        <stp>上場来高値</stp>
        <tr r="X186" s="1"/>
      </tp>
    </main>
    <main first="rtdsrv.dff54f4b11dd4e0d9cb19000fb943d8c">
      <tp t="s">
        <v/>
        <stp/>
        <stp>Market</stp>
        <stp>INDEX</stp>
        <stp>N225.FUT01.S</stp>
        <stp>年初来高値</stp>
        <tr r="V185" s="1"/>
      </tp>
      <tp t="s">
        <v/>
        <stp/>
        <stp>Market</stp>
        <stp>INDEX</stp>
        <stp>N225.FUT02.S</stp>
        <stp>年初来高値</stp>
        <tr r="V186" s="1"/>
      </tp>
    </main>
    <main first="rtdsrv.dff54f4b11dd4e0d9cb19000fb943d8c">
      <tp t="s">
        <v/>
        <stp/>
        <stp>Market</stp>
        <stp>INDEX</stp>
        <stp>CHF/JPY</stp>
        <stp>前日比率</stp>
        <tr r="H194" s="1"/>
      </tp>
      <tp t="s">
        <v/>
        <stp/>
        <stp>Market</stp>
        <stp>INDEX</stp>
        <stp>MXN/JPY</stp>
        <stp>前年最高値</stp>
        <tr r="S211" s="1"/>
      </tp>
    </main>
    <main first="rtdsrv.dff54f4b11dd4e0d9cb19000fb943d8c">
      <tp>
        <v>-2.0299999999999998</v>
        <stp/>
        <stp>Market</stp>
        <stp>INDEX</stp>
        <stp>EMCLOUD</stp>
        <stp>前日比率</stp>
        <tr r="H62" s="1"/>
      </tp>
      <tp>
        <v>0</v>
        <stp/>
        <stp>Market</stp>
        <stp>INDEX</stp>
        <stp>CORN.FUT05.OS</stp>
        <stp>前日終値</stp>
        <tr r="I181" s="1"/>
      </tp>
      <tp>
        <v>0</v>
        <stp/>
        <stp>Market</stp>
        <stp>INDEX</stp>
        <stp>CORN.FUT04.OS</stp>
        <stp>前日終値</stp>
        <tr r="I180" s="1"/>
      </tp>
      <tp>
        <v>0</v>
        <stp/>
        <stp>Market</stp>
        <stp>INDEX</stp>
        <stp>CORN.FUT06.OS</stp>
        <stp>前日終値</stp>
        <tr r="I182" s="1"/>
      </tp>
      <tp>
        <v>39000</v>
        <stp/>
        <stp>Market</stp>
        <stp>INDEX</stp>
        <stp>CORN.FUT01.OS</stp>
        <stp>前日終値</stp>
        <tr r="I177" s="1"/>
      </tp>
      <tp>
        <v>0</v>
        <stp/>
        <stp>Market</stp>
        <stp>INDEX</stp>
        <stp>CORN.FUT03.OS</stp>
        <stp>前日終値</stp>
        <tr r="I179" s="1"/>
      </tp>
      <tp>
        <v>0</v>
        <stp/>
        <stp>Market</stp>
        <stp>INDEX</stp>
        <stp>CORN.FUT02.OS</stp>
        <stp>前日終値</stp>
        <tr r="I178" s="1"/>
      </tp>
      <tp>
        <v>4726.8738999999996</v>
        <stp/>
        <stp>Market</stp>
        <stp>INDEX</stp>
        <stp>CSI300</stp>
        <stp>前日終値</stp>
        <tr r="I71" s="1"/>
      </tp>
    </main>
    <main first="rtdsrv.dff54f4b11dd4e0d9cb19000fb943d8c">
      <tp t="s">
        <v>07:15</v>
        <stp/>
        <stp>Market</stp>
        <stp>INDEX</stp>
        <stp>XAU</stp>
        <stp>更新時刻</stp>
        <tr r="D50" s="1"/>
      </tp>
    </main>
    <main first="rtdsrv.dff54f4b11dd4e0d9cb19000fb943d8c">
      <tp t="s">
        <v/>
        <stp/>
        <stp>Market</stp>
        <stp>INDEX</stp>
        <stp>AUD/NZD</stp>
        <stp>前日終値</stp>
        <tr r="I207" s="1"/>
      </tp>
    </main>
    <main first="rtdsrv.dff54f4b11dd4e0d9cb19000fb943d8c">
      <tp t="s">
        <v/>
        <stp/>
        <stp>Market</stp>
        <stp>INDEX</stp>
        <stp>SOYBEAN.FUT04.OS</stp>
        <stp>前日日付</stp>
        <tr r="J174" s="1"/>
      </tp>
      <tp t="s">
        <v/>
        <stp/>
        <stp>Market</stp>
        <stp>INDEX</stp>
        <stp>SOYBEAN.FUT05.OS</stp>
        <stp>前日日付</stp>
        <tr r="J175" s="1"/>
      </tp>
      <tp t="s">
        <v/>
        <stp/>
        <stp>Market</stp>
        <stp>INDEX</stp>
        <stp>SOYBEAN.FUT06.OS</stp>
        <stp>前日日付</stp>
        <tr r="J176" s="1"/>
      </tp>
      <tp t="s">
        <v/>
        <stp/>
        <stp>Market</stp>
        <stp>INDEX</stp>
        <stp>SOYBEAN.FUT01.OS</stp>
        <stp>前日日付</stp>
        <tr r="J171" s="1"/>
      </tp>
      <tp t="s">
        <v/>
        <stp/>
        <stp>Market</stp>
        <stp>INDEX</stp>
        <stp>SOYBEAN.FUT02.OS</stp>
        <stp>前日日付</stp>
        <tr r="J172" s="1"/>
      </tp>
      <tp t="s">
        <v/>
        <stp/>
        <stp>Market</stp>
        <stp>INDEX</stp>
        <stp>SOYBEAN.FUT03.OS</stp>
        <stp>前日日付</stp>
        <tr r="J173" s="1"/>
      </tp>
    </main>
    <main first="rtdsrv.dff54f4b11dd4e0d9cb19000fb943d8c">
      <tp>
        <v>0</v>
        <stp/>
        <stp>Market</stp>
        <stp>INDEX</stp>
        <stp>TOPX.FUT04.OS</stp>
        <stp>前日比率</stp>
        <tr r="H89" s="1"/>
      </tp>
      <tp>
        <v>0</v>
        <stp/>
        <stp>Market</stp>
        <stp>INDEX</stp>
        <stp>TOPX.FUT05.OS</stp>
        <stp>前日比率</stp>
        <tr r="H90" s="1"/>
      </tp>
      <tp>
        <v>1.81</v>
        <stp/>
        <stp>Market</stp>
        <stp>INDEX</stp>
        <stp>TOPX.FUT02.OS</stp>
        <stp>前日比率</stp>
        <tr r="H87" s="1"/>
      </tp>
      <tp>
        <v>0</v>
        <stp/>
        <stp>Market</stp>
        <stp>INDEX</stp>
        <stp>TOPX.FUT03.OS</stp>
        <stp>前日比率</stp>
        <tr r="H88" s="1"/>
      </tp>
      <tp>
        <v>-1.19</v>
        <stp/>
        <stp>Market</stp>
        <stp>INDEX</stp>
        <stp>TOPX.FUT01.OS</stp>
        <stp>前日比率</stp>
        <tr r="H86" s="1"/>
      </tp>
    </main>
    <main first="rtdsrv.dff54f4b11dd4e0d9cb19000fb943d8c">
      <tp t="s">
        <v>2026/02/26</v>
        <stp/>
        <stp>Market</stp>
        <stp>INDEX</stp>
        <stp>HSCEI</stp>
        <stp>前日日付</stp>
        <tr r="J66" s="1"/>
      </tp>
    </main>
    <main first="rtdsrv.dff54f4b11dd4e0d9cb19000fb943d8c">
      <tp t="s">
        <v/>
        <stp/>
        <stp>Market</stp>
        <stp>INDEX</stp>
        <stp>TS1EX</stp>
        <stp>前日日付</stp>
        <tr r="J10" s="1"/>
      </tp>
    </main>
    <main first="rtdsrv.dff54f4b11dd4e0d9cb19000fb943d8c">
      <tp t="s">
        <v/>
        <stp/>
        <stp>Market</stp>
        <stp>INDEX</stp>
        <stp>GBP/AUD</stp>
        <stp>前日日付</stp>
        <tr r="J214" s="1"/>
      </tp>
    </main>
    <main first="rtdsrv.dff54f4b11dd4e0d9cb19000fb943d8c">
      <tp t="s">
        <v/>
        <stp/>
        <stp>Market</stp>
        <stp>INDEX</stp>
        <stp>EUR/AUD</stp>
        <stp>前年最高値</stp>
        <tr r="S213" s="1"/>
      </tp>
      <tp t="s">
        <v/>
        <stp/>
        <stp>Market</stp>
        <stp>INDEX</stp>
        <stp>GBP/CHF</stp>
        <stp>前年最高値</stp>
        <tr r="S202" s="1"/>
      </tp>
      <tp t="s">
        <v/>
        <stp/>
        <stp>Market</stp>
        <stp>INDEX</stp>
        <stp>EUR/USD</stp>
        <stp>前年最高値</stp>
        <tr r="S197" s="1"/>
      </tp>
    </main>
    <main first="rtdsrv.dff54f4b11dd4e0d9cb19000fb943d8c">
      <tp t="s">
        <v/>
        <stp/>
        <stp>Market</stp>
        <stp>INDEX</stp>
        <stp>SGD/JPY</stp>
        <stp>前日日付</stp>
        <tr r="J196" s="1"/>
      </tp>
    </main>
    <main first="rtdsrv.dff54f4b11dd4e0d9cb19000fb943d8c">
      <tp t="s">
        <v/>
        <stp/>
        <stp>Market</stp>
        <stp>INDEX</stp>
        <stp>EUR/GBP</stp>
        <stp>前日日付</stp>
        <tr r="J203" s="1"/>
      </tp>
    </main>
    <main first="rtdsrv.dff54f4b11dd4e0d9cb19000fb943d8c">
      <tp>
        <v>623.17999999999995</v>
        <stp/>
        <stp>Market</stp>
        <stp>INDEX</stp>
        <stp>SPESG</stp>
        <stp>年初来高値</stp>
        <tr r="V38" s="1"/>
      </tp>
    </main>
    <main first="rtdsrv.dff54f4b11dd4e0d9cb19000fb943d8c">
      <tp>
        <v>623.17999999999995</v>
        <stp/>
        <stp>Market</stp>
        <stp>INDEX</stp>
        <stp>SPESG</stp>
        <stp>上場来高値</stp>
        <tr r="X38" s="1"/>
      </tp>
      <tp t="s">
        <v>07:15</v>
        <stp/>
        <stp>Market</stp>
        <stp>INDEX</stp>
        <stp>NBI</stp>
        <stp>更新時刻</stp>
        <tr r="D47" s="1"/>
      </tp>
    </main>
    <main first="rtdsrv.dff54f4b11dd4e0d9cb19000fb943d8c">
      <tp>
        <v>0</v>
        <stp/>
        <stp>Market</stp>
        <stp>INDEX</stp>
        <stp>JGB:FI</stp>
        <stp>前年最高値</stp>
        <tr r="S18" s="1"/>
      </tp>
      <tp>
        <v>891.85</v>
        <stp/>
        <stp>Market</stp>
        <stp>INDEX</stp>
        <stp>TSGMC</stp>
        <stp>年初来高値</stp>
        <tr r="V12" s="1"/>
      </tp>
      <tp>
        <v>1147.48</v>
        <stp/>
        <stp>Market</stp>
        <stp>INDEX</stp>
        <stp>TSGMC</stp>
        <stp>上場来高値</stp>
        <tr r="X12" s="1"/>
      </tp>
    </main>
    <main first="rtdsrv.dff54f4b11dd4e0d9cb19000fb943d8c">
      <tp t="s">
        <v>06:44</v>
        <stp/>
        <stp>Market</stp>
        <stp>INDEX</stp>
        <stp>SIXE</stp>
        <stp>更新時刻</stp>
        <tr r="D28" s="1"/>
      </tp>
    </main>
    <main first="rtdsrv.dff54f4b11dd4e0d9cb19000fb943d8c">
      <tp t="s">
        <v>06:44</v>
        <stp/>
        <stp>Market</stp>
        <stp>INDEX</stp>
        <stp>SIXC</stp>
        <stp>更新時刻</stp>
        <tr r="D33" s="1"/>
      </tp>
      <tp t="s">
        <v>06:44</v>
        <stp/>
        <stp>Market</stp>
        <stp>INDEX</stp>
        <stp>SIXB</stp>
        <stp>更新時刻</stp>
        <tr r="D27" s="1"/>
      </tp>
      <tp t="s">
        <v>06:44</v>
        <stp/>
        <stp>Market</stp>
        <stp>INDEX</stp>
        <stp>SIXM</stp>
        <stp>更新時刻</stp>
        <tr r="D29" s="1"/>
      </tp>
      <tp t="s">
        <v>06:44</v>
        <stp/>
        <stp>Market</stp>
        <stp>INDEX</stp>
        <stp>SIXI</stp>
        <stp>更新時刻</stp>
        <tr r="D34" s="1"/>
      </tp>
      <tp t="s">
        <v>06:44</v>
        <stp/>
        <stp>Market</stp>
        <stp>INDEX</stp>
        <stp>SIXU</stp>
        <stp>更新時刻</stp>
        <tr r="D31" s="1"/>
      </tp>
      <tp t="s">
        <v>07:15</v>
        <stp/>
        <stp>Market</stp>
        <stp>INDEX</stp>
        <stp>NDXT</stp>
        <stp>更新時刻</stp>
        <tr r="D49" s="1"/>
      </tp>
      <tp t="s">
        <v>06:44</v>
        <stp/>
        <stp>Market</stp>
        <stp>INDEX</stp>
        <stp>SIXT</stp>
        <stp>更新時刻</stp>
        <tr r="D36" s="1"/>
      </tp>
      <tp t="s">
        <v>06:44</v>
        <stp/>
        <stp>Market</stp>
        <stp>INDEX</stp>
        <stp>SIXV</stp>
        <stp>更新時刻</stp>
        <tr r="D37" s="1"/>
      </tp>
      <tp t="s">
        <v>06:44</v>
        <stp/>
        <stp>Market</stp>
        <stp>INDEX</stp>
        <stp>SIXR</stp>
        <stp>更新時刻</stp>
        <tr r="D35" s="1"/>
      </tp>
      <tp t="s">
        <v>06:44</v>
        <stp/>
        <stp>Market</stp>
        <stp>INDEX</stp>
        <stp>SIXY</stp>
        <stp>更新時刻</stp>
        <tr r="D32" s="1"/>
      </tp>
    </main>
    <main first="rtdsrv.dff54f4b11dd4e0d9cb19000fb943d8c">
      <tp t="s">
        <v/>
        <stp/>
        <stp>Market</stp>
        <stp>INDEX</stp>
        <stp>MOT.FUT03.OS</stp>
        <stp>指標コード</stp>
        <tr r="A93" s="1"/>
      </tp>
      <tp t="s">
        <v/>
        <stp/>
        <stp>Market</stp>
        <stp>INDEX</stp>
        <stp>MOT.FUT02.OS</stp>
        <stp>指標コード</stp>
        <tr r="A92" s="1"/>
      </tp>
      <tp t="s">
        <v/>
        <stp/>
        <stp>Market</stp>
        <stp>INDEX</stp>
        <stp>MOT.FUT01.OS</stp>
        <stp>指標コード</stp>
        <tr r="A91" s="1"/>
      </tp>
    </main>
    <main first="rtdsrv.dff54f4b11dd4e0d9cb19000fb943d8c">
      <tp t="s">
        <v/>
        <stp/>
        <stp>Market</stp>
        <stp>INDEX</stp>
        <stp>MOT.FUT05.OS</stp>
        <stp>指標コード</stp>
        <tr r="A95" s="1"/>
      </tp>
      <tp t="s">
        <v/>
        <stp/>
        <stp>Market</stp>
        <stp>INDEX</stp>
        <stp>MOT.FUT04.OS</stp>
        <stp>指標コード</stp>
        <tr r="A94" s="1"/>
      </tp>
    </main>
    <main first="rtdsrv.dff54f4b11dd4e0d9cb19000fb943d8c">
      <tp>
        <v>-1.48</v>
        <stp/>
        <stp>Market</stp>
        <stp>INDEX</stp>
        <stp>TREIT</stp>
        <stp>前日比率</stp>
        <tr r="H15" s="1"/>
      </tp>
    </main>
    <main first="rtdsrv.dff54f4b11dd4e0d9cb19000fb943d8c">
      <tp t="s">
        <v/>
        <stp/>
        <stp>Market</stp>
        <stp>INDEX</stp>
        <stp>GBP/AUD</stp>
        <stp>前年最高値</stp>
        <tr r="S214" s="1"/>
      </tp>
      <tp t="s">
        <v/>
        <stp/>
        <stp>Market</stp>
        <stp>INDEX</stp>
        <stp>EUR/CHF</stp>
        <stp>前年最高値</stp>
        <tr r="S204" s="1"/>
      </tp>
      <tp t="s">
        <v/>
        <stp/>
        <stp>Market</stp>
        <stp>INDEX</stp>
        <stp>GBP/USD</stp>
        <stp>前年最高値</stp>
        <tr r="S198" s="1"/>
      </tp>
    </main>
    <main first="rtdsrv.dff54f4b11dd4e0d9cb19000fb943d8c">
      <tp t="s">
        <v/>
        <stp/>
        <stp>Market</stp>
        <stp>INDEX</stp>
        <stp>HKD/JPY</stp>
        <stp>前日比率</stp>
        <tr r="H195" s="1"/>
      </tp>
    </main>
    <main first="rtdsrv.dff54f4b11dd4e0d9cb19000fb943d8c">
      <tp t="s">
        <v/>
        <stp/>
        <stp>Market</stp>
        <stp>INDEX</stp>
        <stp>USD/CHF</stp>
        <stp>前日比率</stp>
        <tr r="H201" s="1"/>
      </tp>
    </main>
    <main first="rtdsrv.dff54f4b11dd4e0d9cb19000fb943d8c">
      <tp t="s">
        <v>SIXE</v>
        <stp/>
        <stp>Market</stp>
        <stp>INDEX</stp>
        <stp>SIXE</stp>
        <stp>指標コード</stp>
        <tr r="A28" s="1"/>
      </tp>
      <tp t="s">
        <v>-</v>
        <stp/>
        <stp>Market</stp>
        <stp>INDEX</stp>
        <stp>NQCYBR</stp>
        <stp>出来高</stp>
        <tr r="Q59" s="1"/>
      </tp>
      <tp>
        <v>255.84</v>
        <stp/>
        <stp>Market</stp>
        <stp>INDEX</stp>
        <stp>SIXRE</stp>
        <stp>上場来高値</stp>
        <tr r="X30" s="1"/>
      </tp>
      <tp>
        <v>216.19</v>
        <stp/>
        <stp>Market</stp>
        <stp>INDEX</stp>
        <stp>SIXRE</stp>
        <stp>年初来高値</stp>
        <tr r="V30" s="1"/>
      </tp>
    </main>
    <main first="rtdsrv.dff54f4b11dd4e0d9cb19000fb943d8c">
      <tp>
        <v>0</v>
        <stp/>
        <stp>Market</stp>
        <stp>INDEX</stp>
        <stp>REDBEAN.FUT01.OS</stp>
        <stp>前日終値</stp>
        <tr r="I165" s="1"/>
      </tp>
      <tp>
        <v>0</v>
        <stp/>
        <stp>Market</stp>
        <stp>INDEX</stp>
        <stp>REDBEAN.FUT03.OS</stp>
        <stp>前日終値</stp>
        <tr r="I167" s="1"/>
      </tp>
      <tp>
        <v>0</v>
        <stp/>
        <stp>Market</stp>
        <stp>INDEX</stp>
        <stp>REDBEAN.FUT02.OS</stp>
        <stp>前日終値</stp>
        <tr r="I166" s="1"/>
      </tp>
      <tp>
        <v>0</v>
        <stp/>
        <stp>Market</stp>
        <stp>INDEX</stp>
        <stp>REDBEAN.FUT05.OS</stp>
        <stp>前日終値</stp>
        <tr r="I169" s="1"/>
      </tp>
      <tp>
        <v>0</v>
        <stp/>
        <stp>Market</stp>
        <stp>INDEX</stp>
        <stp>REDBEAN.FUT04.OS</stp>
        <stp>前日終値</stp>
        <tr r="I168" s="1"/>
      </tp>
      <tp>
        <v>0</v>
        <stp/>
        <stp>Market</stp>
        <stp>INDEX</stp>
        <stp>REDBEAN.FUT06.OS</stp>
        <stp>前日終値</stp>
        <tr r="I170" s="1"/>
      </tp>
    </main>
    <main first="rtdsrv.dff54f4b11dd4e0d9cb19000fb943d8c">
      <tp t="s">
        <v/>
        <stp/>
        <stp>Market</stp>
        <stp>INDEX</stp>
        <stp>PLATINUM.FUT03.OS</stp>
        <stp>更新時刻</stp>
        <tr r="D118" s="1"/>
      </tp>
      <tp t="s">
        <v/>
        <stp/>
        <stp>Market</stp>
        <stp>INDEX</stp>
        <stp>PLATINUM.FUT02.OS</stp>
        <stp>更新時刻</stp>
        <tr r="D117" s="1"/>
      </tp>
      <tp t="s">
        <v/>
        <stp/>
        <stp>Market</stp>
        <stp>INDEX</stp>
        <stp>PLATINUM.FUT01.OS</stp>
        <stp>更新時刻</stp>
        <tr r="D116" s="1"/>
      </tp>
      <tp t="s">
        <v/>
        <stp/>
        <stp>Market</stp>
        <stp>INDEX</stp>
        <stp>PLATINUM.FUT06.OS</stp>
        <stp>更新時刻</stp>
        <tr r="D121" s="1"/>
      </tp>
      <tp t="s">
        <v/>
        <stp/>
        <stp>Market</stp>
        <stp>INDEX</stp>
        <stp>PLATINUM.FUT05.OS</stp>
        <stp>更新時刻</stp>
        <tr r="D120" s="1"/>
      </tp>
      <tp t="s">
        <v/>
        <stp/>
        <stp>Market</stp>
        <stp>INDEX</stp>
        <stp>PLATINUM.FUT04.OS</stp>
        <stp>更新時刻</stp>
        <tr r="D119" s="1"/>
      </tp>
    </main>
    <main first="rtdsrv.dff54f4b11dd4e0d9cb19000fb943d8c">
      <tp t="s">
        <v/>
        <stp/>
        <stp>Market</stp>
        <stp>INDEX</stp>
        <stp>NZD/JPY</stp>
        <stp>前日終値</stp>
        <tr r="I191" s="1"/>
      </tp>
      <tp t="s">
        <v/>
        <stp/>
        <stp>Market</stp>
        <stp>INDEX</stp>
        <stp>GBP/CHF</stp>
        <stp>前日終値</stp>
        <tr r="I202" s="1"/>
      </tp>
    </main>
    <main first="rtdsrv.dff54f4b11dd4e0d9cb19000fb943d8c">
      <tp t="s">
        <v/>
        <stp/>
        <stp>Market</stp>
        <stp>INDEX</stp>
        <stp>NZD/CHF</stp>
        <stp>前日日付</stp>
        <tr r="J206" s="1"/>
      </tp>
      <tp t="s">
        <v/>
        <stp/>
        <stp>Market</stp>
        <stp>INDEX</stp>
        <stp>USD/CAD</stp>
        <stp>前日日付</stp>
        <tr r="J212" s="1"/>
      </tp>
      <tp t="s">
        <v/>
        <stp/>
        <stp>Market</stp>
        <stp>INDEX</stp>
        <stp>GBP/JPY</stp>
        <stp>前日日付</stp>
        <tr r="J189" s="1"/>
      </tp>
      <tp t="s">
        <v>SIXB</v>
        <stp/>
        <stp>Market</stp>
        <stp>INDEX</stp>
        <stp>SIXB</stp>
        <stp>指標コード</stp>
        <tr r="A27" s="1"/>
      </tp>
    </main>
    <main first="rtdsrv.dff54f4b11dd4e0d9cb19000fb943d8c">
      <tp>
        <v>0</v>
        <stp/>
        <stp>Market</stp>
        <stp>INDEX</stp>
        <stp>PLATINUMMINI.FUT03.OS</stp>
        <stp>現在値</stp>
        <tr r="E124" s="1"/>
      </tp>
      <tp>
        <v>0</v>
        <stp/>
        <stp>Market</stp>
        <stp>INDEX</stp>
        <stp>PLATINUMMINI.FUT02.OS</stp>
        <stp>現在値</stp>
        <tr r="E123" s="1"/>
      </tp>
      <tp>
        <v>0</v>
        <stp/>
        <stp>Market</stp>
        <stp>INDEX</stp>
        <stp>PLATINUMMINI.FUT01.OS</stp>
        <stp>現在値</stp>
        <tr r="E122" s="1"/>
      </tp>
      <tp>
        <v>11699.5</v>
        <stp/>
        <stp>Market</stp>
        <stp>INDEX</stp>
        <stp>PLATINUMMINI.FUT06.OS</stp>
        <stp>現在値</stp>
        <tr r="E127" s="1"/>
      </tp>
      <tp>
        <v>11582</v>
        <stp/>
        <stp>Market</stp>
        <stp>INDEX</stp>
        <stp>PLATINUMMINI.FUT05.OS</stp>
        <stp>現在値</stp>
        <tr r="E126" s="1"/>
      </tp>
      <tp>
        <v>0</v>
        <stp/>
        <stp>Market</stp>
        <stp>INDEX</stp>
        <stp>PLATINUMMINI.FUT04.OS</stp>
        <stp>現在値</stp>
        <tr r="E125" s="1"/>
      </tp>
    </main>
    <main first="rtdsrv.dff54f4b11dd4e0d9cb19000fb943d8c">
      <tp t="s">
        <v>JGB:FDI</v>
        <stp/>
        <stp>Market</stp>
        <stp>INDEX</stp>
        <stp>JGB:FDI</stp>
        <stp>指標コード</stp>
        <tr r="A19" s="1"/>
      </tp>
    </main>
    <main first="rtdsrv.dff54f4b11dd4e0d9cb19000fb943d8c">
      <tp t="s">
        <v/>
        <stp/>
        <stp>Market</stp>
        <stp>INDEX</stp>
        <stp>ZAR/JPY</stp>
        <stp>指標コード</stp>
        <tr r="A192" s="1"/>
      </tp>
      <tp t="s">
        <v/>
        <stp/>
        <stp>Market</stp>
        <stp>INDEX</stp>
        <stp>EUR/JPY</stp>
        <stp>指標コード</stp>
        <tr r="A188" s="1"/>
      </tp>
    </main>
    <main first="rtdsrv.dff54f4b11dd4e0d9cb19000fb943d8c">
      <tp>
        <v>0</v>
        <stp/>
        <stp>Market</stp>
        <stp>INDEX</stp>
        <stp>JN400.FUT04.OS</stp>
        <stp>前日比率</stp>
        <tr r="H99" s="1"/>
      </tp>
      <tp>
        <v>0</v>
        <stp/>
        <stp>Market</stp>
        <stp>INDEX</stp>
        <stp>JN400.FUT05.OS</stp>
        <stp>前日比率</stp>
        <tr r="H100" s="1"/>
      </tp>
      <tp>
        <v>0</v>
        <stp/>
        <stp>Market</stp>
        <stp>INDEX</stp>
        <stp>JN400.FUT02.OS</stp>
        <stp>前日比率</stp>
        <tr r="H97" s="1"/>
      </tp>
      <tp>
        <v>0</v>
        <stp/>
        <stp>Market</stp>
        <stp>INDEX</stp>
        <stp>JN400.FUT03.OS</stp>
        <stp>前日比率</stp>
        <tr r="H98" s="1"/>
      </tp>
      <tp>
        <v>-1.28</v>
        <stp/>
        <stp>Market</stp>
        <stp>INDEX</stp>
        <stp>JN400.FUT01.OS</stp>
        <stp>前日比率</stp>
        <tr r="H96" s="1"/>
      </tp>
    </main>
    <main first="rtdsrv.dff54f4b11dd4e0d9cb19000fb943d8c">
      <tp t="s">
        <v/>
        <stp/>
        <stp>Market</stp>
        <stp>INDEX</stp>
        <stp>NOK/JPY</stp>
        <stp>前年最高値</stp>
        <tr r="S208" s="1"/>
      </tp>
    </main>
    <main first="rtdsrv.dff54f4b11dd4e0d9cb19000fb943d8c">
      <tp t="s">
        <v/>
        <stp/>
        <stp>Market</stp>
        <stp>INDEX</stp>
        <stp>EUR/CHF</stp>
        <stp>前日比率</stp>
        <tr r="H204" s="1"/>
      </tp>
    </main>
    <main first="rtdsrv.dff54f4b11dd4e0d9cb19000fb943d8c">
      <tp t="s">
        <v/>
        <stp/>
        <stp>Market</stp>
        <stp>INDEX</stp>
        <stp>AUD/CHF</stp>
        <stp>前日比率</stp>
        <tr r="H205" s="1"/>
      </tp>
      <tp t="s">
        <v>SIXC</v>
        <stp/>
        <stp>Market</stp>
        <stp>INDEX</stp>
        <stp>SIXC</stp>
        <stp>指標コード</stp>
        <tr r="A33" s="1"/>
      </tp>
      <tp t="s">
        <v>SSEC</v>
        <stp/>
        <stp>Market</stp>
        <stp>INDEX</stp>
        <stp>SSEC</stp>
        <stp>指標コード</stp>
        <tr r="A68" s="1"/>
      </tp>
      <tp>
        <v>4640.0555999999997</v>
        <stp/>
        <stp>Market</stp>
        <stp>INDEX</stp>
        <stp>SHKSC</stp>
        <stp>上場来高値</stp>
        <tr r="X70" s="1"/>
      </tp>
    </main>
    <main first="rtdsrv.dff54f4b11dd4e0d9cb19000fb943d8c">
      <tp t="s">
        <v>IXTC</v>
        <stp/>
        <stp>Market</stp>
        <stp>INDEX</stp>
        <stp>IXTC</stp>
        <stp>指標コード</stp>
        <tr r="A44" s="1"/>
      </tp>
      <tp t="s">
        <v>IXHC</v>
        <stp/>
        <stp>Market</stp>
        <stp>INDEX</stp>
        <stp>IXHC</stp>
        <stp>指標コード</stp>
        <tr r="A48" s="1"/>
      </tp>
      <tp>
        <v>3935.4241999999999</v>
        <stp/>
        <stp>Market</stp>
        <stp>INDEX</stp>
        <stp>SHKSC</stp>
        <stp>年初来高値</stp>
        <tr r="V70" s="1"/>
      </tp>
    </main>
    <main first="rtdsrv.dff54f4b11dd4e0d9cb19000fb943d8c">
      <tp t="s">
        <v/>
        <stp/>
        <stp>Market</stp>
        <stp>INDEX</stp>
        <stp>MXN/JPY</stp>
        <stp>前日終値</stp>
        <tr r="I211" s="1"/>
      </tp>
    </main>
    <main first="rtdsrv.dff54f4b11dd4e0d9cb19000fb943d8c">
      <tp t="s">
        <v>2026/02/27</v>
        <stp/>
        <stp>Market</stp>
        <stp>INDEX</stp>
        <stp>PLATINUM.SPOT.OS</stp>
        <stp>前日日付</stp>
        <tr r="J128" s="1"/>
      </tp>
    </main>
    <main first="rtdsrv.dff54f4b11dd4e0d9cb19000fb943d8c">
      <tp>
        <v>2495.0700000000002</v>
        <stp/>
        <stp>Market</stp>
        <stp>INDEX</stp>
        <stp>SIXY</stp>
        <stp>前年最高値</stp>
        <tr r="S32" s="1"/>
      </tp>
    </main>
    <main first="rtdsrv.dff54f4b11dd4e0d9cb19000fb943d8c">
      <tp t="s">
        <v/>
        <stp/>
        <stp>Market</stp>
        <stp>INDEX</stp>
        <stp>CNH/JPY</stp>
        <stp>前年最高値</stp>
        <tr r="S210" s="1"/>
      </tp>
    </main>
    <main first="rtdsrv.dff54f4b11dd4e0d9cb19000fb943d8c">
      <tp t="s">
        <v/>
        <stp/>
        <stp>Market</stp>
        <stp>INDEX</stp>
        <stp>CNH/JPY</stp>
        <stp>前日比率</stp>
        <tr r="H210" s="1"/>
      </tp>
    </main>
    <main first="rtdsrv.dff54f4b11dd4e0d9cb19000fb943d8c">
      <tp>
        <v>11217.5</v>
        <stp/>
        <stp>Market</stp>
        <stp>INDEX</stp>
        <stp>PLATINUMMINI.FUT01.OS</stp>
        <stp>前日終値</stp>
        <tr r="I122" s="1"/>
      </tp>
      <tp>
        <v>11633</v>
        <stp/>
        <stp>Market</stp>
        <stp>INDEX</stp>
        <stp>PLATINUMMINI.FUT03.OS</stp>
        <stp>前日終値</stp>
        <tr r="I124" s="1"/>
      </tp>
      <tp>
        <v>11380.5</v>
        <stp/>
        <stp>Market</stp>
        <stp>INDEX</stp>
        <stp>PLATINUMMINI.FUT02.OS</stp>
        <stp>前日終値</stp>
        <tr r="I123" s="1"/>
      </tp>
      <tp>
        <v>11778</v>
        <stp/>
        <stp>Market</stp>
        <stp>INDEX</stp>
        <stp>PLATINUMMINI.FUT05.OS</stp>
        <stp>前日終値</stp>
        <tr r="I126" s="1"/>
      </tp>
      <tp>
        <v>11673</v>
        <stp/>
        <stp>Market</stp>
        <stp>INDEX</stp>
        <stp>PLATINUMMINI.FUT04.OS</stp>
        <stp>前日終値</stp>
        <tr r="I125" s="1"/>
      </tp>
      <tp>
        <v>11770</v>
        <stp/>
        <stp>Market</stp>
        <stp>INDEX</stp>
        <stp>PLATINUMMINI.FUT06.OS</stp>
        <stp>前日終値</stp>
        <tr r="I127" s="1"/>
      </tp>
    </main>
    <main first="rtdsrv.dff54f4b11dd4e0d9cb19000fb943d8c">
      <tp t="s">
        <v>07:15</v>
        <stp/>
        <stp>Market</stp>
        <stp>INDEX</stp>
        <stp>HGX</stp>
        <stp>更新時刻</stp>
        <tr r="D52" s="1"/>
      </tp>
      <tp t="s">
        <v>07:15</v>
        <stp/>
        <stp>Market</stp>
        <stp>INDEX</stp>
        <stp>NGX</stp>
        <stp>更新時刻</stp>
        <tr r="D63" s="1"/>
      </tp>
    </main>
    <main first="rtdsrv.dff54f4b11dd4e0d9cb19000fb943d8c">
      <tp>
        <v>0</v>
        <stp/>
        <stp>Market</stp>
        <stp>INDEX</stp>
        <stp>JGB:F</stp>
        <stp>売買代金</stp>
        <tr r="R16" s="1"/>
      </tp>
      <tp t="s">
        <v/>
        <stp/>
        <stp>Market</stp>
        <stp>INDEX</stp>
        <stp>NZD/USD</stp>
        <stp>前日終値</stp>
        <tr r="I200" s="1"/>
      </tp>
    </main>
    <main first="rtdsrv.dff54f4b11dd4e0d9cb19000fb943d8c">
      <tp>
        <v>3436.75</v>
        <stp/>
        <stp>Market</stp>
        <stp>INDEX</stp>
        <stp>TOPX</stp>
        <stp>前年最高値</stp>
        <tr r="S4" s="1"/>
      </tp>
    </main>
    <main first="rtdsrv.dff54f4b11dd4e0d9cb19000fb943d8c">
      <tp>
        <v>189.03</v>
        <stp/>
        <stp>Market</stp>
        <stp>INDEX</stp>
        <stp>VVIX</stp>
        <stp>前年最高値</stp>
        <tr r="S26" s="1"/>
      </tp>
    </main>
    <main first="rtdsrv.dff54f4b11dd4e0d9cb19000fb943d8c">
      <tp>
        <v>3.36</v>
        <stp/>
        <stp>Market</stp>
        <stp>INDEX</stp>
        <stp>TSGMC</stp>
        <stp>前日比率</stp>
        <tr r="H12" s="1"/>
      </tp>
    </main>
    <main first="rtdsrv.dff54f4b11dd4e0d9cb19000fb943d8c">
      <tp t="s">
        <v>2026/02/26</v>
        <stp/>
        <stp>Market</stp>
        <stp>INDEX</stp>
        <stp>HSCCI</stp>
        <stp>前日日付</stp>
        <tr r="J67" s="1"/>
      </tp>
    </main>
    <main first="rtdsrv.dff54f4b11dd4e0d9cb19000fb943d8c">
      <tp t="s">
        <v/>
        <stp/>
        <stp>Market</stp>
        <stp>INDEX</stp>
        <stp>GBP/JPY</stp>
        <stp>指標コード</stp>
        <tr r="A189" s="1"/>
      </tp>
    </main>
    <main first="rtdsrv.dff54f4b11dd4e0d9cb19000fb943d8c">
      <tp t="s">
        <v/>
        <stp/>
        <stp>Market</stp>
        <stp>INDEX</stp>
        <stp>GBP/USD</stp>
        <stp>前日日付</stp>
        <tr r="J198" s="1"/>
      </tp>
    </main>
    <main first="rtdsrv.dff54f4b11dd4e0d9cb19000fb943d8c">
      <tp t="s">
        <v/>
        <stp/>
        <stp>Market</stp>
        <stp>INDEX</stp>
        <stp>NOK/JPY</stp>
        <stp>前日比率</stp>
        <tr r="H208" s="1"/>
      </tp>
      <tp t="s">
        <v/>
        <stp/>
        <stp>Market</stp>
        <stp>INDEX</stp>
        <stp>CAD/JPY</stp>
        <stp>前日日付</stp>
        <tr r="J193" s="1"/>
      </tp>
    </main>
    <main first="rtdsrv.dff54f4b11dd4e0d9cb19000fb943d8c">
      <tp t="s">
        <v/>
        <stp/>
        <stp>Market</stp>
        <stp>INDEX</stp>
        <stp>ZAR/JPY</stp>
        <stp>前日日付</stp>
        <tr r="J192" s="1"/>
      </tp>
      <tp>
        <v>0</v>
        <stp/>
        <stp>Market</stp>
        <stp>INDEX</stp>
        <stp>JGB:FL</stp>
        <stp>前年最高値</stp>
        <tr r="S17" s="1"/>
      </tp>
      <tp t="s">
        <v>SSEA</v>
        <stp/>
        <stp>Market</stp>
        <stp>INDEX</stp>
        <stp>SSEA</stp>
        <stp>指標コード</stp>
        <tr r="A69" s="1"/>
      </tp>
      <tp t="s">
        <v>DJIA</v>
        <stp/>
        <stp>Market</stp>
        <stp>INDEX</stp>
        <stp>DJIA</stp>
        <stp>指標コード</stp>
        <tr r="A20" s="1"/>
      </tp>
    </main>
    <main first="rtdsrv.dff54f4b11dd4e0d9cb19000fb943d8c">
      <tp t="s">
        <v>15:30</v>
        <stp/>
        <stp>Market</stp>
        <stp>INDEX</stp>
        <stp>TSSM</stp>
        <stp>更新時刻</stp>
        <tr r="D7" s="1"/>
      </tp>
      <tp t="s">
        <v/>
        <stp/>
        <stp>Market</stp>
        <stp>INDEX</stp>
        <stp>AUD/USD</stp>
        <stp>前日終値</stp>
        <tr r="I199" s="1"/>
      </tp>
      <tp t="s">
        <v/>
        <stp/>
        <stp>Market</stp>
        <stp>INDEX</stp>
        <stp>GOLD.SPOT.OS</stp>
        <stp>更新時刻</stp>
        <tr r="D115" s="1"/>
      </tp>
      <tp t="s">
        <v>07:15</v>
        <stp/>
        <stp>Market</stp>
        <stp>INDEX</stp>
        <stp>INSR</stp>
        <stp>更新時刻</stp>
        <tr r="D41" s="1"/>
      </tp>
      <tp t="s">
        <v/>
        <stp/>
        <stp>Market</stp>
        <stp>INDEX</stp>
        <stp>EUR/USD</stp>
        <stp>前日終値</stp>
        <tr r="I197" s="1"/>
      </tp>
      <tp>
        <v>-1.1399999999999999</v>
        <stp/>
        <stp>Market</stp>
        <stp>INDEX</stp>
        <stp>PLATINUM.SPOT.OS</stp>
        <stp>前日比率</stp>
        <tr r="H128" s="1"/>
      </tp>
    </main>
    <main first="rtdsrv.dff54f4b11dd4e0d9cb19000fb943d8c">
      <tp t="s">
        <v/>
        <stp/>
        <stp>Market</stp>
        <stp>INDEX</stp>
        <stp>CHF/JPY</stp>
        <stp>前年最高値</stp>
        <tr r="S194" s="1"/>
      </tp>
      <tp t="s">
        <v/>
        <stp/>
        <stp>Market</stp>
        <stp>INDEX</stp>
        <stp>CNH/JPY</stp>
        <stp>前日日付</stp>
        <tr r="J210" s="1"/>
      </tp>
      <tp t="s">
        <v>TRAN</v>
        <stp/>
        <stp>Market</stp>
        <stp>INDEX</stp>
        <stp>TRAN</stp>
        <stp>指標コード</stp>
        <tr r="A43" s="1"/>
      </tp>
      <tp t="s">
        <v/>
        <stp/>
        <stp>Market</stp>
        <stp>INDEX</stp>
        <stp>TCWSI</stp>
        <stp>上場来高値</stp>
        <tr r="X101" s="1"/>
      </tp>
      <tp t="s">
        <v/>
        <stp/>
        <stp>Market</stp>
        <stp>INDEX</stp>
        <stp>TCWSI</stp>
        <stp>年初来高値</stp>
        <tr r="V101" s="1"/>
      </tp>
      <tp t="s">
        <v>OFIN</v>
        <stp/>
        <stp>Market</stp>
        <stp>INDEX</stp>
        <stp>OFIN</stp>
        <stp>指標コード</stp>
        <tr r="A42" s="1"/>
      </tp>
    </main>
    <main first="rtdsrv.dff54f4b11dd4e0d9cb19000fb943d8c">
      <tp t="s">
        <v>06:15</v>
        <stp/>
        <stp>Market</stp>
        <stp>INDEX</stp>
        <stp>VIX</stp>
        <stp>更新時刻</stp>
        <tr r="D25" s="1"/>
      </tp>
    </main>
    <main first="rtdsrv.dff54f4b11dd4e0d9cb19000fb943d8c">
      <tp>
        <v>1603.01</v>
        <stp/>
        <stp>Market</stp>
        <stp>INDEX</stp>
        <stp>SIXV</stp>
        <stp>前年最高値</stp>
        <tr r="S37" s="1"/>
      </tp>
    </main>
    <main first="rtdsrv.dff54f4b11dd4e0d9cb19000fb943d8c">
      <tp t="s">
        <v>2026/02/26</v>
        <stp/>
        <stp>Market</stp>
        <stp>INDEX</stp>
        <stp>TSGMC</stp>
        <stp>前日日付</stp>
        <tr r="J12" s="1"/>
      </tp>
    </main>
    <main first="rtdsrv.dff54f4b11dd4e0d9cb19000fb943d8c">
      <tp>
        <v>0.63</v>
        <stp/>
        <stp>Market</stp>
        <stp>INDEX</stp>
        <stp>HSCCI</stp>
        <stp>前日比率</stp>
        <tr r="H67" s="1"/>
      </tp>
    </main>
    <main first="rtdsrv.dff54f4b11dd4e0d9cb19000fb943d8c">
      <tp t="s">
        <v/>
        <stp/>
        <stp>Market</stp>
        <stp>INDEX</stp>
        <stp>NOK/JPY</stp>
        <stp>前日日付</stp>
        <tr r="J208" s="1"/>
      </tp>
      <tp t="s">
        <v/>
        <stp/>
        <stp>Market</stp>
        <stp>INDEX</stp>
        <stp>CAD/JPY</stp>
        <stp>前日比率</stp>
        <tr r="H193" s="1"/>
      </tp>
      <tp t="s">
        <v/>
        <stp/>
        <stp>Market</stp>
        <stp>INDEX</stp>
        <stp>GBP/USD</stp>
        <stp>前日比率</stp>
        <tr r="H198" s="1"/>
      </tp>
      <tp t="s">
        <v>EMCLOUD</v>
        <stp/>
        <stp>Market</stp>
        <stp>INDEX</stp>
        <stp>EMCLOUD</stp>
        <stp>指標コード</stp>
        <tr r="A62" s="1"/>
      </tp>
      <tp t="s">
        <v/>
        <stp/>
        <stp>Market</stp>
        <stp>INDEX</stp>
        <stp>ZAR/JPY</stp>
        <stp>前日比率</stp>
        <tr r="H192" s="1"/>
      </tp>
      <tp t="s">
        <v>-</v>
        <stp/>
        <stp>Market</stp>
        <stp>INDEX</stp>
        <stp>NQUSMT</stp>
        <stp>出来高</stp>
        <tr r="Q57" s="1"/>
      </tp>
      <tp t="s">
        <v>-</v>
        <stp/>
        <stp>Market</stp>
        <stp>INDEX</stp>
        <stp>NQUSLT</stp>
        <stp>出来高</stp>
        <tr r="Q56" s="1"/>
      </tp>
      <tp>
        <v>3543.79</v>
        <stp/>
        <stp>Market</stp>
        <stp>INDEX</stp>
        <stp>NQUSMT</stp>
        <stp>前年最高値</stp>
        <tr r="S57" s="1"/>
      </tp>
      <tp>
        <v>5344.93</v>
        <stp/>
        <stp>Market</stp>
        <stp>INDEX</stp>
        <stp>NQUSLT</stp>
        <stp>前年最高値</stp>
        <tr r="S56" s="1"/>
      </tp>
      <tp>
        <v>3343.21</v>
        <stp/>
        <stp>Market</stp>
        <stp>INDEX</stp>
        <stp>NQUSST</stp>
        <stp>前年最高値</stp>
        <tr r="S58" s="1"/>
      </tp>
      <tp t="s">
        <v>-</v>
        <stp/>
        <stp>Market</stp>
        <stp>INDEX</stp>
        <stp>NQUSST</stp>
        <stp>出来高</stp>
        <tr r="Q58" s="1"/>
      </tp>
      <tp t="s">
        <v>IXCO</v>
        <stp/>
        <stp>Market</stp>
        <stp>INDEX</stp>
        <stp>IXCO</stp>
        <stp>指標コード</stp>
        <tr r="A45" s="1"/>
      </tp>
    </main>
    <main first="rtdsrv.dff54f4b11dd4e0d9cb19000fb943d8c">
      <tp>
        <v>4367.1400000000003</v>
        <stp/>
        <stp>Market</stp>
        <stp>INDEX</stp>
        <stp>N500</stp>
        <stp>現在値</stp>
        <tr r="E9" s="1"/>
      </tp>
    </main>
    <main first="rtdsrv.dff54f4b11dd4e0d9cb19000fb943d8c">
      <tp>
        <v>6981.9</v>
        <stp/>
        <stp>Market</stp>
        <stp>INDEX</stp>
        <stp>IXF</stp>
        <stp>現在値</stp>
        <tr r="E46" s="1"/>
      </tp>
    </main>
    <main first="rtdsrv.dff54f4b11dd4e0d9cb19000fb943d8c">
      <tp t="s">
        <v/>
        <stp/>
        <stp>Market</stp>
        <stp>INDEX</stp>
        <stp>RSS3.FUT01.OS</stp>
        <stp>上場来高値</stp>
        <tr r="X141" s="1"/>
      </tp>
      <tp t="s">
        <v/>
        <stp/>
        <stp>Market</stp>
        <stp>INDEX</stp>
        <stp>RSS3.FUT02.OS</stp>
        <stp>上場来高値</stp>
        <tr r="X142" s="1"/>
      </tp>
    </main>
    <main first="rtdsrv.dff54f4b11dd4e0d9cb19000fb943d8c">
      <tp t="s">
        <v/>
        <stp/>
        <stp>Market</stp>
        <stp>INDEX</stp>
        <stp>RSS3.FUT03.OS</stp>
        <stp>上場来高値</stp>
        <tr r="X143" s="1"/>
      </tp>
      <tp t="s">
        <v/>
        <stp/>
        <stp>Market</stp>
        <stp>INDEX</stp>
        <stp>RSS3.FUT04.OS</stp>
        <stp>上場来高値</stp>
        <tr r="X144" s="1"/>
      </tp>
      <tp t="s">
        <v/>
        <stp/>
        <stp>Market</stp>
        <stp>INDEX</stp>
        <stp>RSS3.FUT05.OS</stp>
        <stp>上場来高値</stp>
        <tr r="X145" s="1"/>
      </tp>
      <tp t="s">
        <v/>
        <stp/>
        <stp>Market</stp>
        <stp>INDEX</stp>
        <stp>RSS3.FUT06.OS</stp>
        <stp>上場来高値</stp>
        <tr r="X146" s="1"/>
      </tp>
      <tp t="s">
        <v/>
        <stp/>
        <stp>Market</stp>
        <stp>INDEX</stp>
        <stp>RSS3.FUT07.OS</stp>
        <stp>上場来高値</stp>
        <tr r="X147" s="1"/>
      </tp>
      <tp>
        <v>4362.1000000000004</v>
        <stp/>
        <stp>Market</stp>
        <stp>INDEX</stp>
        <stp>N500</stp>
        <stp>年初来高値</stp>
        <tr r="V9" s="1"/>
      </tp>
      <tp>
        <v>828.77</v>
        <stp/>
        <stp>Market</stp>
        <stp>INDEX</stp>
        <stp>N300</stp>
        <stp>年初来高値</stp>
        <tr r="V3" s="1"/>
      </tp>
      <tp t="s">
        <v/>
        <stp/>
        <stp>Market</stp>
        <stp>INDEX</stp>
        <stp>RSS3.FUT08.OS</stp>
        <stp>上場来高値</stp>
        <tr r="X148" s="1"/>
      </tp>
      <tp t="s">
        <v/>
        <stp/>
        <stp>Market</stp>
        <stp>INDEX</stp>
        <stp>RSS3.FUT09.OS</stp>
        <stp>上場来高値</stp>
        <tr r="X149" s="1"/>
      </tp>
    </main>
    <main first="rtdsrv.dff54f4b11dd4e0d9cb19000fb943d8c">
      <tp t="s">
        <v/>
        <stp/>
        <stp>Market</stp>
        <stp>INDEX</stp>
        <stp>RSS3.FUT01.OS</stp>
        <stp>年初来高値</stp>
        <tr r="V141" s="1"/>
      </tp>
      <tp t="s">
        <v/>
        <stp/>
        <stp>Market</stp>
        <stp>INDEX</stp>
        <stp>RSS3.FUT02.OS</stp>
        <stp>年初来高値</stp>
        <tr r="V142" s="1"/>
      </tp>
      <tp t="s">
        <v/>
        <stp/>
        <stp>Market</stp>
        <stp>INDEX</stp>
        <stp>RSS3.FUT03.OS</stp>
        <stp>年初来高値</stp>
        <tr r="V143" s="1"/>
      </tp>
      <tp t="s">
        <v/>
        <stp/>
        <stp>Market</stp>
        <stp>INDEX</stp>
        <stp>RSS3.FUT04.OS</stp>
        <stp>年初来高値</stp>
        <tr r="V144" s="1"/>
      </tp>
      <tp t="s">
        <v/>
        <stp/>
        <stp>Market</stp>
        <stp>INDEX</stp>
        <stp>RSS3.FUT05.OS</stp>
        <stp>年初来高値</stp>
        <tr r="V145" s="1"/>
      </tp>
      <tp>
        <v>949.09</v>
        <stp/>
        <stp>Market</stp>
        <stp>INDEX</stp>
        <stp>SIXU</stp>
        <stp>前年最高値</stp>
        <tr r="S31" s="1"/>
      </tp>
      <tp t="s">
        <v/>
        <stp/>
        <stp>Market</stp>
        <stp>INDEX</stp>
        <stp>RSS3.FUT06.OS</stp>
        <stp>年初来高値</stp>
        <tr r="V146" s="1"/>
      </tp>
      <tp>
        <v>828.77</v>
        <stp/>
        <stp>Market</stp>
        <stp>INDEX</stp>
        <stp>N300</stp>
        <stp>上場来高値</stp>
        <tr r="X3" s="1"/>
      </tp>
      <tp>
        <v>4362.1000000000004</v>
        <stp/>
        <stp>Market</stp>
        <stp>INDEX</stp>
        <stp>N500</stp>
        <stp>上場来高値</stp>
        <tr r="X9" s="1"/>
      </tp>
      <tp t="s">
        <v/>
        <stp/>
        <stp>Market</stp>
        <stp>INDEX</stp>
        <stp>RSS3.FUT07.OS</stp>
        <stp>年初来高値</stp>
        <tr r="V147" s="1"/>
      </tp>
      <tp t="s">
        <v/>
        <stp/>
        <stp>Market</stp>
        <stp>INDEX</stp>
        <stp>RSS3.FUT08.OS</stp>
        <stp>年初来高値</stp>
        <tr r="V148" s="1"/>
      </tp>
      <tp t="s">
        <v/>
        <stp/>
        <stp>Market</stp>
        <stp>INDEX</stp>
        <stp>RSS3.FUT09.OS</stp>
        <stp>年初来高値</stp>
        <tr r="V149" s="1"/>
      </tp>
      <tp t="s">
        <v>SP100</v>
        <stp/>
        <stp>Market</stp>
        <stp>INDEX</stp>
        <stp>SP100</stp>
        <stp>指標コード</stp>
        <tr r="A23" s="1"/>
      </tp>
      <tp t="s">
        <v>SP500</v>
        <stp/>
        <stp>Market</stp>
        <stp>INDEX</stp>
        <stp>SP500</stp>
        <stp>指標コード</stp>
        <tr r="A24" s="1"/>
      </tp>
    </main>
    <main first="rtdsrv.dff54f4b11dd4e0d9cb19000fb943d8c">
      <tp t="s">
        <v/>
        <stp/>
        <stp>Market</stp>
        <stp>INDEX</stp>
        <stp>CAD/JPY</stp>
        <stp>前年最高値</stp>
        <tr r="S193" s="1"/>
      </tp>
      <tp t="s">
        <v/>
        <stp/>
        <stp>Market</stp>
        <stp>INDEX</stp>
        <stp>AUD/JPY</stp>
        <stp>前年最高値</stp>
        <tr r="S190" s="1"/>
      </tp>
      <tp t="s">
        <v/>
        <stp/>
        <stp>Market</stp>
        <stp>INDEX</stp>
        <stp>NZD/JPY</stp>
        <stp>前年最高値</stp>
        <tr r="S191" s="1"/>
      </tp>
      <tp t="s">
        <v/>
        <stp/>
        <stp>Market</stp>
        <stp>INDEX</stp>
        <stp>HKD/JPY</stp>
        <stp>前年最高値</stp>
        <tr r="S195" s="1"/>
      </tp>
      <tp t="s">
        <v/>
        <stp/>
        <stp>Market</stp>
        <stp>INDEX</stp>
        <stp>USD/JPY</stp>
        <stp>前年最高値</stp>
        <tr r="S187" s="1"/>
      </tp>
      <tp t="s">
        <v/>
        <stp/>
        <stp>Market</stp>
        <stp>INDEX</stp>
        <stp>SGD/JPY</stp>
        <stp>前年最高値</stp>
        <tr r="S196" s="1"/>
      </tp>
      <tp t="s">
        <v/>
        <stp/>
        <stp>Market</stp>
        <stp>INDEX</stp>
        <stp>GBP/JPY</stp>
        <stp>前日比率</stp>
        <tr r="H189" s="1"/>
      </tp>
    </main>
    <main first="rtdsrv.dff54f4b11dd4e0d9cb19000fb943d8c">
      <tp t="s">
        <v/>
        <stp/>
        <stp>Market</stp>
        <stp>INDEX</stp>
        <stp>NZD/CHF</stp>
        <stp>前日比率</stp>
        <tr r="H206" s="1"/>
      </tp>
      <tp t="s">
        <v/>
        <stp/>
        <stp>Market</stp>
        <stp>INDEX</stp>
        <stp>USD/CAD</stp>
        <stp>前日比率</stp>
        <tr r="H212" s="1"/>
      </tp>
      <tp>
        <v>4836.9548999999997</v>
        <stp/>
        <stp>Market</stp>
        <stp>INDEX</stp>
        <stp>CSI300</stp>
        <stp>年初来高値</stp>
        <tr r="V71" s="1"/>
      </tp>
      <tp t="s">
        <v/>
        <stp/>
        <stp>Market</stp>
        <stp>INDEX</stp>
        <stp>TSR20.FUT12.OS</stp>
        <stp>指標コード</stp>
        <tr r="A164" s="1"/>
      </tp>
      <tp t="s">
        <v/>
        <stp/>
        <stp>Market</stp>
        <stp>INDEX</stp>
        <stp>TSR20.FUT11.OS</stp>
        <stp>指標コード</stp>
        <tr r="A163" s="1"/>
      </tp>
      <tp t="s">
        <v/>
        <stp/>
        <stp>Market</stp>
        <stp>INDEX</stp>
        <stp>TSR20.FUT10.OS</stp>
        <stp>指標コード</stp>
        <tr r="A162" s="1"/>
      </tp>
      <tp>
        <v>5930.9121999999998</v>
        <stp/>
        <stp>Market</stp>
        <stp>INDEX</stp>
        <stp>CSI300</stp>
        <stp>上場来高値</stp>
        <tr r="X71" s="1"/>
      </tp>
      <tp>
        <v>31036.06</v>
        <stp/>
        <stp>Market</stp>
        <stp>INDEX</stp>
        <stp>JN400</stp>
        <stp>前年最高値</stp>
        <tr r="S5" s="1"/>
      </tp>
      <tp>
        <v>26814</v>
        <stp/>
        <stp>Market</stp>
        <stp>INDEX</stp>
        <stp>GOLD.FUT05.OS</stp>
        <stp>前日終値</stp>
        <tr r="I107" s="1"/>
      </tp>
      <tp>
        <v>26489</v>
        <stp/>
        <stp>Market</stp>
        <stp>INDEX</stp>
        <stp>GOLD.FUT04.OS</stp>
        <stp>前日終値</stp>
        <tr r="I106" s="1"/>
      </tp>
      <tp>
        <v>27040</v>
        <stp/>
        <stp>Market</stp>
        <stp>INDEX</stp>
        <stp>GOLD.FUT06.OS</stp>
        <stp>前日終値</stp>
        <tr r="I108" s="1"/>
      </tp>
      <tp>
        <v>26060</v>
        <stp/>
        <stp>Market</stp>
        <stp>INDEX</stp>
        <stp>GOLD.FUT01.OS</stp>
        <stp>前日終値</stp>
        <tr r="I103" s="1"/>
      </tp>
      <tp>
        <v>26300</v>
        <stp/>
        <stp>Market</stp>
        <stp>INDEX</stp>
        <stp>GOLD.FUT03.OS</stp>
        <stp>前日終値</stp>
        <tr r="I105" s="1"/>
      </tp>
      <tp>
        <v>26024</v>
        <stp/>
        <stp>Market</stp>
        <stp>INDEX</stp>
        <stp>GOLD.FUT02.OS</stp>
        <stp>前日終値</stp>
        <tr r="I104" s="1"/>
      </tp>
    </main>
    <main first="rtdsrv.dff54f4b11dd4e0d9cb19000fb943d8c">
      <tp>
        <v>7277.39</v>
        <stp/>
        <stp>Market</stp>
        <stp>INDEX</stp>
        <stp>HXC</stp>
        <stp>現在値</stp>
        <tr r="E55" s="1"/>
      </tp>
      <tp>
        <v>756</v>
        <stp/>
        <stp>Market</stp>
        <stp>INDEX</stp>
        <stp>MOT.FUT01.OS</stp>
        <stp>現在値</stp>
        <tr r="E91" s="1"/>
      </tp>
      <tp>
        <v>740</v>
        <stp/>
        <stp>Market</stp>
        <stp>INDEX</stp>
        <stp>MOT.FUT03.OS</stp>
        <stp>現在値</stp>
        <tr r="E93" s="1"/>
      </tp>
      <tp>
        <v>746</v>
        <stp/>
        <stp>Market</stp>
        <stp>INDEX</stp>
        <stp>MOT.FUT02.OS</stp>
        <stp>現在値</stp>
        <tr r="E92" s="1"/>
      </tp>
      <tp>
        <v>0</v>
        <stp/>
        <stp>Market</stp>
        <stp>INDEX</stp>
        <stp>MOT.FUT05.OS</stp>
        <stp>現在値</stp>
        <tr r="E95" s="1"/>
      </tp>
      <tp>
        <v>0</v>
        <stp/>
        <stp>Market</stp>
        <stp>INDEX</stp>
        <stp>MOT.FUT04.OS</stp>
        <stp>現在値</stp>
        <tr r="E94" s="1"/>
      </tp>
      <tp>
        <v>26630.54</v>
        <stp/>
        <stp>Market</stp>
        <stp>INDEX</stp>
        <stp>HSI</stp>
        <stp>現在値</stp>
        <tr r="E65" s="1"/>
      </tp>
      <tp>
        <v>723.09</v>
        <stp/>
        <stp>Market</stp>
        <stp>INDEX</stp>
        <stp>HGX</stp>
        <stp>現在値</stp>
        <tr r="E52" s="1"/>
      </tp>
      <tp t="s">
        <v/>
        <stp/>
        <stp>Market</stp>
        <stp>INDEX</stp>
        <stp>EUR/JPY</stp>
        <stp>前日終値</stp>
        <tr r="I188" s="1"/>
      </tp>
      <tp t="s">
        <v>15:30</v>
        <stp/>
        <stp>Market</stp>
        <stp>INDEX</stp>
        <stp>TSPM</stp>
        <stp>更新時刻</stp>
        <tr r="D6" s="1"/>
      </tp>
      <tp>
        <v>85605181</v>
        <stp/>
        <stp>Market</stp>
        <stp>INDEX</stp>
        <stp>N225M.FUT04.OS</stp>
        <stp>売買代金</stp>
        <tr r="R80" s="1"/>
      </tp>
      <tp>
        <v>76510</v>
        <stp/>
        <stp>Market</stp>
        <stp>INDEX</stp>
        <stp>N225M.FUT05.OS</stp>
        <stp>売買代金</stp>
        <tr r="R81" s="1"/>
      </tp>
      <tp>
        <v>1512733860</v>
        <stp/>
        <stp>Market</stp>
        <stp>INDEX</stp>
        <stp>N225M.FUT01.OS</stp>
        <stp>売買代金</stp>
        <tr r="R77" s="1"/>
      </tp>
      <tp>
        <v>14219335</v>
        <stp/>
        <stp>Market</stp>
        <stp>INDEX</stp>
        <stp>N225M.FUT02.OS</stp>
        <stp>売買代金</stp>
        <tr r="R78" s="1"/>
      </tp>
      <tp>
        <v>805205</v>
        <stp/>
        <stp>Market</stp>
        <stp>INDEX</stp>
        <stp>N225M.FUT03.OS</stp>
        <stp>売買代金</stp>
        <tr r="R79" s="1"/>
      </tp>
      <tp t="s">
        <v/>
        <stp/>
        <stp>Market</stp>
        <stp>INDEX</stp>
        <stp>AUD/JPY</stp>
        <stp>前日終値</stp>
        <tr r="I190" s="1"/>
      </tp>
      <tp t="s">
        <v>15:30</v>
        <stp/>
        <stp>Market</stp>
        <stp>INDEX</stp>
        <stp>TOPX</stp>
        <stp>更新時刻</stp>
        <tr r="D4" s="1"/>
      </tp>
      <tp t="s">
        <v/>
        <stp/>
        <stp>Market</stp>
        <stp>INDEX</stp>
        <stp>RSS3.FUT10.OS</stp>
        <stp>上場来高値</stp>
        <tr r="X150" s="1"/>
      </tp>
      <tp t="s">
        <v/>
        <stp/>
        <stp>Market</stp>
        <stp>INDEX</stp>
        <stp>RSS3.FUT11.OS</stp>
        <stp>上場来高値</stp>
        <tr r="X151" s="1"/>
      </tp>
      <tp t="s">
        <v/>
        <stp/>
        <stp>Market</stp>
        <stp>INDEX</stp>
        <stp>RSS3.FUT12.OS</stp>
        <stp>上場来高値</stp>
        <tr r="X152" s="1"/>
      </tp>
      <tp t="s">
        <v>NQROBO</v>
        <stp/>
        <stp>Market</stp>
        <stp>INDEX</stp>
        <stp>NQROBO</stp>
        <stp>指標コード</stp>
        <tr r="A61" s="1"/>
      </tp>
    </main>
    <main first="rtdsrv.dff54f4b11dd4e0d9cb19000fb943d8c">
      <tp>
        <v>13359.05</v>
        <stp/>
        <stp>Market</stp>
        <stp>INDEX</stp>
        <stp>NDXT</stp>
        <stp>前年最高値</stp>
        <tr r="S49" s="1"/>
      </tp>
    </main>
    <main first="rtdsrv.dff54f4b11dd4e0d9cb19000fb943d8c">
      <tp t="s">
        <v/>
        <stp/>
        <stp>Market</stp>
        <stp>INDEX</stp>
        <stp>RSS3.FUT10.OS</stp>
        <stp>年初来高値</stp>
        <tr r="V150" s="1"/>
      </tp>
      <tp t="s">
        <v/>
        <stp/>
        <stp>Market</stp>
        <stp>INDEX</stp>
        <stp>RSS3.FUT11.OS</stp>
        <stp>年初来高値</stp>
        <tr r="V151" s="1"/>
      </tp>
      <tp t="s">
        <v/>
        <stp/>
        <stp>Market</stp>
        <stp>INDEX</stp>
        <stp>RSS3.FUT12.OS</stp>
        <stp>年初来高値</stp>
        <tr r="V152" s="1"/>
      </tp>
      <tp>
        <v>3081.96</v>
        <stp/>
        <stp>Market</stp>
        <stp>INDEX</stp>
        <stp>SIXT</stp>
        <stp>前年最高値</stp>
        <tr r="S36" s="1"/>
      </tp>
    </main>
    <main first="rtdsrv.dff54f4b11dd4e0d9cb19000fb943d8c">
      <tp t="s">
        <v/>
        <stp/>
        <stp>Market</stp>
        <stp>INDEX</stp>
        <stp>EUR/CHF</stp>
        <stp>前日日付</stp>
        <tr r="J204" s="1"/>
      </tp>
    </main>
    <main first="rtdsrv.dff54f4b11dd4e0d9cb19000fb943d8c">
      <tp t="s">
        <v>2026/02/27</v>
        <stp/>
        <stp>Market</stp>
        <stp>INDEX</stp>
        <stp>JN400.FUT01.OS</stp>
        <stp>前日日付</stp>
        <tr r="J96" s="1"/>
      </tp>
      <tp t="s">
        <v/>
        <stp/>
        <stp>Market</stp>
        <stp>INDEX</stp>
        <stp>JN400.FUT03.OS</stp>
        <stp>前日日付</stp>
        <tr r="J98" s="1"/>
      </tp>
      <tp t="s">
        <v/>
        <stp/>
        <stp>Market</stp>
        <stp>INDEX</stp>
        <stp>JN400.FUT02.OS</stp>
        <stp>前日日付</stp>
        <tr r="J97" s="1"/>
      </tp>
      <tp t="s">
        <v/>
        <stp/>
        <stp>Market</stp>
        <stp>INDEX</stp>
        <stp>JN400.FUT05.OS</stp>
        <stp>前日日付</stp>
        <tr r="J100" s="1"/>
      </tp>
      <tp t="s">
        <v/>
        <stp/>
        <stp>Market</stp>
        <stp>INDEX</stp>
        <stp>JN400.FUT04.OS</stp>
        <stp>前日日付</stp>
        <tr r="J99" s="1"/>
      </tp>
    </main>
    <main first="rtdsrv.dff54f4b11dd4e0d9cb19000fb943d8c">
      <tp t="s">
        <v/>
        <stp/>
        <stp>Market</stp>
        <stp>INDEX</stp>
        <stp>AUD/CHF</stp>
        <stp>前日日付</stp>
        <tr r="J205" s="1"/>
      </tp>
    </main>
    <main first="rtdsrv.dff54f4b11dd4e0d9cb19000fb943d8c">
      <tp t="s">
        <v>SIXM</v>
        <stp/>
        <stp>Market</stp>
        <stp>INDEX</stp>
        <stp>SIXM</stp>
        <stp>指標コード</stp>
        <tr r="A29" s="1"/>
      </tp>
      <tp t="s">
        <v>TSPM</v>
        <stp/>
        <stp>Market</stp>
        <stp>INDEX</stp>
        <stp>TSPM</stp>
        <stp>指標コード</stp>
        <tr r="A6" s="1"/>
      </tp>
      <tp t="s">
        <v>TSSM</v>
        <stp/>
        <stp>Market</stp>
        <stp>INDEX</stp>
        <stp>TSSM</stp>
        <stp>指標コード</stp>
        <tr r="A7" s="1"/>
      </tp>
      <tp t="s">
        <v>TSGM</v>
        <stp/>
        <stp>Market</stp>
        <stp>INDEX</stp>
        <stp>TSGM</stp>
        <stp>指標コード</stp>
        <tr r="A8" s="1"/>
      </tp>
      <tp t="s">
        <v/>
        <stp/>
        <stp>Market</stp>
        <stp>INDEX</stp>
        <stp>TSR20.FUT03.OS</stp>
        <stp>指標コード</stp>
        <tr r="A155" s="1"/>
      </tp>
      <tp t="s">
        <v/>
        <stp/>
        <stp>Market</stp>
        <stp>INDEX</stp>
        <stp>TSR20.FUT02.OS</stp>
        <stp>指標コード</stp>
        <tr r="A154" s="1"/>
      </tp>
      <tp t="s">
        <v/>
        <stp/>
        <stp>Market</stp>
        <stp>INDEX</stp>
        <stp>TSR20.FUT01.OS</stp>
        <stp>指標コード</stp>
        <tr r="A153" s="1"/>
      </tp>
      <tp t="s">
        <v/>
        <stp/>
        <stp>Market</stp>
        <stp>INDEX</stp>
        <stp>TSR20.FUT07.OS</stp>
        <stp>指標コード</stp>
        <tr r="A159" s="1"/>
      </tp>
      <tp t="s">
        <v/>
        <stp/>
        <stp>Market</stp>
        <stp>INDEX</stp>
        <stp>TSR20.FUT06.OS</stp>
        <stp>指標コード</stp>
        <tr r="A158" s="1"/>
      </tp>
      <tp t="s">
        <v/>
        <stp/>
        <stp>Market</stp>
        <stp>INDEX</stp>
        <stp>TSR20.FUT05.OS</stp>
        <stp>指標コード</stp>
        <tr r="A157" s="1"/>
      </tp>
      <tp t="s">
        <v/>
        <stp/>
        <stp>Market</stp>
        <stp>INDEX</stp>
        <stp>TSR20.FUT04.OS</stp>
        <stp>指標コード</stp>
        <tr r="A156" s="1"/>
      </tp>
      <tp t="s">
        <v/>
        <stp/>
        <stp>Market</stp>
        <stp>INDEX</stp>
        <stp>TSR20.FUT09.OS</stp>
        <stp>指標コード</stp>
        <tr r="A161" s="1"/>
      </tp>
      <tp t="s">
        <v/>
        <stp/>
        <stp>Market</stp>
        <stp>INDEX</stp>
        <stp>TSR20.FUT08.OS</stp>
        <stp>指標コード</stp>
        <tr r="A160" s="1"/>
      </tp>
    </main>
    <main first="rtdsrv.dff54f4b11dd4e0d9cb19000fb943d8c">
      <tp>
        <v>834.66</v>
        <stp/>
        <stp>Market</stp>
        <stp>INDEX</stp>
        <stp>N300</stp>
        <stp>現在値</stp>
        <tr r="E3" s="1"/>
      </tp>
    </main>
    <main first="rtdsrv.dff54f4b11dd4e0d9cb19000fb943d8c">
      <tp>
        <v>97.05</v>
        <stp/>
        <stp>Market</stp>
        <stp>INDEX</stp>
        <stp>OSX</stp>
        <stp>現在値</stp>
        <tr r="E53" s="1"/>
      </tp>
    </main>
    <main first="rtdsrv.dff54f4b11dd4e0d9cb19000fb943d8c">
      <tp>
        <v>0</v>
        <stp/>
        <stp>Market</stp>
        <stp>INDEX</stp>
        <stp>RSS3.FUT12.OS</stp>
        <stp>現在値</stp>
        <tr r="E152" s="1"/>
      </tp>
      <tp>
        <v>0</v>
        <stp/>
        <stp>Market</stp>
        <stp>INDEX</stp>
        <stp>RSS3.FUT11.OS</stp>
        <stp>現在値</stp>
        <tr r="E151" s="1"/>
      </tp>
      <tp>
        <v>0</v>
        <stp/>
        <stp>Market</stp>
        <stp>INDEX</stp>
        <stp>RSS3.FUT10.OS</stp>
        <stp>現在値</stp>
        <tr r="E150" s="1"/>
      </tp>
      <tp>
        <v>0</v>
        <stp/>
        <stp>Market</stp>
        <stp>INDEX</stp>
        <stp>RSS3.FUT03.OS</stp>
        <stp>現在値</stp>
        <tr r="E143" s="1"/>
      </tp>
      <tp>
        <v>0</v>
        <stp/>
        <stp>Market</stp>
        <stp>INDEX</stp>
        <stp>RSS3.FUT02.OS</stp>
        <stp>現在値</stp>
        <tr r="E142" s="1"/>
      </tp>
      <tp>
        <v>0</v>
        <stp/>
        <stp>Market</stp>
        <stp>INDEX</stp>
        <stp>RSS3.FUT01.OS</stp>
        <stp>現在値</stp>
        <tr r="E141" s="1"/>
      </tp>
      <tp>
        <v>0</v>
        <stp/>
        <stp>Market</stp>
        <stp>INDEX</stp>
        <stp>RSS3.FUT07.OS</stp>
        <stp>現在値</stp>
        <tr r="E147" s="1"/>
      </tp>
      <tp>
        <v>377.1</v>
        <stp/>
        <stp>Market</stp>
        <stp>INDEX</stp>
        <stp>RSS3.FUT06.OS</stp>
        <stp>現在値</stp>
        <tr r="E146" s="1"/>
      </tp>
      <tp>
        <v>374</v>
        <stp/>
        <stp>Market</stp>
        <stp>INDEX</stp>
        <stp>RSS3.FUT05.OS</stp>
        <stp>現在値</stp>
        <tr r="E145" s="1"/>
      </tp>
      <tp>
        <v>371.5</v>
        <stp/>
        <stp>Market</stp>
        <stp>INDEX</stp>
        <stp>RSS3.FUT04.OS</stp>
        <stp>現在値</stp>
        <tr r="E144" s="1"/>
      </tp>
      <tp>
        <v>0</v>
        <stp/>
        <stp>Market</stp>
        <stp>INDEX</stp>
        <stp>RSS3.FUT09.OS</stp>
        <stp>現在値</stp>
        <tr r="E149" s="1"/>
      </tp>
      <tp>
        <v>0</v>
        <stp/>
        <stp>Market</stp>
        <stp>INDEX</stp>
        <stp>RSS3.FUT08.OS</stp>
        <stp>現在値</stp>
        <tr r="E148" s="1"/>
      </tp>
      <tp t="s">
        <v/>
        <stp/>
        <stp>Market</stp>
        <stp>INDEX</stp>
        <stp>TRY/JPY</stp>
        <stp>前日終値</stp>
        <tr r="I209" s="1"/>
      </tp>
    </main>
    <main first="rtdsrv.dff54f4b11dd4e0d9cb19000fb943d8c">
      <tp t="s">
        <v/>
        <stp/>
        <stp>Market</stp>
        <stp>INDEX</stp>
        <stp>TOPX.FUT04.OS</stp>
        <stp>年初来高値</stp>
        <tr r="V89" s="1"/>
      </tp>
      <tp t="s">
        <v/>
        <stp/>
        <stp>Market</stp>
        <stp>INDEX</stp>
        <stp>TOPX.FUT05.OS</stp>
        <stp>年初来高値</stp>
        <tr r="V90" s="1"/>
      </tp>
      <tp t="s">
        <v/>
        <stp/>
        <stp>Market</stp>
        <stp>INDEX</stp>
        <stp>PLATINUMMINI.FUT01.OS</stp>
        <stp>年初来高値</stp>
        <tr r="V122" s="1"/>
      </tp>
    </main>
    <main first="rtdsrv.dff54f4b11dd4e0d9cb19000fb943d8c">
      <tp t="s">
        <v/>
        <stp/>
        <stp>Market</stp>
        <stp>INDEX</stp>
        <stp>PLATINUMMINI.FUT02.OS</stp>
        <stp>年初来高値</stp>
        <tr r="V123" s="1"/>
      </tp>
    </main>
    <main first="rtdsrv.dff54f4b11dd4e0d9cb19000fb943d8c">
      <tp t="s">
        <v/>
        <stp/>
        <stp>Market</stp>
        <stp>INDEX</stp>
        <stp>PLATINUMMINI.FUT03.OS</stp>
        <stp>年初来高値</stp>
        <tr r="V124" s="1"/>
      </tp>
      <tp>
        <v>13160.46</v>
        <stp/>
        <stp>Market</stp>
        <stp>INDEX</stp>
        <stp>INDS</stp>
        <stp>前年最高値</stp>
        <tr r="S39" s="1"/>
      </tp>
      <tp t="s">
        <v/>
        <stp/>
        <stp>Market</stp>
        <stp>INDEX</stp>
        <stp>PLATINUMMINI.FUT04.OS</stp>
        <stp>年初来高値</stp>
        <tr r="V125" s="1"/>
      </tp>
      <tp t="s">
        <v/>
        <stp/>
        <stp>Market</stp>
        <stp>INDEX</stp>
        <stp>TOPX.FUT01.OS</stp>
        <stp>年初来高値</stp>
        <tr r="V86" s="1"/>
      </tp>
      <tp t="s">
        <v/>
        <stp/>
        <stp>Market</stp>
        <stp>INDEX</stp>
        <stp>PLATINUMMINI.FUT05.OS</stp>
        <stp>年初来高値</stp>
        <tr r="V126" s="1"/>
      </tp>
      <tp t="s">
        <v/>
        <stp/>
        <stp>Market</stp>
        <stp>INDEX</stp>
        <stp>TOPX.FUT02.OS</stp>
        <stp>年初来高値</stp>
        <tr r="V87" s="1"/>
      </tp>
      <tp t="s">
        <v/>
        <stp/>
        <stp>Market</stp>
        <stp>INDEX</stp>
        <stp>PLATINUMMINI.FUT06.OS</stp>
        <stp>年初来高値</stp>
        <tr r="V127" s="1"/>
      </tp>
      <tp t="s">
        <v/>
        <stp/>
        <stp>Market</stp>
        <stp>INDEX</stp>
        <stp>TOPX.FUT03.OS</stp>
        <stp>年初来高値</stp>
        <tr r="V88" s="1"/>
      </tp>
      <tp t="s">
        <v/>
        <stp/>
        <stp>Market</stp>
        <stp>INDEX</stp>
        <stp>TOPX.FUT04.OS</stp>
        <stp>上場来高値</stp>
        <tr r="X89" s="1"/>
      </tp>
      <tp t="s">
        <v/>
        <stp/>
        <stp>Market</stp>
        <stp>INDEX</stp>
        <stp>TOPX.FUT05.OS</stp>
        <stp>上場来高値</stp>
        <tr r="X90" s="1"/>
      </tp>
      <tp t="s">
        <v/>
        <stp/>
        <stp>Market</stp>
        <stp>INDEX</stp>
        <stp>PLATINUMMINI.FUT01.OS</stp>
        <stp>上場来高値</stp>
        <tr r="X122" s="1"/>
      </tp>
      <tp t="s">
        <v/>
        <stp/>
        <stp>Market</stp>
        <stp>INDEX</stp>
        <stp>PLATINUMMINI.FUT02.OS</stp>
        <stp>上場来高値</stp>
        <tr r="X123" s="1"/>
      </tp>
      <tp t="s">
        <v/>
        <stp/>
        <stp>Market</stp>
        <stp>INDEX</stp>
        <stp>PLATINUMMINI.FUT03.OS</stp>
        <stp>上場来高値</stp>
        <tr r="X124" s="1"/>
      </tp>
      <tp t="s">
        <v/>
        <stp/>
        <stp>Market</stp>
        <stp>INDEX</stp>
        <stp>PLATINUMMINI.FUT04.OS</stp>
        <stp>上場来高値</stp>
        <tr r="X125" s="1"/>
      </tp>
      <tp t="s">
        <v/>
        <stp/>
        <stp>Market</stp>
        <stp>INDEX</stp>
        <stp>TOPX.FUT01.OS</stp>
        <stp>上場来高値</stp>
        <tr r="X86" s="1"/>
      </tp>
      <tp t="s">
        <v/>
        <stp/>
        <stp>Market</stp>
        <stp>INDEX</stp>
        <stp>PLATINUMMINI.FUT05.OS</stp>
        <stp>上場来高値</stp>
        <tr r="X126" s="1"/>
      </tp>
      <tp t="s">
        <v/>
        <stp/>
        <stp>Market</stp>
        <stp>INDEX</stp>
        <stp>TOPX.FUT02.OS</stp>
        <stp>上場来高値</stp>
        <tr r="X87" s="1"/>
      </tp>
      <tp t="s">
        <v/>
        <stp/>
        <stp>Market</stp>
        <stp>INDEX</stp>
        <stp>PLATINUMMINI.FUT06.OS</stp>
        <stp>上場来高値</stp>
        <tr r="X127" s="1"/>
      </tp>
      <tp t="s">
        <v/>
        <stp/>
        <stp>Market</stp>
        <stp>INDEX</stp>
        <stp>TOPX.FUT03.OS</stp>
        <stp>上場来高値</stp>
        <tr r="X88" s="1"/>
      </tp>
    </main>
    <main first="rtdsrv.dff54f4b11dd4e0d9cb19000fb943d8c">
      <tp t="s">
        <v/>
        <stp/>
        <stp>Market</stp>
        <stp>INDEX</stp>
        <stp>USD/CHF</stp>
        <stp>指標コード</stp>
        <tr r="A201" s="1"/>
      </tp>
      <tp t="s">
        <v/>
        <stp/>
        <stp>Market</stp>
        <stp>INDEX</stp>
        <stp>NZD/CHF</stp>
        <stp>指標コード</stp>
        <tr r="A206" s="1"/>
      </tp>
      <tp t="s">
        <v/>
        <stp/>
        <stp>Market</stp>
        <stp>INDEX</stp>
        <stp>AUD/CHF</stp>
        <stp>指標コード</stp>
        <tr r="A205" s="1"/>
      </tp>
      <tp t="s">
        <v/>
        <stp/>
        <stp>Market</stp>
        <stp>INDEX</stp>
        <stp>EUR/GBP</stp>
        <stp>指標コード</stp>
        <tr r="A203" s="1"/>
      </tp>
    </main>
    <main first="rtdsrv.dff54f4b11dd4e0d9cb19000fb943d8c">
      <tp t="s">
        <v>-</v>
        <stp/>
        <stp>Market</stp>
        <stp>INDEX</stp>
        <stp>SP100</stp>
        <stp>売買代金</stp>
        <tr r="R23" s="1"/>
      </tp>
      <tp t="s">
        <v>-</v>
        <stp/>
        <stp>Market</stp>
        <stp>INDEX</stp>
        <stp>SP500</stp>
        <stp>売買代金</stp>
        <tr r="R24" s="1"/>
      </tp>
      <tp>
        <v>0</v>
        <stp/>
        <stp>Market</stp>
        <stp>INDEX</stp>
        <stp>CORN.FUT06.OS</stp>
        <stp>現在値</stp>
        <tr r="E182" s="1"/>
      </tp>
      <tp>
        <v>0</v>
        <stp/>
        <stp>Market</stp>
        <stp>INDEX</stp>
        <stp>CORN.FUT05.OS</stp>
        <stp>現在値</stp>
        <tr r="E181" s="1"/>
      </tp>
      <tp>
        <v>0</v>
        <stp/>
        <stp>Market</stp>
        <stp>INDEX</stp>
        <stp>CORN.FUT04.OS</stp>
        <stp>現在値</stp>
        <tr r="E180" s="1"/>
      </tp>
      <tp>
        <v>0</v>
        <stp/>
        <stp>Market</stp>
        <stp>INDEX</stp>
        <stp>CORN.FUT03.OS</stp>
        <stp>現在値</stp>
        <tr r="E179" s="1"/>
      </tp>
      <tp>
        <v>0</v>
        <stp/>
        <stp>Market</stp>
        <stp>INDEX</stp>
        <stp>CORN.FUT02.OS</stp>
        <stp>現在値</stp>
        <tr r="E178" s="1"/>
      </tp>
      <tp>
        <v>0</v>
        <stp/>
        <stp>Market</stp>
        <stp>INDEX</stp>
        <stp>CORN.FUT01.OS</stp>
        <stp>現在値</stp>
        <tr r="E177" s="1"/>
      </tp>
    </main>
    <main first="rtdsrv.dff54f4b11dd4e0d9cb19000fb943d8c">
      <tp>
        <v>0</v>
        <stp/>
        <stp>Market</stp>
        <stp>INDEX</stp>
        <stp>JN400</stp>
        <stp>売買代金</stp>
        <tr r="R5" s="1"/>
      </tp>
    </main>
    <main first="rtdsrv.dff54f4b11dd4e0d9cb19000fb943d8c">
      <tp t="s">
        <v>-</v>
        <stp/>
        <stp>Market</stp>
        <stp>INDEX</stp>
        <stp>NQ100</stp>
        <stp>売買代金</stp>
        <tr r="R22" s="1"/>
      </tp>
    </main>
    <main first="rtdsrv.dff54f4b11dd4e0d9cb19000fb943d8c">
      <tp>
        <v>58850.27</v>
        <stp/>
        <stp>Market</stp>
        <stp>INDEX</stp>
        <stp>N225</stp>
        <stp>現在値</stp>
        <tr r="E2" s="1"/>
      </tp>
    </main>
    <main first="rtdsrv.dff54f4b11dd4e0d9cb19000fb943d8c">
      <tp>
        <v>27.33</v>
        <stp/>
        <stp>Market</stp>
        <stp>INDEX</stp>
        <stp>NVI</stp>
        <stp>現在値</stp>
        <tr r="E14" s="1"/>
      </tp>
    </main>
    <main first="rtdsrv.dff54f4b11dd4e0d9cb19000fb943d8c">
      <tp>
        <v>26821</v>
        <stp/>
        <stp>Market</stp>
        <stp>INDEX</stp>
        <stp>GOLD.SPOT.OS</stp>
        <stp>現在値</stp>
        <tr r="E115" s="1"/>
      </tp>
      <tp>
        <v>1543.67</v>
        <stp/>
        <stp>Market</stp>
        <stp>INDEX</stp>
        <stp>NGX</stp>
        <stp>現在値</stp>
        <tr r="E63" s="1"/>
      </tp>
      <tp>
        <v>6041.31</v>
        <stp/>
        <stp>Market</stp>
        <stp>INDEX</stp>
        <stp>NBI</stp>
        <stp>現在値</stp>
        <tr r="E47" s="1"/>
      </tp>
      <tp>
        <v>7719.85</v>
        <stp/>
        <stp>Market</stp>
        <stp>INDEX</stp>
        <stp>JGB:FDI</stp>
        <stp>前日終値</stp>
        <tr r="I19" s="1"/>
      </tp>
      <tp>
        <v>0</v>
        <stp/>
        <stp>Market</stp>
        <stp>INDEX</stp>
        <stp>TSR20.FUT09.OS</stp>
        <stp>前日終値</stp>
        <tr r="I161" s="1"/>
      </tp>
      <tp>
        <v>0</v>
        <stp/>
        <stp>Market</stp>
        <stp>INDEX</stp>
        <stp>TSR20.FUT08.OS</stp>
        <stp>前日終値</stp>
        <tr r="I160" s="1"/>
      </tp>
      <tp>
        <v>0</v>
        <stp/>
        <stp>Market</stp>
        <stp>INDEX</stp>
        <stp>TSR20.FUT03.OS</stp>
        <stp>前日終値</stp>
        <tr r="I155" s="1"/>
      </tp>
      <tp>
        <v>0</v>
        <stp/>
        <stp>Market</stp>
        <stp>INDEX</stp>
        <stp>TSR20.FUT02.OS</stp>
        <stp>前日終値</stp>
        <tr r="I154" s="1"/>
      </tp>
      <tp>
        <v>0</v>
        <stp/>
        <stp>Market</stp>
        <stp>INDEX</stp>
        <stp>TSR20.FUT01.OS</stp>
        <stp>前日終値</stp>
        <tr r="I153" s="1"/>
      </tp>
      <tp>
        <v>0</v>
        <stp/>
        <stp>Market</stp>
        <stp>INDEX</stp>
        <stp>TSR20.FUT07.OS</stp>
        <stp>前日終値</stp>
        <tr r="I159" s="1"/>
      </tp>
      <tp>
        <v>0</v>
        <stp/>
        <stp>Market</stp>
        <stp>INDEX</stp>
        <stp>TSR20.FUT06.OS</stp>
        <stp>前日終値</stp>
        <tr r="I158" s="1"/>
      </tp>
      <tp>
        <v>0</v>
        <stp/>
        <stp>Market</stp>
        <stp>INDEX</stp>
        <stp>TSR20.FUT05.OS</stp>
        <stp>前日終値</stp>
        <tr r="I157" s="1"/>
      </tp>
      <tp>
        <v>0</v>
        <stp/>
        <stp>Market</stp>
        <stp>INDEX</stp>
        <stp>TSR20.FUT04.OS</stp>
        <stp>前日終値</stp>
        <tr r="I156" s="1"/>
      </tp>
      <tp>
        <v>0</v>
        <stp/>
        <stp>Market</stp>
        <stp>INDEX</stp>
        <stp>TSR20.FUT12.OS</stp>
        <stp>前日終値</stp>
        <tr r="I164" s="1"/>
      </tp>
      <tp>
        <v>0</v>
        <stp/>
        <stp>Market</stp>
        <stp>INDEX</stp>
        <stp>TSR20.FUT11.OS</stp>
        <stp>前日終値</stp>
        <tr r="I163" s="1"/>
      </tp>
      <tp>
        <v>0</v>
        <stp/>
        <stp>Market</stp>
        <stp>INDEX</stp>
        <stp>TSR20.FUT10.OS</stp>
        <stp>前日終値</stp>
        <tr r="I162" s="1"/>
      </tp>
      <tp t="s">
        <v/>
        <stp/>
        <stp>Market</stp>
        <stp>INDEX</stp>
        <stp>USD/JPY</stp>
        <stp>前日終値</stp>
        <tr r="I187" s="1"/>
      </tp>
    </main>
    <main first="rtdsrv.dff54f4b11dd4e0d9cb19000fb943d8c">
      <tp>
        <v>803.42</v>
        <stp/>
        <stp>Market</stp>
        <stp>INDEX</stp>
        <stp>MTHR</stp>
        <stp>前年最高値</stp>
        <tr r="S13" s="1"/>
      </tp>
    </main>
    <main first="rtdsrv.dff54f4b11dd4e0d9cb19000fb943d8c">
      <tp>
        <v>16631.14</v>
        <stp/>
        <stp>Market</stp>
        <stp>INDEX</stp>
        <stp>INSR</stp>
        <stp>前年最高値</stp>
        <tr r="S41" s="1"/>
      </tp>
    </main>
    <main first="rtdsrv.dff54f4b11dd4e0d9cb19000fb943d8c">
      <tp>
        <v>850.92</v>
        <stp/>
        <stp>Market</stp>
        <stp>INDEX</stp>
        <stp>SIXR</stp>
        <stp>前年最高値</stp>
        <tr r="S35" s="1"/>
      </tp>
    </main>
    <main first="rtdsrv.dff54f4b11dd4e0d9cb19000fb943d8c">
      <tp t="s">
        <v>TSM20</v>
        <stp/>
        <stp>Market</stp>
        <stp>INDEX</stp>
        <stp>TSM20</stp>
        <stp>指標コード</stp>
        <tr r="A11" s="1"/>
      </tp>
    </main>
    <main first="rtdsrv.dff54f4b11dd4e0d9cb19000fb943d8c">
      <tp t="s">
        <v>2026/02/26</v>
        <stp/>
        <stp>Market</stp>
        <stp>INDEX</stp>
        <stp>TREIT</stp>
        <stp>前日日付</stp>
        <tr r="J15" s="1"/>
      </tp>
    </main>
    <main first="rtdsrv.dff54f4b11dd4e0d9cb19000fb943d8c">
      <tp t="s">
        <v/>
        <stp/>
        <stp>Market</stp>
        <stp>INDEX</stp>
        <stp>HKD/JPY</stp>
        <stp>前日日付</stp>
        <tr r="J195" s="1"/>
      </tp>
    </main>
    <main first="rtdsrv.dff54f4b11dd4e0d9cb19000fb943d8c">
      <tp t="s">
        <v/>
        <stp/>
        <stp>Market</stp>
        <stp>INDEX</stp>
        <stp>USD/CHF</stp>
        <stp>前日日付</stp>
        <tr r="J201" s="1"/>
      </tp>
      <tp t="s">
        <v>BANK</v>
        <stp/>
        <stp>Market</stp>
        <stp>INDEX</stp>
        <stp>BANK</stp>
        <stp>指標コード</stp>
        <tr r="A40" s="1"/>
      </tp>
    </main>
    <main first="rtdsrv.dff54f4b11dd4e0d9cb19000fb943d8c">
      <tp t="s">
        <v>-</v>
        <stp/>
        <stp>Market</stp>
        <stp>INDEX</stp>
        <stp>NQUSST</stp>
        <stp>売買代金</stp>
        <tr r="R58" s="1"/>
      </tp>
    </main>
    <main first="rtdsrv.dff54f4b11dd4e0d9cb19000fb943d8c">
      <tp>
        <v>214.42</v>
        <stp/>
        <stp>Market</stp>
        <stp>INDEX</stp>
        <stp>SIXRE</stp>
        <stp>前日終値</stp>
        <tr r="I30" s="1"/>
      </tp>
      <tp>
        <v>435</v>
        <stp/>
        <stp>Market</stp>
        <stp>INDEX</stp>
        <stp>SILVER.FUT04.OS</stp>
        <stp>前日終値</stp>
        <tr r="I132" s="1"/>
      </tp>
      <tp>
        <v>447.8</v>
        <stp/>
        <stp>Market</stp>
        <stp>INDEX</stp>
        <stp>SILVER.FUT05.OS</stp>
        <stp>前日終値</stp>
        <tr r="I133" s="1"/>
      </tp>
      <tp>
        <v>450</v>
        <stp/>
        <stp>Market</stp>
        <stp>INDEX</stp>
        <stp>SILVER.FUT06.OS</stp>
        <stp>前日終値</stp>
        <tr r="I134" s="1"/>
      </tp>
      <tp>
        <v>400</v>
        <stp/>
        <stp>Market</stp>
        <stp>INDEX</stp>
        <stp>SILVER.FUT01.OS</stp>
        <stp>前日終値</stp>
        <tr r="I129" s="1"/>
      </tp>
      <tp>
        <v>410</v>
        <stp/>
        <stp>Market</stp>
        <stp>INDEX</stp>
        <stp>SILVER.FUT02.OS</stp>
        <stp>前日終値</stp>
        <tr r="I130" s="1"/>
      </tp>
      <tp>
        <v>385</v>
        <stp/>
        <stp>Market</stp>
        <stp>INDEX</stp>
        <stp>SILVER.FUT03.OS</stp>
        <stp>前日終値</stp>
        <tr r="I131" s="1"/>
      </tp>
      <tp t="s">
        <v/>
        <stp/>
        <stp>Market</stp>
        <stp>INDEX</stp>
        <stp>EUR/AUD</stp>
        <stp>前日終値</stp>
        <tr r="I213" s="1"/>
      </tp>
    </main>
    <main first="rtdsrv.dff54f4b11dd4e0d9cb19000fb943d8c">
      <tp>
        <v>0</v>
        <stp/>
        <stp>Market</stp>
        <stp>INDEX</stp>
        <stp>VOLQ</stp>
        <stp>前年最高値</stp>
        <tr r="S64" s="1"/>
      </tp>
    </main>
    <main first="rtdsrv.dff54f4b11dd4e0d9cb19000fb943d8c">
      <tp t="s">
        <v/>
        <stp/>
        <stp>Market</stp>
        <stp>INDEX</stp>
        <stp>TRY/JPY</stp>
        <stp>指標コード</stp>
        <tr r="A209" s="1"/>
      </tp>
      <tp t="s">
        <v/>
        <stp/>
        <stp>Market</stp>
        <stp>INDEX</stp>
        <stp>NZD/USD</stp>
        <stp>指標コード</stp>
        <tr r="A200" s="1"/>
      </tp>
      <tp t="s">
        <v/>
        <stp/>
        <stp>Market</stp>
        <stp>INDEX</stp>
        <stp>USD/CAD</stp>
        <stp>指標コード</stp>
        <tr r="A212" s="1"/>
      </tp>
      <tp t="s">
        <v/>
        <stp/>
        <stp>Market</stp>
        <stp>INDEX</stp>
        <stp>AUD/USD</stp>
        <stp>指標コード</stp>
        <tr r="A199" s="1"/>
      </tp>
      <tp t="s">
        <v/>
        <stp/>
        <stp>Market</stp>
        <stp>INDEX</stp>
        <stp>AUD/NZD</stp>
        <stp>指標コード</stp>
        <tr r="A207" s="1"/>
      </tp>
    </main>
    <main first="rtdsrv.dff54f4b11dd4e0d9cb19000fb943d8c">
      <tp t="s">
        <v/>
        <stp/>
        <stp>Market</stp>
        <stp>INDEX</stp>
        <stp>CHF/JPY</stp>
        <stp>前日日付</stp>
        <tr r="J194" s="1"/>
      </tp>
      <tp t="s">
        <v>2026/02/26</v>
        <stp/>
        <stp>Market</stp>
        <stp>INDEX</stp>
        <stp>EMCLOUD</stp>
        <stp>前日日付</stp>
        <tr r="J62" s="1"/>
      </tp>
      <tp>
        <v>26182.102999999999</v>
        <stp/>
        <stp>Market</stp>
        <stp>INDEX</stp>
        <stp>NQ100</stp>
        <stp>前年最高値</stp>
        <tr r="S22" s="1"/>
      </tp>
      <tp>
        <v>0</v>
        <stp/>
        <stp>Market</stp>
        <stp>INDEX</stp>
        <stp>TOPX.FUT05.OS</stp>
        <stp>現在値</stp>
        <tr r="E90" s="1"/>
      </tp>
      <tp>
        <v>0</v>
        <stp/>
        <stp>Market</stp>
        <stp>INDEX</stp>
        <stp>TOPX.FUT04.OS</stp>
        <stp>現在値</stp>
        <tr r="E89" s="1"/>
      </tp>
      <tp>
        <v>0</v>
        <stp/>
        <stp>Market</stp>
        <stp>INDEX</stp>
        <stp>TOPX.FUT03.OS</stp>
        <stp>現在値</stp>
        <tr r="E88" s="1"/>
      </tp>
      <tp>
        <v>3943</v>
        <stp/>
        <stp>Market</stp>
        <stp>INDEX</stp>
        <stp>TOPX.FUT02.OS</stp>
        <stp>現在値</stp>
        <tr r="E87" s="1"/>
      </tp>
      <tp>
        <v>3907.5</v>
        <stp/>
        <stp>Market</stp>
        <stp>INDEX</stp>
        <stp>TOPX.FUT01.OS</stp>
        <stp>現在値</stp>
        <tr r="E86" s="1"/>
      </tp>
      <tp>
        <v>0</v>
        <stp/>
        <stp>Market</stp>
        <stp>INDEX</stp>
        <stp>TSM20</stp>
        <stp>売買代金</stp>
        <tr r="R11" s="1"/>
      </tp>
    </main>
    <main first="rtdsrv.dff54f4b11dd4e0d9cb19000fb943d8c">
      <tp>
        <v>0</v>
        <stp/>
        <stp>Market</stp>
        <stp>INDEX</stp>
        <stp>TCWSI</stp>
        <stp>前日終値</stp>
        <tr r="I101" s="1"/>
      </tp>
    </main>
    <main first="rtdsrv.dff54f4b11dd4e0d9cb19000fb943d8c">
      <tp>
        <v>3914.2130999999999</v>
        <stp/>
        <stp>Market</stp>
        <stp>INDEX</stp>
        <stp>SHKSC</stp>
        <stp>前日終値</stp>
        <tr r="I70" s="1"/>
      </tp>
    </main>
    <main first="rtdsrv.dff54f4b11dd4e0d9cb19000fb943d8c">
      <tp>
        <v>614.92999999999995</v>
        <stp/>
        <stp>Market</stp>
        <stp>INDEX</stp>
        <stp>SPESG</stp>
        <stp>前日終値</stp>
        <tr r="I38" s="1"/>
      </tp>
    </main>
    <main first="rtdsrv.dff54f4b11dd4e0d9cb19000fb943d8c">
      <tp t="s">
        <v>07:15</v>
        <stp/>
        <stp>Market</stp>
        <stp>INDEX</stp>
        <stp>SOX</stp>
        <stp>更新時刻</stp>
        <tr r="D51" s="1"/>
      </tp>
    </main>
    <main first="rtdsrv.dff54f4b11dd4e0d9cb19000fb943d8c">
      <tp t="s">
        <v>07:15</v>
        <stp/>
        <stp>Market</stp>
        <stp>INDEX</stp>
        <stp>IXTC</stp>
        <stp>更新時刻</stp>
        <tr r="D44" s="1"/>
      </tp>
    </main>
    <main first="rtdsrv.dff54f4b11dd4e0d9cb19000fb943d8c">
      <tp>
        <v>59332.43</v>
        <stp/>
        <stp>Market</stp>
        <stp>INDEX</stp>
        <stp>N225</stp>
        <stp>年初来高値</stp>
        <tr r="V2" s="1"/>
      </tp>
    </main>
    <main first="rtdsrv.dff54f4b11dd4e0d9cb19000fb943d8c">
      <tp>
        <v>0</v>
        <stp/>
        <stp>Market</stp>
        <stp>INDEX</stp>
        <stp>SOYBEAN.FUT03.OS</stp>
        <stp>前日比率</stp>
        <tr r="H173" s="1"/>
      </tp>
      <tp>
        <v>0</v>
        <stp/>
        <stp>Market</stp>
        <stp>INDEX</stp>
        <stp>SOYBEAN.FUT02.OS</stp>
        <stp>前日比率</stp>
        <tr r="H172" s="1"/>
      </tp>
      <tp>
        <v>0</v>
        <stp/>
        <stp>Market</stp>
        <stp>INDEX</stp>
        <stp>SOYBEAN.FUT01.OS</stp>
        <stp>前日比率</stp>
        <tr r="H171" s="1"/>
      </tp>
      <tp>
        <v>0</v>
        <stp/>
        <stp>Market</stp>
        <stp>INDEX</stp>
        <stp>SOYBEAN.FUT06.OS</stp>
        <stp>前日比率</stp>
        <tr r="H176" s="1"/>
      </tp>
      <tp>
        <v>0</v>
        <stp/>
        <stp>Market</stp>
        <stp>INDEX</stp>
        <stp>SOYBEAN.FUT05.OS</stp>
        <stp>前日比率</stp>
        <tr r="H175" s="1"/>
      </tp>
      <tp>
        <v>0</v>
        <stp/>
        <stp>Market</stp>
        <stp>INDEX</stp>
        <stp>SOYBEAN.FUT04.OS</stp>
        <stp>前日比率</stp>
        <tr r="H174" s="1"/>
      </tp>
    </main>
    <main first="rtdsrv.dff54f4b11dd4e0d9cb19000fb943d8c">
      <tp>
        <v>59332.43</v>
        <stp/>
        <stp>Market</stp>
        <stp>INDEX</stp>
        <stp>N225</stp>
        <stp>上場来高値</stp>
        <tr r="X2" s="1"/>
      </tp>
    </main>
    <main first="rtdsrv.dff54f4b11dd4e0d9cb19000fb943d8c">
      <tp t="s">
        <v>2026/02/27</v>
        <stp/>
        <stp>Market</stp>
        <stp>INDEX</stp>
        <stp>TOPX.FUT01.OS</stp>
        <stp>前日日付</stp>
        <tr r="J86" s="1"/>
      </tp>
      <tp t="s">
        <v/>
        <stp/>
        <stp>Market</stp>
        <stp>INDEX</stp>
        <stp>TOPX.FUT03.OS</stp>
        <stp>前日日付</stp>
        <tr r="J88" s="1"/>
      </tp>
      <tp t="s">
        <v>2026/02/27</v>
        <stp/>
        <stp>Market</stp>
        <stp>INDEX</stp>
        <stp>TOPX.FUT02.OS</stp>
        <stp>前日日付</stp>
        <tr r="J87" s="1"/>
      </tp>
      <tp t="s">
        <v/>
        <stp/>
        <stp>Market</stp>
        <stp>INDEX</stp>
        <stp>TOPX.FUT05.OS</stp>
        <stp>前日日付</stp>
        <tr r="J90" s="1"/>
      </tp>
      <tp t="s">
        <v/>
        <stp/>
        <stp>Market</stp>
        <stp>INDEX</stp>
        <stp>TOPX.FUT04.OS</stp>
        <stp>前日日付</stp>
        <tr r="J89" s="1"/>
      </tp>
    </main>
    <main first="rtdsrv.dff54f4b11dd4e0d9cb19000fb943d8c">
      <tp t="s">
        <v/>
        <stp/>
        <stp>Market</stp>
        <stp>INDEX</stp>
        <stp>SILVER.FUT04.OS</stp>
        <stp>指標コード</stp>
        <tr r="A132" s="1"/>
      </tp>
    </main>
    <main first="rtdsrv.dff54f4b11dd4e0d9cb19000fb943d8c">
      <tp t="s">
        <v/>
        <stp/>
        <stp>Market</stp>
        <stp>INDEX</stp>
        <stp>SILVER.FUT05.OS</stp>
        <stp>指標コード</stp>
        <tr r="A133" s="1"/>
      </tp>
      <tp>
        <v>0</v>
        <stp/>
        <stp>Market</stp>
        <stp>INDEX</stp>
        <stp>TS1EX</stp>
        <stp>前日比率</stp>
        <tr r="H10" s="1"/>
      </tp>
    </main>
    <main first="rtdsrv.dff54f4b11dd4e0d9cb19000fb943d8c">
      <tp t="s">
        <v/>
        <stp/>
        <stp>Market</stp>
        <stp>INDEX</stp>
        <stp>SILVER.FUT06.OS</stp>
        <stp>指標コード</stp>
        <tr r="A134" s="1"/>
      </tp>
    </main>
    <main first="rtdsrv.dff54f4b11dd4e0d9cb19000fb943d8c">
      <tp t="s">
        <v/>
        <stp/>
        <stp>Market</stp>
        <stp>INDEX</stp>
        <stp>SILVER.FUT01.OS</stp>
        <stp>指標コード</stp>
        <tr r="A129" s="1"/>
      </tp>
    </main>
    <main first="rtdsrv.dff54f4b11dd4e0d9cb19000fb943d8c">
      <tp t="s">
        <v/>
        <stp/>
        <stp>Market</stp>
        <stp>INDEX</stp>
        <stp>SILVER.FUT02.OS</stp>
        <stp>指標コード</stp>
        <tr r="A130" s="1"/>
      </tp>
    </main>
    <main first="rtdsrv.dff54f4b11dd4e0d9cb19000fb943d8c">
      <tp t="s">
        <v/>
        <stp/>
        <stp>Market</stp>
        <stp>INDEX</stp>
        <stp>SILVER.FUT03.OS</stp>
        <stp>指標コード</stp>
        <tr r="A131" s="1"/>
      </tp>
    </main>
    <main first="rtdsrv.dff54f4b11dd4e0d9cb19000fb943d8c">
      <tp>
        <v>0.51</v>
        <stp/>
        <stp>Market</stp>
        <stp>INDEX</stp>
        <stp>HSCEI</stp>
        <stp>前日比率</stp>
        <tr r="H66" s="1"/>
      </tp>
      <tp t="s">
        <v/>
        <stp/>
        <stp>Market</stp>
        <stp>INDEX</stp>
        <stp>SGD/JPY</stp>
        <stp>前日比率</stp>
        <tr r="H196" s="1"/>
      </tp>
      <tp t="s">
        <v/>
        <stp/>
        <stp>Market</stp>
        <stp>INDEX</stp>
        <stp>GBP/AUD</stp>
        <stp>前日比率</stp>
        <tr r="H214" s="1"/>
      </tp>
      <tp t="s">
        <v/>
        <stp/>
        <stp>Market</stp>
        <stp>INDEX</stp>
        <stp>EUR/GBP</stp>
        <stp>前日比率</stp>
        <tr r="H203" s="1"/>
      </tp>
      <tp t="s">
        <v/>
        <stp/>
        <stp>Market</stp>
        <stp>INDEX</stp>
        <stp>JN400.FUT01.OS</stp>
        <stp>前年最高値</stp>
        <tr r="S96" s="1"/>
      </tp>
      <tp>
        <v>3757.08</v>
        <stp/>
        <stp>Market</stp>
        <stp>INDEX</stp>
        <stp>NQCYBR</stp>
        <stp>前年最高値</stp>
        <tr r="S59" s="1"/>
      </tp>
      <tp t="s">
        <v/>
        <stp/>
        <stp>Market</stp>
        <stp>INDEX</stp>
        <stp>JN400.FUT02.OS</stp>
        <stp>前年最高値</stp>
        <tr r="S97" s="1"/>
      </tp>
      <tp t="s">
        <v/>
        <stp/>
        <stp>Market</stp>
        <stp>INDEX</stp>
        <stp>JN400.FUT03.OS</stp>
        <stp>前年最高値</stp>
        <tr r="S98" s="1"/>
      </tp>
      <tp t="s">
        <v>SIXI</v>
        <stp/>
        <stp>Market</stp>
        <stp>INDEX</stp>
        <stp>SIXI</stp>
        <stp>指標コード</stp>
        <tr r="A34" s="1"/>
      </tp>
      <tp t="s">
        <v/>
        <stp/>
        <stp>Market</stp>
        <stp>INDEX</stp>
        <stp>JN400.FUT04.OS</stp>
        <stp>前年最高値</stp>
        <tr r="S99" s="1"/>
      </tp>
      <tp t="s">
        <v/>
        <stp/>
        <stp>Market</stp>
        <stp>INDEX</stp>
        <stp>JN400.FUT05.OS</stp>
        <stp>前年最高値</stp>
        <tr r="S100" s="1"/>
      </tp>
      <tp t="s">
        <v/>
        <stp/>
        <stp>Market</stp>
        <stp>INDEX</stp>
        <stp>GOLD.SPOT.OS</stp>
        <stp>前年最高値</stp>
        <tr r="S115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volatileDependencies" Target="volatileDependenci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14"/>
  <sheetViews>
    <sheetView tabSelected="1" workbookViewId="0">
      <pane ySplit="1" topLeftCell="A2" activePane="bottomLeft" state="frozen"/>
      <selection pane="bottomLeft" activeCell="A27" sqref="A27"/>
    </sheetView>
  </sheetViews>
  <sheetFormatPr defaultRowHeight="18"/>
  <cols>
    <col min="1" max="1" width="10.4140625" style="1" bestFit="1" customWidth="1"/>
    <col min="2" max="2" width="41.83203125" style="1" bestFit="1" customWidth="1"/>
    <col min="3" max="3" width="11.08203125" style="1" bestFit="1" customWidth="1"/>
    <col min="4" max="4" width="8.5" style="1" bestFit="1" customWidth="1"/>
    <col min="5" max="5" width="9.1640625" style="2" bestFit="1" customWidth="1"/>
    <col min="6" max="6" width="14.25" style="1" bestFit="1" customWidth="1"/>
    <col min="7" max="7" width="6.6640625" style="2" bestFit="1" customWidth="1"/>
    <col min="8" max="8" width="8.5" style="2" bestFit="1" customWidth="1"/>
    <col min="9" max="9" width="9.1640625" style="2" bestFit="1" customWidth="1"/>
    <col min="10" max="10" width="11.08203125" style="1" bestFit="1" customWidth="1"/>
    <col min="11" max="13" width="9.1640625" style="2" bestFit="1" customWidth="1"/>
    <col min="14" max="16" width="8.5" style="1" bestFit="1" customWidth="1"/>
    <col min="17" max="17" width="11.25" style="2" bestFit="1" customWidth="1"/>
    <col min="18" max="18" width="12.9140625" style="2" bestFit="1" customWidth="1"/>
    <col min="19" max="20" width="10.5" style="2" bestFit="1" customWidth="1"/>
    <col min="21" max="21" width="9.25" style="2" bestFit="1" customWidth="1"/>
    <col min="22" max="25" width="10.5" style="2" bestFit="1" customWidth="1"/>
    <col min="26" max="27" width="14.33203125" style="1" bestFit="1" customWidth="1"/>
    <col min="28" max="28" width="8.6640625" style="1" customWidth="1"/>
    <col min="29" max="16384" width="8.6640625" style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  <c r="M1" s="2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1" t="s">
        <v>25</v>
      </c>
      <c r="AA1" s="1" t="s">
        <v>26</v>
      </c>
    </row>
    <row r="2" spans="1:27">
      <c r="A2" s="1" t="str" cm="1">
        <f t="array" ref="A2">_xll.RssIndexMarket("N225", "指標コード")</f>
        <v>N225</v>
      </c>
      <c r="B2" s="1" t="str">
        <f t="array" ref="B2">_xll.RssIndexMarket("N225", "指標名称")</f>
        <v>日経225</v>
      </c>
      <c r="C2" s="1" t="str">
        <f t="array" ref="C2">_xll.RssIndexMarket("N225", "現在日付")</f>
        <v>2026/02/27</v>
      </c>
      <c r="D2" s="1" t="str">
        <f t="array" ref="D2">_xll.RssIndexMarket("N225", "更新時刻")</f>
        <v>15:45</v>
      </c>
      <c r="E2" s="2">
        <f t="array" ref="E2">_xll.RssIndexMarket("N225", "現在値")</f>
        <v>58850.27</v>
      </c>
      <c r="F2" s="1" t="str">
        <f t="array" ref="F2">_xll.RssIndexMarket("N225", "現在値ティック")</f>
        <v>↑</v>
      </c>
      <c r="G2" s="2">
        <f t="array" ref="G2">_xll.RssIndexMarket("N225", "前日比")</f>
        <v>96.88</v>
      </c>
      <c r="H2" s="2">
        <f t="array" ref="H2">_xll.RssIndexMarket("N225", "前日比率")</f>
        <v>0.16</v>
      </c>
      <c r="I2" s="2">
        <f t="array" ref="I2">_xll.RssIndexMarket("N225", "前日終値")</f>
        <v>58753.39</v>
      </c>
      <c r="J2" s="1" t="str">
        <f t="array" ref="J2">_xll.RssIndexMarket("N225", "前日日付")</f>
        <v>2026/02/26</v>
      </c>
      <c r="K2" s="2">
        <f t="array" ref="K2">_xll.RssIndexMarket("N225", "始値")</f>
        <v>58606.03</v>
      </c>
      <c r="L2" s="2">
        <f t="array" ref="L2">_xll.RssIndexMarket("N225", "高値")</f>
        <v>58924.17</v>
      </c>
      <c r="M2" s="2">
        <f t="array" ref="M2">_xll.RssIndexMarket("N225", "安値")</f>
        <v>58130.57</v>
      </c>
      <c r="N2" s="1" t="str">
        <f t="array" ref="N2">_xll.RssIndexMarket("N225", "始値時刻")</f>
        <v>09:00</v>
      </c>
      <c r="O2" s="1" t="str">
        <f t="array" ref="O2">_xll.RssIndexMarket("N225", "高値時刻")</f>
        <v>14:47</v>
      </c>
      <c r="P2" s="1" t="str">
        <f t="array" ref="P2">_xll.RssIndexMarket("N225", "安値時刻")</f>
        <v>09:38</v>
      </c>
      <c r="Q2" s="2">
        <f t="array" ref="Q2">_xll.RssIndexMarket("N225", "出来高")</f>
        <v>0</v>
      </c>
      <c r="R2" s="2">
        <f t="array" ref="R2">_xll.RssIndexMarket("N225", "売買代金")</f>
        <v>0</v>
      </c>
      <c r="S2" s="2">
        <f t="array" ref="S2">_xll.RssIndexMarket("N225", "前年最高値")</f>
        <v>52636.87</v>
      </c>
      <c r="T2" s="2">
        <f t="array" ref="T2">_xll.RssIndexMarket("N225", "前年最安値")</f>
        <v>30792.74</v>
      </c>
      <c r="U2" s="2">
        <f t="array" ref="U2">_xll.RssIndexMarket("N225", "前年終値")</f>
        <v>50339.48</v>
      </c>
      <c r="V2" s="2">
        <f t="array" ref="V2">_xll.RssIndexMarket("N225", "年初来高値")</f>
        <v>59332.43</v>
      </c>
      <c r="W2" s="2">
        <f t="array" ref="W2">_xll.RssIndexMarket("N225", "年初来安値")</f>
        <v>50995.67</v>
      </c>
      <c r="X2" s="2">
        <f t="array" ref="X2">_xll.RssIndexMarket("N225", "上場来高値")</f>
        <v>59332.43</v>
      </c>
      <c r="Y2" s="2">
        <f t="array" ref="Y2">_xll.RssIndexMarket("N225", "上場来安値")</f>
        <v>85.25</v>
      </c>
      <c r="Z2" s="1" t="str">
        <f t="array" ref="Z2">_xll.RssIndexMarket("N225", "上場来高値日付")</f>
        <v>2026/02/26</v>
      </c>
      <c r="AA2" s="1" t="str">
        <f t="array" ref="AA2">_xll.RssIndexMarket("N225", "上場来安値日付")</f>
        <v>1950/07/06</v>
      </c>
    </row>
    <row r="3" spans="1:27">
      <c r="A3" s="1" t="str" cm="1">
        <f t="array" ref="A3">_xll.RssIndexMarket("N300", "指標コード")</f>
        <v>N300</v>
      </c>
      <c r="B3" s="1" t="str">
        <f t="array" ref="B3">_xll.RssIndexMarket("N300", "指標名称")</f>
        <v>日経300</v>
      </c>
      <c r="C3" s="1" t="str">
        <f t="array" ref="C3">_xll.RssIndexMarket("N300", "現在日付")</f>
        <v>2026/02/27</v>
      </c>
      <c r="D3" s="1" t="str">
        <f t="array" ref="D3">_xll.RssIndexMarket("N300", "更新時刻")</f>
        <v>15:45</v>
      </c>
      <c r="E3" s="2">
        <f t="array" ref="E3">_xll.RssIndexMarket("N300", "現在値")</f>
        <v>834.66</v>
      </c>
      <c r="F3" s="1" t="str">
        <f t="array" ref="F3">_xll.RssIndexMarket("N300", "現在値ティック")</f>
        <v>↑</v>
      </c>
      <c r="G3" s="2">
        <f t="array" ref="G3">_xll.RssIndexMarket("N300", "前日比")</f>
        <v>11.17</v>
      </c>
      <c r="H3" s="2">
        <f t="array" ref="H3">_xll.RssIndexMarket("N300", "前日比率")</f>
        <v>1.36</v>
      </c>
      <c r="I3" s="2">
        <f t="array" ref="I3">_xll.RssIndexMarket("N300", "前日終値")</f>
        <v>823.49</v>
      </c>
      <c r="J3" s="1" t="str">
        <f t="array" ref="J3">_xll.RssIndexMarket("N300", "前日日付")</f>
        <v>2026/02/26</v>
      </c>
      <c r="K3" s="2">
        <f t="array" ref="K3">_xll.RssIndexMarket("N300", "始値")</f>
        <v>823.27</v>
      </c>
      <c r="L3" s="2">
        <f t="array" ref="L3">_xll.RssIndexMarket("N300", "高値")</f>
        <v>834.66</v>
      </c>
      <c r="M3" s="2">
        <f t="array" ref="M3">_xll.RssIndexMarket("N300", "安値")</f>
        <v>822.97</v>
      </c>
      <c r="N3" s="1" t="str">
        <f t="array" ref="N3">_xll.RssIndexMarket("N300", "始値時刻")</f>
        <v>09:00</v>
      </c>
      <c r="O3" s="1" t="str">
        <f t="array" ref="O3">_xll.RssIndexMarket("N300", "高値時刻")</f>
        <v>15:30</v>
      </c>
      <c r="P3" s="1" t="str">
        <f t="array" ref="P3">_xll.RssIndexMarket("N300", "安値時刻")</f>
        <v>09:00</v>
      </c>
      <c r="Q3" s="2">
        <f t="array" ref="Q3">_xll.RssIndexMarket("N300", "出来高")</f>
        <v>0</v>
      </c>
      <c r="R3" s="2">
        <f t="array" ref="R3">_xll.RssIndexMarket("N300", "売買代金")</f>
        <v>0</v>
      </c>
      <c r="S3" s="2">
        <f t="array" ref="S3">_xll.RssIndexMarket("N300", "前年最高値")</f>
        <v>732.99</v>
      </c>
      <c r="T3" s="2">
        <f t="array" ref="T3">_xll.RssIndexMarket("N300", "前年最安値")</f>
        <v>484.07</v>
      </c>
      <c r="U3" s="2">
        <f t="array" ref="U3">_xll.RssIndexMarket("N300", "前年終値")</f>
        <v>726.12</v>
      </c>
      <c r="V3" s="2">
        <f t="array" ref="V3">_xll.RssIndexMarket("N300", "年初来高値")</f>
        <v>828.77</v>
      </c>
      <c r="W3" s="2">
        <f t="array" ref="W3">_xll.RssIndexMarket("N300", "年初来安値")</f>
        <v>734.92</v>
      </c>
      <c r="X3" s="2">
        <f t="array" ref="X3">_xll.RssIndexMarket("N300", "上場来高値")</f>
        <v>828.77</v>
      </c>
      <c r="Y3" s="2">
        <f t="array" ref="Y3">_xll.RssIndexMarket("N300", "上場来安値")</f>
        <v>99.92</v>
      </c>
      <c r="Z3" s="1" t="str">
        <f t="array" ref="Z3">_xll.RssIndexMarket("N300", "上場来高値日付")</f>
        <v>2026/02/26</v>
      </c>
      <c r="AA3" s="1" t="str">
        <f t="array" ref="AA3">_xll.RssIndexMarket("N300", "上場来安値日付")</f>
        <v>1982/10/02</v>
      </c>
    </row>
    <row r="4" spans="1:27">
      <c r="A4" s="1" t="str">
        <f t="array" ref="A4">_xll.RssIndexMarket("TOPX", "指標コード")</f>
        <v>TOPX</v>
      </c>
      <c r="B4" s="1" t="str">
        <f t="array" ref="B4">_xll.RssIndexMarket("TOPX", "指標名称")</f>
        <v>TOPIX</v>
      </c>
      <c r="C4" s="1" t="str">
        <f t="array" ref="C4">_xll.RssIndexMarket("TOPX", "現在日付")</f>
        <v>2026/02/27</v>
      </c>
      <c r="D4" s="1" t="str">
        <f t="array" ref="D4">_xll.RssIndexMarket("TOPX", "更新時刻")</f>
        <v>15:30</v>
      </c>
      <c r="E4" s="2">
        <f t="array" ref="E4">_xll.RssIndexMarket("TOPX", "現在値")</f>
        <v>3938.68</v>
      </c>
      <c r="F4" s="1" t="str">
        <f t="array" ref="F4">_xll.RssIndexMarket("TOPX", "現在値ティック")</f>
        <v>↑</v>
      </c>
      <c r="G4" s="2">
        <f t="array" ref="G4">_xll.RssIndexMarket("TOPX", "前日比")</f>
        <v>58.34</v>
      </c>
      <c r="H4" s="2">
        <f t="array" ref="H4">_xll.RssIndexMarket("TOPX", "前日比率")</f>
        <v>1.5</v>
      </c>
      <c r="I4" s="2">
        <f t="array" ref="I4">_xll.RssIndexMarket("TOPX", "前日終値")</f>
        <v>3880.34</v>
      </c>
      <c r="J4" s="1" t="str">
        <f t="array" ref="J4">_xll.RssIndexMarket("TOPX", "前日日付")</f>
        <v>2026/02/26</v>
      </c>
      <c r="K4" s="2">
        <f t="array" ref="K4">_xll.RssIndexMarket("TOPX", "始値")</f>
        <v>3878.86</v>
      </c>
      <c r="L4" s="2">
        <f t="array" ref="L4">_xll.RssIndexMarket("TOPX", "高値")</f>
        <v>3938.68</v>
      </c>
      <c r="M4" s="2">
        <f t="array" ref="M4">_xll.RssIndexMarket("TOPX", "安値")</f>
        <v>3876.87</v>
      </c>
      <c r="N4" s="1" t="str">
        <f t="array" ref="N4">_xll.RssIndexMarket("TOPX", "始値時刻")</f>
        <v>09:00</v>
      </c>
      <c r="O4" s="1" t="str">
        <f t="array" ref="O4">_xll.RssIndexMarket("TOPX", "高値時刻")</f>
        <v>15:30</v>
      </c>
      <c r="P4" s="1" t="str">
        <f t="array" ref="P4">_xll.RssIndexMarket("TOPX", "安値時刻")</f>
        <v>09:00</v>
      </c>
      <c r="Q4" s="2">
        <f t="array" ref="Q4">_xll.RssIndexMarket("TOPX", "出来高")</f>
        <v>331733</v>
      </c>
      <c r="R4" s="2">
        <f t="array" ref="R4">_xll.RssIndexMarket("TOPX", "売買代金")</f>
        <v>9908502</v>
      </c>
      <c r="S4" s="2">
        <f t="array" ref="S4">_xll.RssIndexMarket("TOPX", "前年最高値")</f>
        <v>3436.75</v>
      </c>
      <c r="T4" s="2">
        <f t="array" ref="T4">_xll.RssIndexMarket("TOPX", "前年最安値")</f>
        <v>2243.21</v>
      </c>
      <c r="U4" s="2">
        <f t="array" ref="U4">_xll.RssIndexMarket("TOPX", "前年終値")</f>
        <v>3408.97</v>
      </c>
      <c r="V4" s="2">
        <f t="array" ref="V4">_xll.RssIndexMarket("TOPX", "年初来高値")</f>
        <v>3903.35</v>
      </c>
      <c r="W4" s="2">
        <f t="array" ref="W4">_xll.RssIndexMarket("TOPX", "年初来安値")</f>
        <v>3448.77</v>
      </c>
      <c r="X4" s="2">
        <f t="array" ref="X4">_xll.RssIndexMarket("TOPX", "上場来高値")</f>
        <v>3903.35</v>
      </c>
      <c r="Y4" s="2">
        <f t="array" ref="Y4">_xll.RssIndexMarket("TOPX", "上場来安値")</f>
        <v>99.17</v>
      </c>
      <c r="Z4" s="1" t="str">
        <f t="array" ref="Z4">_xll.RssIndexMarket("TOPX", "上場来高値日付")</f>
        <v>2026/02/26</v>
      </c>
      <c r="AA4" s="1" t="str">
        <f t="array" ref="AA4">_xll.RssIndexMarket("TOPX", "上場来安値日付")</f>
        <v>1967/12/11</v>
      </c>
    </row>
    <row r="5" spans="1:27">
      <c r="A5" s="1" t="str">
        <f t="array" ref="A5">_xll.RssIndexMarket("JN400", "指標コード")</f>
        <v>JN400</v>
      </c>
      <c r="B5" s="1" t="str">
        <f t="array" ref="B5">_xll.RssIndexMarket("JN400", "指標名称")</f>
        <v>JPX日経400</v>
      </c>
      <c r="C5" s="1" t="str">
        <f t="array" ref="C5">_xll.RssIndexMarket("JN400", "現在日付")</f>
        <v>2026/02/27</v>
      </c>
      <c r="D5" s="1" t="str">
        <f t="array" ref="D5">_xll.RssIndexMarket("JN400", "更新時刻")</f>
        <v>15:30</v>
      </c>
      <c r="E5" s="2">
        <f t="array" ref="E5">_xll.RssIndexMarket("JN400", "現在値")</f>
        <v>35625.760000000002</v>
      </c>
      <c r="F5" s="1" t="str">
        <f t="array" ref="F5">_xll.RssIndexMarket("JN400", "現在値ティック")</f>
        <v>↑</v>
      </c>
      <c r="G5" s="2">
        <f t="array" ref="G5">_xll.RssIndexMarket("JN400", "前日比")</f>
        <v>461.84</v>
      </c>
      <c r="H5" s="2">
        <f t="array" ref="H5">_xll.RssIndexMarket("JN400", "前日比率")</f>
        <v>1.31</v>
      </c>
      <c r="I5" s="2">
        <f t="array" ref="I5">_xll.RssIndexMarket("JN400", "前日終値")</f>
        <v>35163.919999999998</v>
      </c>
      <c r="J5" s="1" t="str">
        <f t="array" ref="J5">_xll.RssIndexMarket("JN400", "前日日付")</f>
        <v>2026/02/26</v>
      </c>
      <c r="K5" s="2">
        <f t="array" ref="K5">_xll.RssIndexMarket("JN400", "始値")</f>
        <v>35138.050000000003</v>
      </c>
      <c r="L5" s="2">
        <f t="array" ref="L5">_xll.RssIndexMarket("JN400", "高値")</f>
        <v>35639.33</v>
      </c>
      <c r="M5" s="2">
        <f t="array" ref="M5">_xll.RssIndexMarket("JN400", "安値")</f>
        <v>35124.239999999998</v>
      </c>
      <c r="N5" s="1" t="str">
        <f t="array" ref="N5">_xll.RssIndexMarket("JN400", "始値時刻")</f>
        <v>09:00</v>
      </c>
      <c r="O5" s="1" t="str">
        <f t="array" ref="O5">_xll.RssIndexMarket("JN400", "高値時刻")</f>
        <v>15:11</v>
      </c>
      <c r="P5" s="1" t="str">
        <f t="array" ref="P5">_xll.RssIndexMarket("JN400", "安値時刻")</f>
        <v>09:00</v>
      </c>
      <c r="Q5" s="2">
        <f t="array" ref="Q5">_xll.RssIndexMarket("JN400", "出来高")</f>
        <v>0</v>
      </c>
      <c r="R5" s="2">
        <f t="array" ref="R5">_xll.RssIndexMarket("JN400", "売買代金")</f>
        <v>0</v>
      </c>
      <c r="S5" s="2">
        <f t="array" ref="S5">_xll.RssIndexMarket("JN400", "前年最高値")</f>
        <v>31036.06</v>
      </c>
      <c r="T5" s="2">
        <f t="array" ref="T5">_xll.RssIndexMarket("JN400", "前年最安値")</f>
        <v>20463</v>
      </c>
      <c r="U5" s="2">
        <f t="array" ref="U5">_xll.RssIndexMarket("JN400", "前年終値")</f>
        <v>30706.41</v>
      </c>
      <c r="V5" s="2">
        <f t="array" ref="V5">_xll.RssIndexMarket("JN400", "年初来高値")</f>
        <v>35390.720000000001</v>
      </c>
      <c r="W5" s="2">
        <f t="array" ref="W5">_xll.RssIndexMarket("JN400", "年初来安値")</f>
        <v>31075.63</v>
      </c>
      <c r="X5" s="2">
        <f t="array" ref="X5">_xll.RssIndexMarket("JN400", "上場来高値")</f>
        <v>35390.720000000001</v>
      </c>
      <c r="Y5" s="2">
        <f t="array" ref="Y5">_xll.RssIndexMarket("JN400", "上場来安値")</f>
        <v>10219.18</v>
      </c>
      <c r="Z5" s="1" t="str">
        <f t="array" ref="Z5">_xll.RssIndexMarket("JN400", "上場来高値日付")</f>
        <v>2026/02/26</v>
      </c>
      <c r="AA5" s="1" t="str">
        <f t="array" ref="AA5">_xll.RssIndexMarket("JN400", "上場来安値日付")</f>
        <v>2014/04/11</v>
      </c>
    </row>
    <row r="6" spans="1:27">
      <c r="A6" s="1" t="str">
        <f t="array" ref="A6">_xll.RssIndexMarket("TSPM", "指標コード")</f>
        <v>TSPM</v>
      </c>
      <c r="B6" s="1" t="str">
        <f t="array" ref="B6">_xll.RssIndexMarket("TSPM", "指標名称")</f>
        <v>東証プライム市場指数</v>
      </c>
      <c r="C6" s="1" t="str">
        <f t="array" ref="C6">_xll.RssIndexMarket("TSPM", "現在日付")</f>
        <v>2026/02/27</v>
      </c>
      <c r="D6" s="1" t="str">
        <f t="array" ref="D6">_xll.RssIndexMarket("TSPM", "更新時刻")</f>
        <v>15:30</v>
      </c>
      <c r="E6" s="2">
        <f t="array" ref="E6">_xll.RssIndexMarket("TSPM", "現在値")</f>
        <v>2029.95</v>
      </c>
      <c r="F6" s="1" t="str">
        <f t="array" ref="F6">_xll.RssIndexMarket("TSPM", "現在値ティック")</f>
        <v>↑</v>
      </c>
      <c r="G6" s="2">
        <f t="array" ref="G6">_xll.RssIndexMarket("TSPM", "前日比")</f>
        <v>30.19</v>
      </c>
      <c r="H6" s="2">
        <f t="array" ref="H6">_xll.RssIndexMarket("TSPM", "前日比率")</f>
        <v>1.51</v>
      </c>
      <c r="I6" s="2">
        <f t="array" ref="I6">_xll.RssIndexMarket("TSPM", "前日終値")</f>
        <v>1999.76</v>
      </c>
      <c r="J6" s="1" t="str">
        <f t="array" ref="J6">_xll.RssIndexMarket("TSPM", "前日日付")</f>
        <v>2026/02/26</v>
      </c>
      <c r="K6" s="2">
        <f t="array" ref="K6">_xll.RssIndexMarket("TSPM", "始値")</f>
        <v>1998.26</v>
      </c>
      <c r="L6" s="2">
        <f t="array" ref="L6">_xll.RssIndexMarket("TSPM", "高値")</f>
        <v>2029.95</v>
      </c>
      <c r="M6" s="2">
        <f t="array" ref="M6">_xll.RssIndexMarket("TSPM", "安値")</f>
        <v>1998.26</v>
      </c>
      <c r="N6" s="1" t="str">
        <f t="array" ref="N6">_xll.RssIndexMarket("TSPM", "始値時刻")</f>
        <v>09:00</v>
      </c>
      <c r="O6" s="1" t="str">
        <f t="array" ref="O6">_xll.RssIndexMarket("TSPM", "高値時刻")</f>
        <v>15:30</v>
      </c>
      <c r="P6" s="1" t="str">
        <f t="array" ref="P6">_xll.RssIndexMarket("TSPM", "安値時刻")</f>
        <v>09:00</v>
      </c>
      <c r="Q6" s="2">
        <f t="array" ref="Q6">_xll.RssIndexMarket("TSPM", "出来高")</f>
        <v>310818</v>
      </c>
      <c r="R6" s="2">
        <f t="array" ref="R6">_xll.RssIndexMarket("TSPM", "売買代金")</f>
        <v>9903001</v>
      </c>
      <c r="S6" s="2">
        <f t="array" ref="S6">_xll.RssIndexMarket("TSPM", "前年最高値")</f>
        <v>1769.81</v>
      </c>
      <c r="T6" s="2">
        <f t="array" ref="T6">_xll.RssIndexMarket("TSPM", "前年最安値")</f>
        <v>1154.52</v>
      </c>
      <c r="U6" s="2">
        <f t="array" ref="U6">_xll.RssIndexMarket("TSPM", "前年終値")</f>
        <v>1755.99</v>
      </c>
      <c r="V6" s="2">
        <f t="array" ref="V6">_xll.RssIndexMarket("TSPM", "年初来高値")</f>
        <v>2011.36</v>
      </c>
      <c r="W6" s="2">
        <f t="array" ref="W6">_xll.RssIndexMarket("TSPM", "年初来安値")</f>
        <v>1776.65</v>
      </c>
      <c r="X6" s="2">
        <f t="array" ref="X6">_xll.RssIndexMarket("TSPM", "上場来高値")</f>
        <v>2011.36</v>
      </c>
      <c r="Y6" s="2">
        <f t="array" ref="Y6">_xll.RssIndexMarket("TSPM", "上場来安値")</f>
        <v>934.07</v>
      </c>
      <c r="Z6" s="1" t="str">
        <f t="array" ref="Z6">_xll.RssIndexMarket("TSPM", "上場来高値日付")</f>
        <v>2026/02/26</v>
      </c>
      <c r="AA6" s="1" t="str">
        <f t="array" ref="AA6">_xll.RssIndexMarket("TSPM", "上場来安値日付")</f>
        <v>2022/10/03</v>
      </c>
    </row>
    <row r="7" spans="1:27">
      <c r="A7" s="1" t="str">
        <f t="array" ref="A7">_xll.RssIndexMarket("TSSM", "指標コード")</f>
        <v>TSSM</v>
      </c>
      <c r="B7" s="1" t="str">
        <f t="array" ref="B7">_xll.RssIndexMarket("TSSM", "指標名称")</f>
        <v>東証スタンダード市場指数</v>
      </c>
      <c r="C7" s="1" t="str">
        <f t="array" ref="C7">_xll.RssIndexMarket("TSSM", "現在日付")</f>
        <v>2026/02/27</v>
      </c>
      <c r="D7" s="1" t="str">
        <f t="array" ref="D7">_xll.RssIndexMarket("TSSM", "更新時刻")</f>
        <v>15:30</v>
      </c>
      <c r="E7" s="2">
        <f t="array" ref="E7">_xll.RssIndexMarket("TSSM", "現在値")</f>
        <v>1765.34</v>
      </c>
      <c r="F7" s="1" t="str">
        <f t="array" ref="F7">_xll.RssIndexMarket("TSSM", "現在値ティック")</f>
        <v>↑</v>
      </c>
      <c r="G7" s="2">
        <f t="array" ref="G7">_xll.RssIndexMarket("TSSM", "前日比")</f>
        <v>23.38</v>
      </c>
      <c r="H7" s="2">
        <f t="array" ref="H7">_xll.RssIndexMarket("TSSM", "前日比率")</f>
        <v>1.34</v>
      </c>
      <c r="I7" s="2">
        <f t="array" ref="I7">_xll.RssIndexMarket("TSSM", "前日終値")</f>
        <v>1741.96</v>
      </c>
      <c r="J7" s="1" t="str">
        <f t="array" ref="J7">_xll.RssIndexMarket("TSSM", "前日日付")</f>
        <v>2026/02/26</v>
      </c>
      <c r="K7" s="2">
        <f t="array" ref="K7">_xll.RssIndexMarket("TSSM", "始値")</f>
        <v>1742.43</v>
      </c>
      <c r="L7" s="2">
        <f t="array" ref="L7">_xll.RssIndexMarket("TSSM", "高値")</f>
        <v>1765.34</v>
      </c>
      <c r="M7" s="2">
        <f t="array" ref="M7">_xll.RssIndexMarket("TSSM", "安値")</f>
        <v>1740.3</v>
      </c>
      <c r="N7" s="1" t="str">
        <f t="array" ref="N7">_xll.RssIndexMarket("TSSM", "始値時刻")</f>
        <v>09:00</v>
      </c>
      <c r="O7" s="1" t="str">
        <f t="array" ref="O7">_xll.RssIndexMarket("TSSM", "高値時刻")</f>
        <v>15:30</v>
      </c>
      <c r="P7" s="1" t="str">
        <f t="array" ref="P7">_xll.RssIndexMarket("TSSM", "安値時刻")</f>
        <v>09:03</v>
      </c>
      <c r="Q7" s="2">
        <f t="array" ref="Q7">_xll.RssIndexMarket("TSSM", "出来高")</f>
        <v>45758</v>
      </c>
      <c r="R7" s="2">
        <f t="array" ref="R7">_xll.RssIndexMarket("TSSM", "売買代金")</f>
        <v>268745</v>
      </c>
      <c r="S7" s="2">
        <f t="array" ref="S7">_xll.RssIndexMarket("TSSM", "前年最高値")</f>
        <v>1542.79</v>
      </c>
      <c r="T7" s="2">
        <f t="array" ref="T7">_xll.RssIndexMarket("TSSM", "前年最安値")</f>
        <v>1101.25</v>
      </c>
      <c r="U7" s="2">
        <f t="array" ref="U7">_xll.RssIndexMarket("TSSM", "前年終値")</f>
        <v>1538.4</v>
      </c>
      <c r="V7" s="2">
        <f t="array" ref="V7">_xll.RssIndexMarket("TSSM", "年初来高値")</f>
        <v>1745.7</v>
      </c>
      <c r="W7" s="2">
        <f t="array" ref="W7">_xll.RssIndexMarket("TSSM", "年初来安値")</f>
        <v>1548.22</v>
      </c>
      <c r="X7" s="2">
        <f t="array" ref="X7">_xll.RssIndexMarket("TSSM", "上場来高値")</f>
        <v>1745.7</v>
      </c>
      <c r="Y7" s="2">
        <f t="array" ref="Y7">_xll.RssIndexMarket("TSSM", "上場来安値")</f>
        <v>954.1</v>
      </c>
      <c r="Z7" s="1" t="str">
        <f t="array" ref="Z7">_xll.RssIndexMarket("TSSM", "上場来高値日付")</f>
        <v>2026/02/26</v>
      </c>
      <c r="AA7" s="1" t="str">
        <f t="array" ref="AA7">_xll.RssIndexMarket("TSSM", "上場来安値日付")</f>
        <v>2022/07/01</v>
      </c>
    </row>
    <row r="8" spans="1:27">
      <c r="A8" s="1" t="str">
        <f t="array" ref="A8">_xll.RssIndexMarket("TSGM", "指標コード")</f>
        <v>TSGM</v>
      </c>
      <c r="B8" s="1" t="str">
        <f t="array" ref="B8">_xll.RssIndexMarket("TSGM", "指標名称")</f>
        <v>東証グロース市場指数</v>
      </c>
      <c r="C8" s="1" t="str">
        <f t="array" ref="C8">_xll.RssIndexMarket("TSGM", "現在日付")</f>
        <v>2026/02/27</v>
      </c>
      <c r="D8" s="1" t="str">
        <f t="array" ref="D8">_xll.RssIndexMarket("TSGM", "更新時刻")</f>
        <v>15:30</v>
      </c>
      <c r="E8" s="2">
        <f t="array" ref="E8">_xll.RssIndexMarket("TSGM", "現在値")</f>
        <v>1011.05</v>
      </c>
      <c r="F8" s="1" t="str">
        <f t="array" ref="F8">_xll.RssIndexMarket("TSGM", "現在値ティック")</f>
        <v>↑</v>
      </c>
      <c r="G8" s="2">
        <f t="array" ref="G8">_xll.RssIndexMarket("TSGM", "前日比")</f>
        <v>34.03</v>
      </c>
      <c r="H8" s="2">
        <f t="array" ref="H8">_xll.RssIndexMarket("TSGM", "前日比率")</f>
        <v>3.48</v>
      </c>
      <c r="I8" s="2">
        <f t="array" ref="I8">_xll.RssIndexMarket("TSGM", "前日終値")</f>
        <v>977.02</v>
      </c>
      <c r="J8" s="1" t="str">
        <f t="array" ref="J8">_xll.RssIndexMarket("TSGM", "前日日付")</f>
        <v>2026/02/26</v>
      </c>
      <c r="K8" s="2">
        <f t="array" ref="K8">_xll.RssIndexMarket("TSGM", "始値")</f>
        <v>982.68</v>
      </c>
      <c r="L8" s="2">
        <f t="array" ref="L8">_xll.RssIndexMarket("TSGM", "高値")</f>
        <v>1011.05</v>
      </c>
      <c r="M8" s="2">
        <f t="array" ref="M8">_xll.RssIndexMarket("TSGM", "安値")</f>
        <v>982.68</v>
      </c>
      <c r="N8" s="1" t="str">
        <f t="array" ref="N8">_xll.RssIndexMarket("TSGM", "始値時刻")</f>
        <v>09:00</v>
      </c>
      <c r="O8" s="1" t="str">
        <f t="array" ref="O8">_xll.RssIndexMarket("TSGM", "高値時刻")</f>
        <v>15:30</v>
      </c>
      <c r="P8" s="1" t="str">
        <f t="array" ref="P8">_xll.RssIndexMarket("TSGM", "安値時刻")</f>
        <v>09:00</v>
      </c>
      <c r="Q8" s="2">
        <f t="array" ref="Q8">_xll.RssIndexMarket("TSGM", "出来高")</f>
        <v>371147200</v>
      </c>
      <c r="R8" s="2">
        <f t="array" ref="R8">_xll.RssIndexMarket("TSGM", "売買代金")</f>
        <v>180853</v>
      </c>
      <c r="S8" s="2">
        <f t="array" ref="S8">_xll.RssIndexMarket("TSGM", "前年最高値")</f>
        <v>1040.82</v>
      </c>
      <c r="T8" s="2">
        <f t="array" ref="T8">_xll.RssIndexMarket("TSGM", "前年最安値")</f>
        <v>683.02</v>
      </c>
      <c r="U8" s="2">
        <f t="array" ref="U8">_xll.RssIndexMarket("TSGM", "前年終値")</f>
        <v>883.78</v>
      </c>
      <c r="V8" s="2">
        <f t="array" ref="V8">_xll.RssIndexMarket("TSGM", "年初来高値")</f>
        <v>995.9</v>
      </c>
      <c r="W8" s="2">
        <f t="array" ref="W8">_xll.RssIndexMarket("TSGM", "年初来安値")</f>
        <v>884.6</v>
      </c>
      <c r="X8" s="2">
        <f t="array" ref="X8">_xll.RssIndexMarket("TSGM", "上場来高値")</f>
        <v>1100.78</v>
      </c>
      <c r="Y8" s="2">
        <f t="array" ref="Y8">_xll.RssIndexMarket("TSGM", "上場来安値")</f>
        <v>624.92999999999995</v>
      </c>
      <c r="Z8" s="1" t="str">
        <f t="array" ref="Z8">_xll.RssIndexMarket("TSGM", "上場来高値日付")</f>
        <v>2023/06/21</v>
      </c>
      <c r="AA8" s="1" t="str">
        <f t="array" ref="AA8">_xll.RssIndexMarket("TSGM", "上場来安値日付")</f>
        <v>2024/08/05</v>
      </c>
    </row>
    <row r="9" spans="1:27">
      <c r="A9" s="1" t="str">
        <f t="array" ref="A9">_xll.RssIndexMarket("N500", "指標コード")</f>
        <v>N500</v>
      </c>
      <c r="B9" s="1" t="str">
        <f t="array" ref="B9">_xll.RssIndexMarket("N500", "指標名称")</f>
        <v>日経500</v>
      </c>
      <c r="C9" s="1" t="str">
        <f t="array" ref="C9">_xll.RssIndexMarket("N500", "現在日付")</f>
        <v>2026/02/27</v>
      </c>
      <c r="D9" s="1" t="str">
        <f t="array" ref="D9">_xll.RssIndexMarket("N500", "更新時刻")</f>
        <v>15:45</v>
      </c>
      <c r="E9" s="2">
        <f t="array" ref="E9">_xll.RssIndexMarket("N500", "現在値")</f>
        <v>4367.1400000000003</v>
      </c>
      <c r="F9" s="1" t="str">
        <f t="array" ref="F9">_xll.RssIndexMarket("N500", "現在値ティック")</f>
        <v>↑</v>
      </c>
      <c r="G9" s="2">
        <f t="array" ref="G9">_xll.RssIndexMarket("N500", "前日比")</f>
        <v>28.55</v>
      </c>
      <c r="H9" s="2">
        <f t="array" ref="H9">_xll.RssIndexMarket("N500", "前日比率")</f>
        <v>0.66</v>
      </c>
      <c r="I9" s="2">
        <f t="array" ref="I9">_xll.RssIndexMarket("N500", "前日終値")</f>
        <v>4338.59</v>
      </c>
      <c r="J9" s="1" t="str">
        <f t="array" ref="J9">_xll.RssIndexMarket("N500", "前日日付")</f>
        <v>2026/02/26</v>
      </c>
      <c r="K9" s="2">
        <f t="array" ref="K9">_xll.RssIndexMarket("N500", "始値")</f>
        <v>4339.5200000000004</v>
      </c>
      <c r="L9" s="2">
        <f t="array" ref="L9">_xll.RssIndexMarket("N500", "高値")</f>
        <v>4367.1400000000003</v>
      </c>
      <c r="M9" s="2">
        <f t="array" ref="M9">_xll.RssIndexMarket("N500", "安値")</f>
        <v>4321.5</v>
      </c>
      <c r="N9" s="1" t="str">
        <f t="array" ref="N9">_xll.RssIndexMarket("N500", "始値時刻")</f>
        <v>09:01</v>
      </c>
      <c r="O9" s="1" t="str">
        <f t="array" ref="O9">_xll.RssIndexMarket("N500", "高値時刻")</f>
        <v>15:30</v>
      </c>
      <c r="P9" s="1" t="str">
        <f t="array" ref="P9">_xll.RssIndexMarket("N500", "安値時刻")</f>
        <v>09:42</v>
      </c>
      <c r="Q9" s="2">
        <f t="array" ref="Q9">_xll.RssIndexMarket("N500", "出来高")</f>
        <v>0</v>
      </c>
      <c r="R9" s="2">
        <f t="array" ref="R9">_xll.RssIndexMarket("N500", "売買代金")</f>
        <v>0</v>
      </c>
      <c r="S9" s="2">
        <f t="array" ref="S9">_xll.RssIndexMarket("N500", "前年最高値")</f>
        <v>3914.13</v>
      </c>
      <c r="T9" s="2">
        <f t="array" ref="T9">_xll.RssIndexMarket("N500", "前年最安値")</f>
        <v>2751.09</v>
      </c>
      <c r="U9" s="2">
        <f t="array" ref="U9">_xll.RssIndexMarket("N500", "前年終値")</f>
        <v>3844.51</v>
      </c>
      <c r="V9" s="2">
        <f t="array" ref="V9">_xll.RssIndexMarket("N500", "年初来高値")</f>
        <v>4362.1000000000004</v>
      </c>
      <c r="W9" s="2">
        <f t="array" ref="W9">_xll.RssIndexMarket("N500", "年初来安値")</f>
        <v>3885.24</v>
      </c>
      <c r="X9" s="2">
        <f t="array" ref="X9">_xll.RssIndexMarket("N500", "上場来高値")</f>
        <v>4362.1000000000004</v>
      </c>
      <c r="Y9" s="2">
        <f t="array" ref="Y9">_xll.RssIndexMarket("N500", "上場来安値")</f>
        <v>223.7</v>
      </c>
      <c r="Z9" s="1" t="str">
        <f t="array" ref="Z9">_xll.RssIndexMarket("N500", "上場来高値日付")</f>
        <v>2026/02/26</v>
      </c>
      <c r="AA9" s="1" t="str">
        <f t="array" ref="AA9">_xll.RssIndexMarket("N500", "上場来安値日付")</f>
        <v>1972/01/04</v>
      </c>
    </row>
    <row r="10" spans="1:27">
      <c r="A10" s="1" t="str">
        <f t="array" ref="A10">_xll.RssIndexMarket("TS1EX", "指標コード")</f>
        <v>TS1EX</v>
      </c>
      <c r="B10" s="1" t="str">
        <f t="array" ref="B10">_xll.RssIndexMarket("TS1EX", "指標名称")</f>
        <v>旧東証市場第１部指数</v>
      </c>
      <c r="C10" s="1" t="str">
        <f t="array" ref="C10">_xll.RssIndexMarket("TS1EX", "現在日付")</f>
        <v/>
      </c>
      <c r="D10" s="1" t="str">
        <f t="array" ref="D10">_xll.RssIndexMarket("TS1EX", "更新時刻")</f>
        <v xml:space="preserve">  :  </v>
      </c>
      <c r="E10" s="2">
        <f t="array" ref="E10">_xll.RssIndexMarket("TS1EX", "現在値")</f>
        <v>0</v>
      </c>
      <c r="F10" s="1" t="str">
        <f t="array" ref="F10">_xll.RssIndexMarket("TS1EX", "現在値ティック")</f>
        <v/>
      </c>
      <c r="G10" s="2">
        <f t="array" ref="G10">_xll.RssIndexMarket("TS1EX", "前日比")</f>
        <v>0</v>
      </c>
      <c r="H10" s="2">
        <f t="array" ref="H10">_xll.RssIndexMarket("TS1EX", "前日比率")</f>
        <v>0</v>
      </c>
      <c r="I10" s="2">
        <f t="array" ref="I10">_xll.RssIndexMarket("TS1EX", "前日終値")</f>
        <v>0</v>
      </c>
      <c r="J10" s="1" t="str">
        <f t="array" ref="J10">_xll.RssIndexMarket("TS1EX", "前日日付")</f>
        <v/>
      </c>
      <c r="K10" s="2">
        <f t="array" ref="K10">_xll.RssIndexMarket("TS1EX", "始値")</f>
        <v>0</v>
      </c>
      <c r="L10" s="2">
        <f t="array" ref="L10">_xll.RssIndexMarket("TS1EX", "高値")</f>
        <v>0</v>
      </c>
      <c r="M10" s="2">
        <f t="array" ref="M10">_xll.RssIndexMarket("TS1EX", "安値")</f>
        <v>0</v>
      </c>
      <c r="N10" s="1" t="str">
        <f t="array" ref="N10">_xll.RssIndexMarket("TS1EX", "始値時刻")</f>
        <v/>
      </c>
      <c r="O10" s="1" t="str">
        <f t="array" ref="O10">_xll.RssIndexMarket("TS1EX", "高値時刻")</f>
        <v/>
      </c>
      <c r="P10" s="1" t="str">
        <f t="array" ref="P10">_xll.RssIndexMarket("TS1EX", "安値時刻")</f>
        <v/>
      </c>
      <c r="Q10" s="2">
        <f t="array" ref="Q10">_xll.RssIndexMarket("TS1EX", "出来高")</f>
        <v>0</v>
      </c>
      <c r="R10" s="2">
        <f t="array" ref="R10">_xll.RssIndexMarket("TS1EX", "売買代金")</f>
        <v>0</v>
      </c>
      <c r="S10" s="2">
        <f t="array" ref="S10">_xll.RssIndexMarket("TS1EX", "前年最高値")</f>
        <v>0</v>
      </c>
      <c r="T10" s="2">
        <f t="array" ref="T10">_xll.RssIndexMarket("TS1EX", "前年最安値")</f>
        <v>0</v>
      </c>
      <c r="U10" s="2">
        <f t="array" ref="U10">_xll.RssIndexMarket("TS1EX", "前年終値")</f>
        <v>0</v>
      </c>
      <c r="V10" s="2">
        <f t="array" ref="V10">_xll.RssIndexMarket("TS1EX", "年初来高値")</f>
        <v>0</v>
      </c>
      <c r="W10" s="2">
        <f t="array" ref="W10">_xll.RssIndexMarket("TS1EX", "年初来安値")</f>
        <v>0</v>
      </c>
      <c r="X10" s="2">
        <f t="array" ref="X10">_xll.RssIndexMarket("TS1EX", "上場来高値")</f>
        <v>0</v>
      </c>
      <c r="Y10" s="2">
        <f t="array" ref="Y10">_xll.RssIndexMarket("TS1EX", "上場来安値")</f>
        <v>0</v>
      </c>
      <c r="Z10" s="1" t="str">
        <f t="array" ref="Z10">_xll.RssIndexMarket("TS1EX", "上場来高値日付")</f>
        <v/>
      </c>
      <c r="AA10" s="1" t="str">
        <f t="array" ref="AA10">_xll.RssIndexMarket("TS1EX", "上場来安値日付")</f>
        <v/>
      </c>
    </row>
    <row r="11" spans="1:27">
      <c r="A11" s="1" t="str">
        <f t="array" ref="A11">_xll.RssIndexMarket("TSM20", "指標コード")</f>
        <v>TSM20</v>
      </c>
      <c r="B11" s="1" t="str">
        <f t="array" ref="B11">_xll.RssIndexMarket("TSM20", "指標名称")</f>
        <v>東証スタンダード市場TOP20</v>
      </c>
      <c r="C11" s="1" t="str">
        <f t="array" ref="C11">_xll.RssIndexMarket("TSM20", "現在日付")</f>
        <v>2026/02/27</v>
      </c>
      <c r="D11" s="1" t="str">
        <f t="array" ref="D11">_xll.RssIndexMarket("TSM20", "更新時刻")</f>
        <v>15:30</v>
      </c>
      <c r="E11" s="2">
        <f t="array" ref="E11">_xll.RssIndexMarket("TSM20", "現在値")</f>
        <v>1626.91</v>
      </c>
      <c r="F11" s="1" t="str">
        <f t="array" ref="F11">_xll.RssIndexMarket("TSM20", "現在値ティック")</f>
        <v>↑</v>
      </c>
      <c r="G11" s="2">
        <f t="array" ref="G11">_xll.RssIndexMarket("TSM20", "前日比")</f>
        <v>14.32</v>
      </c>
      <c r="H11" s="2">
        <f t="array" ref="H11">_xll.RssIndexMarket("TSM20", "前日比率")</f>
        <v>0.89</v>
      </c>
      <c r="I11" s="2">
        <f t="array" ref="I11">_xll.RssIndexMarket("TSM20", "前日終値")</f>
        <v>1612.59</v>
      </c>
      <c r="J11" s="1" t="str">
        <f t="array" ref="J11">_xll.RssIndexMarket("TSM20", "前日日付")</f>
        <v>2026/02/26</v>
      </c>
      <c r="K11" s="2">
        <f t="array" ref="K11">_xll.RssIndexMarket("TSM20", "始値")</f>
        <v>1612.77</v>
      </c>
      <c r="L11" s="2">
        <f t="array" ref="L11">_xll.RssIndexMarket("TSM20", "高値")</f>
        <v>1626.91</v>
      </c>
      <c r="M11" s="2">
        <f t="array" ref="M11">_xll.RssIndexMarket("TSM20", "安値")</f>
        <v>1608.5</v>
      </c>
      <c r="N11" s="1" t="str">
        <f t="array" ref="N11">_xll.RssIndexMarket("TSM20", "始値時刻")</f>
        <v>09:00</v>
      </c>
      <c r="O11" s="1" t="str">
        <f t="array" ref="O11">_xll.RssIndexMarket("TSM20", "高値時刻")</f>
        <v>15:30</v>
      </c>
      <c r="P11" s="1" t="str">
        <f t="array" ref="P11">_xll.RssIndexMarket("TSM20", "安値時刻")</f>
        <v>09:06</v>
      </c>
      <c r="Q11" s="2">
        <f t="array" ref="Q11">_xll.RssIndexMarket("TSM20", "出来高")</f>
        <v>0</v>
      </c>
      <c r="R11" s="2">
        <f t="array" ref="R11">_xll.RssIndexMarket("TSM20", "売買代金")</f>
        <v>0</v>
      </c>
      <c r="S11" s="2">
        <f t="array" ref="S11">_xll.RssIndexMarket("TSM20", "前年最高値")</f>
        <v>1432.93</v>
      </c>
      <c r="T11" s="2">
        <f t="array" ref="T11">_xll.RssIndexMarket("TSM20", "前年最安値")</f>
        <v>1053.04</v>
      </c>
      <c r="U11" s="2">
        <f t="array" ref="U11">_xll.RssIndexMarket("TSM20", "前年終値")</f>
        <v>1391.24</v>
      </c>
      <c r="V11" s="2">
        <f t="array" ref="V11">_xll.RssIndexMarket("TSM20", "年初来高値")</f>
        <v>1619.43</v>
      </c>
      <c r="W11" s="2">
        <f t="array" ref="W11">_xll.RssIndexMarket("TSM20", "年初来安値")</f>
        <v>1399.5</v>
      </c>
      <c r="X11" s="2">
        <f t="array" ref="X11">_xll.RssIndexMarket("TSM20", "上場来高値")</f>
        <v>1619.43</v>
      </c>
      <c r="Y11" s="2">
        <f t="array" ref="Y11">_xll.RssIndexMarket("TSM20", "上場来安値")</f>
        <v>876.51</v>
      </c>
      <c r="Z11" s="1" t="str">
        <f t="array" ref="Z11">_xll.RssIndexMarket("TSM20", "上場来高値日付")</f>
        <v>2026/02/26</v>
      </c>
      <c r="AA11" s="1" t="str">
        <f t="array" ref="AA11">_xll.RssIndexMarket("TSM20", "上場来安値日付")</f>
        <v>2022/06/17</v>
      </c>
    </row>
    <row r="12" spans="1:27">
      <c r="A12" s="1" t="str">
        <f t="array" ref="A12">_xll.RssIndexMarket("TSGMC", "指標コード")</f>
        <v>TSGMC</v>
      </c>
      <c r="B12" s="1" t="str">
        <f t="array" ref="B12">_xll.RssIndexMarket("TSGMC", "指標名称")</f>
        <v>東証グロース市場Core指数</v>
      </c>
      <c r="C12" s="1" t="str">
        <f t="array" ref="C12">_xll.RssIndexMarket("TSGMC", "現在日付")</f>
        <v>2026/02/27</v>
      </c>
      <c r="D12" s="1" t="str">
        <f t="array" ref="D12">_xll.RssIndexMarket("TSGMC", "更新時刻")</f>
        <v>15:30</v>
      </c>
      <c r="E12" s="2">
        <f t="array" ref="E12">_xll.RssIndexMarket("TSGMC", "現在値")</f>
        <v>904.67</v>
      </c>
      <c r="F12" s="1" t="str">
        <f t="array" ref="F12">_xll.RssIndexMarket("TSGMC", "現在値ティック")</f>
        <v>↑</v>
      </c>
      <c r="G12" s="2">
        <f t="array" ref="G12">_xll.RssIndexMarket("TSGMC", "前日比")</f>
        <v>29.43</v>
      </c>
      <c r="H12" s="2">
        <f t="array" ref="H12">_xll.RssIndexMarket("TSGMC", "前日比率")</f>
        <v>3.36</v>
      </c>
      <c r="I12" s="2">
        <f t="array" ref="I12">_xll.RssIndexMarket("TSGMC", "前日終値")</f>
        <v>875.24</v>
      </c>
      <c r="J12" s="1" t="str">
        <f t="array" ref="J12">_xll.RssIndexMarket("TSGMC", "前日日付")</f>
        <v>2026/02/26</v>
      </c>
      <c r="K12" s="2">
        <f t="array" ref="K12">_xll.RssIndexMarket("TSGMC", "始値")</f>
        <v>884.12</v>
      </c>
      <c r="L12" s="2">
        <f t="array" ref="L12">_xll.RssIndexMarket("TSGMC", "高値")</f>
        <v>904.72</v>
      </c>
      <c r="M12" s="2">
        <f t="array" ref="M12">_xll.RssIndexMarket("TSGMC", "安値")</f>
        <v>884.12</v>
      </c>
      <c r="N12" s="1" t="str">
        <f t="array" ref="N12">_xll.RssIndexMarket("TSGMC", "始値時刻")</f>
        <v>09:00</v>
      </c>
      <c r="O12" s="1" t="str">
        <f t="array" ref="O12">_xll.RssIndexMarket("TSGMC", "高値時刻")</f>
        <v>15:15</v>
      </c>
      <c r="P12" s="1" t="str">
        <f t="array" ref="P12">_xll.RssIndexMarket("TSGMC", "安値時刻")</f>
        <v>09:00</v>
      </c>
      <c r="Q12" s="2">
        <f t="array" ref="Q12">_xll.RssIndexMarket("TSGMC", "出来高")</f>
        <v>0</v>
      </c>
      <c r="R12" s="2">
        <f t="array" ref="R12">_xll.RssIndexMarket("TSGMC", "売買代金")</f>
        <v>0</v>
      </c>
      <c r="S12" s="2">
        <f t="array" ref="S12">_xll.RssIndexMarket("TSGMC", "前年最高値")</f>
        <v>976.51</v>
      </c>
      <c r="T12" s="2">
        <f t="array" ref="T12">_xll.RssIndexMarket("TSGMC", "前年最安値")</f>
        <v>658.52</v>
      </c>
      <c r="U12" s="2">
        <f t="array" ref="U12">_xll.RssIndexMarket("TSGMC", "前年終値")</f>
        <v>785.35</v>
      </c>
      <c r="V12" s="2">
        <f t="array" ref="V12">_xll.RssIndexMarket("TSGMC", "年初来高値")</f>
        <v>891.85</v>
      </c>
      <c r="W12" s="2">
        <f t="array" ref="W12">_xll.RssIndexMarket("TSGMC", "年初来安値")</f>
        <v>780.99</v>
      </c>
      <c r="X12" s="2">
        <f t="array" ref="X12">_xll.RssIndexMarket("TSGMC", "上場来高値")</f>
        <v>1147.48</v>
      </c>
      <c r="Y12" s="2">
        <f t="array" ref="Y12">_xll.RssIndexMarket("TSGMC", "上場来安値")</f>
        <v>607.09</v>
      </c>
      <c r="Z12" s="1" t="str">
        <f t="array" ref="Z12">_xll.RssIndexMarket("TSGMC", "上場来高値日付")</f>
        <v>2023/06/21</v>
      </c>
      <c r="AA12" s="1" t="str">
        <f t="array" ref="AA12">_xll.RssIndexMarket("TSGMC", "上場来安値日付")</f>
        <v>2024/08/05</v>
      </c>
    </row>
    <row r="13" spans="1:27">
      <c r="A13" s="1" t="str">
        <f t="array" ref="A13">_xll.RssIndexMarket("MTHR", "指標コード")</f>
        <v>MTHR</v>
      </c>
      <c r="B13" s="1" t="str">
        <f t="array" ref="B13">_xll.RssIndexMarket("MTHR", "指標名称")</f>
        <v>グロース250指数</v>
      </c>
      <c r="C13" s="1" t="str">
        <f t="array" ref="C13">_xll.RssIndexMarket("MTHR", "現在日付")</f>
        <v>2026/02/27</v>
      </c>
      <c r="D13" s="1" t="str">
        <f t="array" ref="D13">_xll.RssIndexMarket("MTHR", "更新時刻")</f>
        <v>15:30</v>
      </c>
      <c r="E13" s="2">
        <f t="array" ref="E13">_xll.RssIndexMarket("MTHR", "現在値")</f>
        <v>777.7</v>
      </c>
      <c r="F13" s="1" t="str">
        <f t="array" ref="F13">_xll.RssIndexMarket("MTHR", "現在値ティック")</f>
        <v>↑</v>
      </c>
      <c r="G13" s="2">
        <f t="array" ref="G13">_xll.RssIndexMarket("MTHR", "前日比")</f>
        <v>28.67</v>
      </c>
      <c r="H13" s="2">
        <f t="array" ref="H13">_xll.RssIndexMarket("MTHR", "前日比率")</f>
        <v>3.83</v>
      </c>
      <c r="I13" s="2">
        <f t="array" ref="I13">_xll.RssIndexMarket("MTHR", "前日終値")</f>
        <v>749.03</v>
      </c>
      <c r="J13" s="1" t="str">
        <f t="array" ref="J13">_xll.RssIndexMarket("MTHR", "前日日付")</f>
        <v>2026/02/26</v>
      </c>
      <c r="K13" s="2">
        <f t="array" ref="K13">_xll.RssIndexMarket("MTHR", "始値")</f>
        <v>754.18</v>
      </c>
      <c r="L13" s="2">
        <f t="array" ref="L13">_xll.RssIndexMarket("MTHR", "高値")</f>
        <v>777.7</v>
      </c>
      <c r="M13" s="2">
        <f t="array" ref="M13">_xll.RssIndexMarket("MTHR", "安値")</f>
        <v>754.18</v>
      </c>
      <c r="N13" s="1" t="str">
        <f t="array" ref="N13">_xll.RssIndexMarket("MTHR", "始値時刻")</f>
        <v>09:00</v>
      </c>
      <c r="O13" s="1" t="str">
        <f t="array" ref="O13">_xll.RssIndexMarket("MTHR", "高値時刻")</f>
        <v>15:30</v>
      </c>
      <c r="P13" s="1" t="str">
        <f t="array" ref="P13">_xll.RssIndexMarket("MTHR", "安値時刻")</f>
        <v>09:00</v>
      </c>
      <c r="Q13" s="2">
        <f t="array" ref="Q13">_xll.RssIndexMarket("MTHR", "出来高")</f>
        <v>261870900</v>
      </c>
      <c r="R13" s="2">
        <f t="array" ref="R13">_xll.RssIndexMarket("MTHR", "売買代金")</f>
        <v>154916</v>
      </c>
      <c r="S13" s="2">
        <f t="array" ref="S13">_xll.RssIndexMarket("MTHR", "前年最高値")</f>
        <v>803.42</v>
      </c>
      <c r="T13" s="2">
        <f t="array" ref="T13">_xll.RssIndexMarket("MTHR", "前年最安値")</f>
        <v>531.72</v>
      </c>
      <c r="U13" s="2">
        <f t="array" ref="U13">_xll.RssIndexMarket("MTHR", "前年終値")</f>
        <v>675.21</v>
      </c>
      <c r="V13" s="2">
        <f t="array" ref="V13">_xll.RssIndexMarket("MTHR", "年初来高値")</f>
        <v>764.96</v>
      </c>
      <c r="W13" s="2">
        <f t="array" ref="W13">_xll.RssIndexMarket("MTHR", "年初来安値")</f>
        <v>675.15</v>
      </c>
      <c r="X13" s="2">
        <f t="array" ref="X13">_xll.RssIndexMarket("MTHR", "上場来高値")</f>
        <v>2800.68</v>
      </c>
      <c r="Y13" s="2">
        <f t="array" ref="Y13">_xll.RssIndexMarket("MTHR", "上場来安値")</f>
        <v>255.95</v>
      </c>
      <c r="Z13" s="1" t="str">
        <f t="array" ref="Z13">_xll.RssIndexMarket("MTHR", "上場来高値日付")</f>
        <v>2006/01/16</v>
      </c>
      <c r="AA13" s="1" t="str">
        <f t="array" ref="AA13">_xll.RssIndexMarket("MTHR", "上場来安値日付")</f>
        <v>2008/10/28</v>
      </c>
    </row>
    <row r="14" spans="1:27">
      <c r="A14" s="1" t="str">
        <f t="array" ref="A14">_xll.RssIndexMarket("NVI", "指標コード")</f>
        <v>NVI</v>
      </c>
      <c r="B14" s="1" t="str">
        <f t="array" ref="B14">_xll.RssIndexMarket("NVI", "指標名称")</f>
        <v>日経平均VI指数</v>
      </c>
      <c r="C14" s="1" t="str">
        <f t="array" ref="C14">_xll.RssIndexMarket("NVI", "現在日付")</f>
        <v>2026/02/27</v>
      </c>
      <c r="D14" s="1" t="str">
        <f t="array" ref="D14">_xll.RssIndexMarket("NVI", "更新時刻")</f>
        <v>15:50</v>
      </c>
      <c r="E14" s="2">
        <f t="array" ref="E14">_xll.RssIndexMarket("NVI", "現在値")</f>
        <v>27.33</v>
      </c>
      <c r="F14" s="1" t="str">
        <f t="array" ref="F14">_xll.RssIndexMarket("NVI", "現在値ティック")</f>
        <v>↓</v>
      </c>
      <c r="G14" s="2">
        <f t="array" ref="G14">_xll.RssIndexMarket("NVI", "前日比")</f>
        <v>-3.88</v>
      </c>
      <c r="H14" s="2">
        <f t="array" ref="H14">_xll.RssIndexMarket("NVI", "前日比率")</f>
        <v>-12.43</v>
      </c>
      <c r="I14" s="2">
        <f t="array" ref="I14">_xll.RssIndexMarket("NVI", "前日終値")</f>
        <v>31.21</v>
      </c>
      <c r="J14" s="1" t="str">
        <f t="array" ref="J14">_xll.RssIndexMarket("NVI", "前日日付")</f>
        <v>2026/02/26</v>
      </c>
      <c r="K14" s="2">
        <f t="array" ref="K14">_xll.RssIndexMarket("NVI", "始値")</f>
        <v>31.31</v>
      </c>
      <c r="L14" s="2">
        <f t="array" ref="L14">_xll.RssIndexMarket("NVI", "高値")</f>
        <v>31.66</v>
      </c>
      <c r="M14" s="2">
        <f t="array" ref="M14">_xll.RssIndexMarket("NVI", "安値")</f>
        <v>27.33</v>
      </c>
      <c r="N14" s="1" t="str">
        <f t="array" ref="N14">_xll.RssIndexMarket("NVI", "始値時刻")</f>
        <v>09:00</v>
      </c>
      <c r="O14" s="1" t="str">
        <f t="array" ref="O14">_xll.RssIndexMarket("NVI", "高値時刻")</f>
        <v>10:41</v>
      </c>
      <c r="P14" s="1" t="str">
        <f t="array" ref="P14">_xll.RssIndexMarket("NVI", "安値時刻")</f>
        <v>15:46</v>
      </c>
      <c r="Q14" s="2">
        <f t="array" ref="Q14">_xll.RssIndexMarket("NVI", "出来高")</f>
        <v>0</v>
      </c>
      <c r="R14" s="2">
        <f t="array" ref="R14">_xll.RssIndexMarket("NVI", "売買代金")</f>
        <v>0</v>
      </c>
      <c r="S14" s="2">
        <f t="array" ref="S14">_xll.RssIndexMarket("NVI", "前年最高値")</f>
        <v>0</v>
      </c>
      <c r="T14" s="2">
        <f t="array" ref="T14">_xll.RssIndexMarket("NVI", "前年最安値")</f>
        <v>0</v>
      </c>
      <c r="U14" s="2">
        <f t="array" ref="U14">_xll.RssIndexMarket("NVI", "前年終値")</f>
        <v>0</v>
      </c>
      <c r="V14" s="2">
        <f t="array" ref="V14">_xll.RssIndexMarket("NVI", "年初来高値")</f>
        <v>40.11</v>
      </c>
      <c r="W14" s="2">
        <f t="array" ref="W14">_xll.RssIndexMarket("NVI", "年初来安値")</f>
        <v>24.09</v>
      </c>
      <c r="X14" s="2">
        <f t="array" ref="X14">_xll.RssIndexMarket("NVI", "上場来高値")</f>
        <v>85.38</v>
      </c>
      <c r="Y14" s="2">
        <f t="array" ref="Y14">_xll.RssIndexMarket("NVI", "上場来安値")</f>
        <v>11.82</v>
      </c>
      <c r="Z14" s="1" t="str">
        <f t="array" ref="Z14">_xll.RssIndexMarket("NVI", "上場来高値日付")</f>
        <v>2024/08/05</v>
      </c>
      <c r="AA14" s="1" t="str">
        <f t="array" ref="AA14">_xll.RssIndexMarket("NVI", "上場来安値日付")</f>
        <v>2017/07/27</v>
      </c>
    </row>
    <row r="15" spans="1:27">
      <c r="A15" s="1" t="str">
        <f t="array" ref="A15">_xll.RssIndexMarket("TREIT", "指標コード")</f>
        <v>TREIT</v>
      </c>
      <c r="B15" s="1" t="str">
        <f t="array" ref="B15">_xll.RssIndexMarket("TREIT", "指標名称")</f>
        <v>東証REIT指数</v>
      </c>
      <c r="C15" s="1" t="str">
        <f t="array" ref="C15">_xll.RssIndexMarket("TREIT", "現在日付")</f>
        <v>2026/02/27</v>
      </c>
      <c r="D15" s="1" t="str">
        <f t="array" ref="D15">_xll.RssIndexMarket("TREIT", "更新時刻")</f>
        <v>15:30</v>
      </c>
      <c r="E15" s="2">
        <f t="array" ref="E15">_xll.RssIndexMarket("TREIT", "現在値")</f>
        <v>1999.33</v>
      </c>
      <c r="F15" s="1" t="str">
        <f t="array" ref="F15">_xll.RssIndexMarket("TREIT", "現在値ティック")</f>
        <v>↓</v>
      </c>
      <c r="G15" s="2">
        <f t="array" ref="G15">_xll.RssIndexMarket("TREIT", "前日比")</f>
        <v>-30.11</v>
      </c>
      <c r="H15" s="2">
        <f t="array" ref="H15">_xll.RssIndexMarket("TREIT", "前日比率")</f>
        <v>-1.48</v>
      </c>
      <c r="I15" s="2">
        <f t="array" ref="I15">_xll.RssIndexMarket("TREIT", "前日終値")</f>
        <v>2029.44</v>
      </c>
      <c r="J15" s="1" t="str">
        <f t="array" ref="J15">_xll.RssIndexMarket("TREIT", "前日日付")</f>
        <v>2026/02/26</v>
      </c>
      <c r="K15" s="2">
        <f t="array" ref="K15">_xll.RssIndexMarket("TREIT", "始値")</f>
        <v>2029.13</v>
      </c>
      <c r="L15" s="2">
        <f t="array" ref="L15">_xll.RssIndexMarket("TREIT", "高値")</f>
        <v>2029.13</v>
      </c>
      <c r="M15" s="2">
        <f t="array" ref="M15">_xll.RssIndexMarket("TREIT", "安値")</f>
        <v>1999.33</v>
      </c>
      <c r="N15" s="1" t="str">
        <f t="array" ref="N15">_xll.RssIndexMarket("TREIT", "始値時刻")</f>
        <v>09:00</v>
      </c>
      <c r="O15" s="1" t="str">
        <f t="array" ref="O15">_xll.RssIndexMarket("TREIT", "高値時刻")</f>
        <v>09:00</v>
      </c>
      <c r="P15" s="1" t="str">
        <f t="array" ref="P15">_xll.RssIndexMarket("TREIT", "安値時刻")</f>
        <v>15:30</v>
      </c>
      <c r="Q15" s="2">
        <f t="array" ref="Q15">_xll.RssIndexMarket("TREIT", "出来高")</f>
        <v>0</v>
      </c>
      <c r="R15" s="2">
        <f t="array" ref="R15">_xll.RssIndexMarket("TREIT", "売買代金")</f>
        <v>0</v>
      </c>
      <c r="S15" s="2">
        <f t="array" ref="S15">_xll.RssIndexMarket("TREIT", "前年最高値")</f>
        <v>2047.4</v>
      </c>
      <c r="T15" s="2">
        <f t="array" ref="T15">_xll.RssIndexMarket("TREIT", "前年最安値")</f>
        <v>1616.65</v>
      </c>
      <c r="U15" s="2">
        <f t="array" ref="U15">_xll.RssIndexMarket("TREIT", "前年終値")</f>
        <v>2013.5</v>
      </c>
      <c r="V15" s="2">
        <f t="array" ref="V15">_xll.RssIndexMarket("TREIT", "年初来高値")</f>
        <v>2078.1999999999998</v>
      </c>
      <c r="W15" s="2">
        <f t="array" ref="W15">_xll.RssIndexMarket("TREIT", "年初来安値")</f>
        <v>1954.28</v>
      </c>
      <c r="X15" s="2">
        <f t="array" ref="X15">_xll.RssIndexMarket("TREIT", "上場来高値")</f>
        <v>2636.23</v>
      </c>
      <c r="Y15" s="2">
        <f t="array" ref="Y15">_xll.RssIndexMarket("TREIT", "上場来安値")</f>
        <v>683.38</v>
      </c>
      <c r="Z15" s="1" t="str">
        <f t="array" ref="Z15">_xll.RssIndexMarket("TREIT", "上場来高値日付")</f>
        <v>2007/05/24</v>
      </c>
      <c r="AA15" s="1" t="str">
        <f t="array" ref="AA15">_xll.RssIndexMarket("TREIT", "上場来安値日付")</f>
        <v>2008/11/20</v>
      </c>
    </row>
    <row r="16" spans="1:27">
      <c r="A16" s="1" t="str">
        <f t="array" ref="A16">_xll.RssIndexMarket("JGB:F", "指標コード")</f>
        <v>JGB:F</v>
      </c>
      <c r="B16" s="1" t="str">
        <f t="array" ref="B16">_xll.RssIndexMarket("JGB:F", "指標名称")</f>
        <v>JPX国債先物</v>
      </c>
      <c r="C16" s="1" t="str">
        <f t="array" ref="C16">_xll.RssIndexMarket("JGB:F", "現在日付")</f>
        <v>2026/02/27</v>
      </c>
      <c r="D16" s="1" t="str">
        <f t="array" ref="D16">_xll.RssIndexMarket("JGB:F", "更新時刻")</f>
        <v>16:30</v>
      </c>
      <c r="E16" s="2">
        <f t="array" ref="E16">_xll.RssIndexMarket("JGB:F", "現在値")</f>
        <v>11229.23</v>
      </c>
      <c r="F16" s="1" t="str">
        <f t="array" ref="F16">_xll.RssIndexMarket("JGB:F", "現在値ティック")</f>
        <v>↑</v>
      </c>
      <c r="G16" s="2">
        <f t="array" ref="G16">_xll.RssIndexMarket("JGB:F", "前日比")</f>
        <v>22.83</v>
      </c>
      <c r="H16" s="2">
        <f t="array" ref="H16">_xll.RssIndexMarket("JGB:F", "前日比率")</f>
        <v>0.2</v>
      </c>
      <c r="I16" s="2">
        <f t="array" ref="I16">_xll.RssIndexMarket("JGB:F", "前日終値")</f>
        <v>11206.4</v>
      </c>
      <c r="J16" s="1" t="str">
        <f t="array" ref="J16">_xll.RssIndexMarket("JGB:F", "前日日付")</f>
        <v>2026/02/26</v>
      </c>
      <c r="K16" s="2">
        <f t="array" ref="K16">_xll.RssIndexMarket("JGB:F", "始値")</f>
        <v>0</v>
      </c>
      <c r="L16" s="2">
        <f t="array" ref="L16">_xll.RssIndexMarket("JGB:F", "高値")</f>
        <v>0</v>
      </c>
      <c r="M16" s="2">
        <f t="array" ref="M16">_xll.RssIndexMarket("JGB:F", "安値")</f>
        <v>0</v>
      </c>
      <c r="N16" s="1" t="str">
        <f t="array" ref="N16">_xll.RssIndexMarket("JGB:F", "始値時刻")</f>
        <v xml:space="preserve">  :  </v>
      </c>
      <c r="O16" s="1" t="str">
        <f t="array" ref="O16">_xll.RssIndexMarket("JGB:F", "高値時刻")</f>
        <v xml:space="preserve">  :  </v>
      </c>
      <c r="P16" s="1" t="str">
        <f t="array" ref="P16">_xll.RssIndexMarket("JGB:F", "安値時刻")</f>
        <v xml:space="preserve">  :  </v>
      </c>
      <c r="Q16" s="2">
        <f t="array" ref="Q16">_xll.RssIndexMarket("JGB:F", "出来高")</f>
        <v>0</v>
      </c>
      <c r="R16" s="2">
        <f t="array" ref="R16">_xll.RssIndexMarket("JGB:F", "売買代金")</f>
        <v>0</v>
      </c>
      <c r="S16" s="2">
        <f t="array" ref="S16">_xll.RssIndexMarket("JGB:F", "前年最高値")</f>
        <v>0</v>
      </c>
      <c r="T16" s="2">
        <f t="array" ref="T16">_xll.RssIndexMarket("JGB:F", "前年最安値")</f>
        <v>0</v>
      </c>
      <c r="U16" s="2">
        <f t="array" ref="U16">_xll.RssIndexMarket("JGB:F", "前年終値")</f>
        <v>0</v>
      </c>
      <c r="V16" s="2">
        <f t="array" ref="V16">_xll.RssIndexMarket("JGB:F", "年初来高値")</f>
        <v>0</v>
      </c>
      <c r="W16" s="2">
        <f t="array" ref="W16">_xll.RssIndexMarket("JGB:F", "年初来安値")</f>
        <v>0</v>
      </c>
      <c r="X16" s="2">
        <f t="array" ref="X16">_xll.RssIndexMarket("JGB:F", "上場来高値")</f>
        <v>0</v>
      </c>
      <c r="Y16" s="2">
        <f t="array" ref="Y16">_xll.RssIndexMarket("JGB:F", "上場来安値")</f>
        <v>0</v>
      </c>
      <c r="Z16" s="1" t="str">
        <f t="array" ref="Z16">_xll.RssIndexMarket("JGB:F", "上場来高値日付")</f>
        <v/>
      </c>
      <c r="AA16" s="1" t="str">
        <f t="array" ref="AA16">_xll.RssIndexMarket("JGB:F", "上場来安値日付")</f>
        <v/>
      </c>
    </row>
    <row r="17" spans="1:27">
      <c r="A17" s="1" t="str">
        <f t="array" ref="A17">_xll.RssIndexMarket("JGB:FL", "指標コード")</f>
        <v>JGB:FL</v>
      </c>
      <c r="B17" s="1" t="str">
        <f t="array" ref="B17">_xll.RssIndexMarket("JGB:FL", "指標名称")</f>
        <v>JPX国債先物レバレッジ</v>
      </c>
      <c r="C17" s="1" t="str">
        <f t="array" ref="C17">_xll.RssIndexMarket("JGB:FL", "現在日付")</f>
        <v>2026/02/27</v>
      </c>
      <c r="D17" s="1" t="str">
        <f t="array" ref="D17">_xll.RssIndexMarket("JGB:FL", "更新時刻")</f>
        <v>16:30</v>
      </c>
      <c r="E17" s="2">
        <f t="array" ref="E17">_xll.RssIndexMarket("JGB:FL", "現在値")</f>
        <v>12480.13</v>
      </c>
      <c r="F17" s="1" t="str">
        <f t="array" ref="F17">_xll.RssIndexMarket("JGB:FL", "現在値ティック")</f>
        <v>↑</v>
      </c>
      <c r="G17" s="2">
        <f t="array" ref="G17">_xll.RssIndexMarket("JGB:FL", "前日比")</f>
        <v>50.64</v>
      </c>
      <c r="H17" s="2">
        <f t="array" ref="H17">_xll.RssIndexMarket("JGB:FL", "前日比率")</f>
        <v>0.41</v>
      </c>
      <c r="I17" s="2">
        <f t="array" ref="I17">_xll.RssIndexMarket("JGB:FL", "前日終値")</f>
        <v>12429.49</v>
      </c>
      <c r="J17" s="1" t="str">
        <f t="array" ref="J17">_xll.RssIndexMarket("JGB:FL", "前日日付")</f>
        <v>2026/02/26</v>
      </c>
      <c r="K17" s="2">
        <f t="array" ref="K17">_xll.RssIndexMarket("JGB:FL", "始値")</f>
        <v>0</v>
      </c>
      <c r="L17" s="2">
        <f t="array" ref="L17">_xll.RssIndexMarket("JGB:FL", "高値")</f>
        <v>0</v>
      </c>
      <c r="M17" s="2">
        <f t="array" ref="M17">_xll.RssIndexMarket("JGB:FL", "安値")</f>
        <v>0</v>
      </c>
      <c r="N17" s="1" t="str">
        <f t="array" ref="N17">_xll.RssIndexMarket("JGB:FL", "始値時刻")</f>
        <v xml:space="preserve">  :  </v>
      </c>
      <c r="O17" s="1" t="str">
        <f t="array" ref="O17">_xll.RssIndexMarket("JGB:FL", "高値時刻")</f>
        <v xml:space="preserve">  :  </v>
      </c>
      <c r="P17" s="1" t="str">
        <f t="array" ref="P17">_xll.RssIndexMarket("JGB:FL", "安値時刻")</f>
        <v xml:space="preserve">  :  </v>
      </c>
      <c r="Q17" s="2">
        <f t="array" ref="Q17">_xll.RssIndexMarket("JGB:FL", "出来高")</f>
        <v>0</v>
      </c>
      <c r="R17" s="2">
        <f t="array" ref="R17">_xll.RssIndexMarket("JGB:FL", "売買代金")</f>
        <v>0</v>
      </c>
      <c r="S17" s="2">
        <f t="array" ref="S17">_xll.RssIndexMarket("JGB:FL", "前年最高値")</f>
        <v>0</v>
      </c>
      <c r="T17" s="2">
        <f t="array" ref="T17">_xll.RssIndexMarket("JGB:FL", "前年最安値")</f>
        <v>0</v>
      </c>
      <c r="U17" s="2">
        <f t="array" ref="U17">_xll.RssIndexMarket("JGB:FL", "前年終値")</f>
        <v>0</v>
      </c>
      <c r="V17" s="2">
        <f t="array" ref="V17">_xll.RssIndexMarket("JGB:FL", "年初来高値")</f>
        <v>0</v>
      </c>
      <c r="W17" s="2">
        <f t="array" ref="W17">_xll.RssIndexMarket("JGB:FL", "年初来安値")</f>
        <v>0</v>
      </c>
      <c r="X17" s="2">
        <f t="array" ref="X17">_xll.RssIndexMarket("JGB:FL", "上場来高値")</f>
        <v>0</v>
      </c>
      <c r="Y17" s="2">
        <f t="array" ref="Y17">_xll.RssIndexMarket("JGB:FL", "上場来安値")</f>
        <v>0</v>
      </c>
      <c r="Z17" s="1" t="str">
        <f t="array" ref="Z17">_xll.RssIndexMarket("JGB:FL", "上場来高値日付")</f>
        <v/>
      </c>
      <c r="AA17" s="1" t="str">
        <f t="array" ref="AA17">_xll.RssIndexMarket("JGB:FL", "上場来安値日付")</f>
        <v/>
      </c>
    </row>
    <row r="18" spans="1:27">
      <c r="A18" s="1" t="str">
        <f t="array" ref="A18">_xll.RssIndexMarket("JGB:FI", "指標コード")</f>
        <v>JGB:FI</v>
      </c>
      <c r="B18" s="1" t="str">
        <f t="array" ref="B18">_xll.RssIndexMarket("JGB:FI", "指標名称")</f>
        <v>JPX国債先物インバース</v>
      </c>
      <c r="C18" s="1" t="str">
        <f t="array" ref="C18">_xll.RssIndexMarket("JGB:FI", "現在日付")</f>
        <v>2026/02/27</v>
      </c>
      <c r="D18" s="1" t="str">
        <f t="array" ref="D18">_xll.RssIndexMarket("JGB:FI", "更新時刻")</f>
        <v>16:30</v>
      </c>
      <c r="E18" s="2">
        <f t="array" ref="E18">_xll.RssIndexMarket("JGB:FI", "現在値")</f>
        <v>8813.9</v>
      </c>
      <c r="F18" s="1" t="str">
        <f t="array" ref="F18">_xll.RssIndexMarket("JGB:FI", "現在値ティック")</f>
        <v>↓</v>
      </c>
      <c r="G18" s="2">
        <f t="array" ref="G18">_xll.RssIndexMarket("JGB:FI", "前日比")</f>
        <v>-17.989999999999998</v>
      </c>
      <c r="H18" s="2">
        <f t="array" ref="H18">_xll.RssIndexMarket("JGB:FI", "前日比率")</f>
        <v>-0.2</v>
      </c>
      <c r="I18" s="2">
        <f t="array" ref="I18">_xll.RssIndexMarket("JGB:FI", "前日終値")</f>
        <v>8831.89</v>
      </c>
      <c r="J18" s="1" t="str">
        <f t="array" ref="J18">_xll.RssIndexMarket("JGB:FI", "前日日付")</f>
        <v>2026/02/26</v>
      </c>
      <c r="K18" s="2">
        <f t="array" ref="K18">_xll.RssIndexMarket("JGB:FI", "始値")</f>
        <v>0</v>
      </c>
      <c r="L18" s="2">
        <f t="array" ref="L18">_xll.RssIndexMarket("JGB:FI", "高値")</f>
        <v>0</v>
      </c>
      <c r="M18" s="2">
        <f t="array" ref="M18">_xll.RssIndexMarket("JGB:FI", "安値")</f>
        <v>0</v>
      </c>
      <c r="N18" s="1" t="str">
        <f t="array" ref="N18">_xll.RssIndexMarket("JGB:FI", "始値時刻")</f>
        <v xml:space="preserve">  :  </v>
      </c>
      <c r="O18" s="1" t="str">
        <f t="array" ref="O18">_xll.RssIndexMarket("JGB:FI", "高値時刻")</f>
        <v xml:space="preserve">  :  </v>
      </c>
      <c r="P18" s="1" t="str">
        <f t="array" ref="P18">_xll.RssIndexMarket("JGB:FI", "安値時刻")</f>
        <v xml:space="preserve">  :  </v>
      </c>
      <c r="Q18" s="2">
        <f t="array" ref="Q18">_xll.RssIndexMarket("JGB:FI", "出来高")</f>
        <v>0</v>
      </c>
      <c r="R18" s="2">
        <f t="array" ref="R18">_xll.RssIndexMarket("JGB:FI", "売買代金")</f>
        <v>0</v>
      </c>
      <c r="S18" s="2">
        <f t="array" ref="S18">_xll.RssIndexMarket("JGB:FI", "前年最高値")</f>
        <v>0</v>
      </c>
      <c r="T18" s="2">
        <f t="array" ref="T18">_xll.RssIndexMarket("JGB:FI", "前年最安値")</f>
        <v>0</v>
      </c>
      <c r="U18" s="2">
        <f t="array" ref="U18">_xll.RssIndexMarket("JGB:FI", "前年終値")</f>
        <v>0</v>
      </c>
      <c r="V18" s="2">
        <f t="array" ref="V18">_xll.RssIndexMarket("JGB:FI", "年初来高値")</f>
        <v>0</v>
      </c>
      <c r="W18" s="2">
        <f t="array" ref="W18">_xll.RssIndexMarket("JGB:FI", "年初来安値")</f>
        <v>0</v>
      </c>
      <c r="X18" s="2">
        <f t="array" ref="X18">_xll.RssIndexMarket("JGB:FI", "上場来高値")</f>
        <v>0</v>
      </c>
      <c r="Y18" s="2">
        <f t="array" ref="Y18">_xll.RssIndexMarket("JGB:FI", "上場来安値")</f>
        <v>0</v>
      </c>
      <c r="Z18" s="1" t="str">
        <f t="array" ref="Z18">_xll.RssIndexMarket("JGB:FI", "上場来高値日付")</f>
        <v/>
      </c>
      <c r="AA18" s="1" t="str">
        <f t="array" ref="AA18">_xll.RssIndexMarket("JGB:FI", "上場来安値日付")</f>
        <v/>
      </c>
    </row>
    <row r="19" spans="1:27">
      <c r="A19" s="1" t="str">
        <f t="array" ref="A19">_xll.RssIndexMarket("JGB:FDI", "指標コード")</f>
        <v>JGB:FDI</v>
      </c>
      <c r="B19" s="1" t="str">
        <f t="array" ref="B19">_xll.RssIndexMarket("JGB:FDI", "指標名称")</f>
        <v>JPX国債先物ダブルインバース</v>
      </c>
      <c r="C19" s="1" t="str">
        <f t="array" ref="C19">_xll.RssIndexMarket("JGB:FDI", "現在日付")</f>
        <v>2026/02/27</v>
      </c>
      <c r="D19" s="1" t="str">
        <f t="array" ref="D19">_xll.RssIndexMarket("JGB:FDI", "更新時刻")</f>
        <v>16:30</v>
      </c>
      <c r="E19" s="2">
        <f t="array" ref="E19">_xll.RssIndexMarket("JGB:FDI", "現在値")</f>
        <v>7688.4</v>
      </c>
      <c r="F19" s="1" t="str">
        <f t="array" ref="F19">_xll.RssIndexMarket("JGB:FDI", "現在値ティック")</f>
        <v>↓</v>
      </c>
      <c r="G19" s="2">
        <f t="array" ref="G19">_xll.RssIndexMarket("JGB:FDI", "前日比")</f>
        <v>-31.45</v>
      </c>
      <c r="H19" s="2">
        <f t="array" ref="H19">_xll.RssIndexMarket("JGB:FDI", "前日比率")</f>
        <v>-0.41</v>
      </c>
      <c r="I19" s="2">
        <f t="array" ref="I19">_xll.RssIndexMarket("JGB:FDI", "前日終値")</f>
        <v>7719.85</v>
      </c>
      <c r="J19" s="1" t="str">
        <f t="array" ref="J19">_xll.RssIndexMarket("JGB:FDI", "前日日付")</f>
        <v>2026/02/26</v>
      </c>
      <c r="K19" s="2">
        <f t="array" ref="K19">_xll.RssIndexMarket("JGB:FDI", "始値")</f>
        <v>0</v>
      </c>
      <c r="L19" s="2">
        <f t="array" ref="L19">_xll.RssIndexMarket("JGB:FDI", "高値")</f>
        <v>0</v>
      </c>
      <c r="M19" s="2">
        <f t="array" ref="M19">_xll.RssIndexMarket("JGB:FDI", "安値")</f>
        <v>0</v>
      </c>
      <c r="N19" s="1" t="str">
        <f t="array" ref="N19">_xll.RssIndexMarket("JGB:FDI", "始値時刻")</f>
        <v xml:space="preserve">  :  </v>
      </c>
      <c r="O19" s="1" t="str">
        <f t="array" ref="O19">_xll.RssIndexMarket("JGB:FDI", "高値時刻")</f>
        <v xml:space="preserve">  :  </v>
      </c>
      <c r="P19" s="1" t="str">
        <f t="array" ref="P19">_xll.RssIndexMarket("JGB:FDI", "安値時刻")</f>
        <v xml:space="preserve">  :  </v>
      </c>
      <c r="Q19" s="2">
        <f t="array" ref="Q19">_xll.RssIndexMarket("JGB:FDI", "出来高")</f>
        <v>0</v>
      </c>
      <c r="R19" s="2">
        <f t="array" ref="R19">_xll.RssIndexMarket("JGB:FDI", "売買代金")</f>
        <v>0</v>
      </c>
      <c r="S19" s="2">
        <f t="array" ref="S19">_xll.RssIndexMarket("JGB:FDI", "前年最高値")</f>
        <v>0</v>
      </c>
      <c r="T19" s="2">
        <f t="array" ref="T19">_xll.RssIndexMarket("JGB:FDI", "前年最安値")</f>
        <v>0</v>
      </c>
      <c r="U19" s="2">
        <f t="array" ref="U19">_xll.RssIndexMarket("JGB:FDI", "前年終値")</f>
        <v>0</v>
      </c>
      <c r="V19" s="2">
        <f t="array" ref="V19">_xll.RssIndexMarket("JGB:FDI", "年初来高値")</f>
        <v>0</v>
      </c>
      <c r="W19" s="2">
        <f t="array" ref="W19">_xll.RssIndexMarket("JGB:FDI", "年初来安値")</f>
        <v>0</v>
      </c>
      <c r="X19" s="2">
        <f t="array" ref="X19">_xll.RssIndexMarket("JGB:FDI", "上場来高値")</f>
        <v>0</v>
      </c>
      <c r="Y19" s="2">
        <f t="array" ref="Y19">_xll.RssIndexMarket("JGB:FDI", "上場来安値")</f>
        <v>0</v>
      </c>
      <c r="Z19" s="1" t="str">
        <f t="array" ref="Z19">_xll.RssIndexMarket("JGB:FDI", "上場来高値日付")</f>
        <v/>
      </c>
      <c r="AA19" s="1" t="str">
        <f t="array" ref="AA19">_xll.RssIndexMarket("JGB:FDI", "上場来安値日付")</f>
        <v/>
      </c>
    </row>
    <row r="20" spans="1:27">
      <c r="A20" s="1" t="str">
        <f t="array" ref="A20">_xll.RssIndexMarket("DJIA", "指標コード")</f>
        <v>DJIA</v>
      </c>
      <c r="B20" s="1" t="str">
        <f t="array" ref="B20">_xll.RssIndexMarket("DJIA", "指標名称")</f>
        <v>NYダウ</v>
      </c>
      <c r="C20" s="1" t="str">
        <f t="array" ref="C20">_xll.RssIndexMarket("DJIA", "現在日付")</f>
        <v>2026/02/28</v>
      </c>
      <c r="D20" s="1" t="str">
        <f t="array" ref="D20">_xll.RssIndexMarket("DJIA", "更新時刻")</f>
        <v>06:44</v>
      </c>
      <c r="E20" s="2">
        <f t="array" ref="E20">_xll.RssIndexMarket("DJIA", "現在値")</f>
        <v>48977.919999999998</v>
      </c>
      <c r="F20" s="1" t="str">
        <f t="array" ref="F20">_xll.RssIndexMarket("DJIA", "現在値ティック")</f>
        <v>↑</v>
      </c>
      <c r="G20" s="2">
        <f t="array" ref="G20">_xll.RssIndexMarket("DJIA", "前日比")</f>
        <v>-521.28</v>
      </c>
      <c r="H20" s="2">
        <f t="array" ref="H20">_xll.RssIndexMarket("DJIA", "前日比率")</f>
        <v>-1.05</v>
      </c>
      <c r="I20" s="2">
        <f t="array" ref="I20">_xll.RssIndexMarket("DJIA", "前日終値")</f>
        <v>49499.199999999997</v>
      </c>
      <c r="J20" s="1" t="str">
        <f t="array" ref="J20">_xll.RssIndexMarket("DJIA", "前日日付")</f>
        <v>2026/02/26</v>
      </c>
      <c r="K20" s="2">
        <f t="array" ref="K20">_xll.RssIndexMarket("DJIA", "始値")</f>
        <v>49253.57</v>
      </c>
      <c r="L20" s="2">
        <f t="array" ref="L20">_xll.RssIndexMarket("DJIA", "高値")</f>
        <v>49253.57</v>
      </c>
      <c r="M20" s="2">
        <f t="array" ref="M20">_xll.RssIndexMarket("DJIA", "安値")</f>
        <v>48678.78</v>
      </c>
      <c r="N20" s="1" t="str">
        <f t="array" ref="N20">_xll.RssIndexMarket("DJIA", "始値時刻")</f>
        <v>-</v>
      </c>
      <c r="O20" s="1" t="str">
        <f t="array" ref="O20">_xll.RssIndexMarket("DJIA", "高値時刻")</f>
        <v>-</v>
      </c>
      <c r="P20" s="1" t="str">
        <f t="array" ref="P20">_xll.RssIndexMarket("DJIA", "安値時刻")</f>
        <v>-</v>
      </c>
      <c r="Q20" s="2" t="str">
        <f t="array" ref="Q20">_xll.RssIndexMarket("DJIA", "出来高")</f>
        <v>-</v>
      </c>
      <c r="R20" s="2" t="str">
        <f t="array" ref="R20">_xll.RssIndexMarket("DJIA", "売買代金")</f>
        <v>-</v>
      </c>
      <c r="S20" s="2">
        <f t="array" ref="S20">_xll.RssIndexMarket("DJIA", "前年最高値")</f>
        <v>48886.86</v>
      </c>
      <c r="T20" s="2">
        <f t="array" ref="T20">_xll.RssIndexMarket("DJIA", "前年最安値")</f>
        <v>36611.78</v>
      </c>
      <c r="U20" s="2">
        <f t="array" ref="U20">_xll.RssIndexMarket("DJIA", "前年終値")</f>
        <v>48063.29</v>
      </c>
      <c r="V20" s="2">
        <f t="array" ref="V20">_xll.RssIndexMarket("DJIA", "年初来高値")</f>
        <v>50512.79</v>
      </c>
      <c r="W20" s="2">
        <f t="array" ref="W20">_xll.RssIndexMarket("DJIA", "年初来安値")</f>
        <v>47853.04</v>
      </c>
      <c r="X20" s="2">
        <f t="array" ref="X20">_xll.RssIndexMarket("DJIA", "上場来高値")</f>
        <v>50512.79</v>
      </c>
      <c r="Y20" s="2">
        <f t="array" ref="Y20">_xll.RssIndexMarket("DJIA", "上場来安値")</f>
        <v>28.48</v>
      </c>
      <c r="Z20" s="1" t="str">
        <f t="array" ref="Z20">_xll.RssIndexMarket("DJIA", "上場来高値日付")</f>
        <v>2026/02/10</v>
      </c>
      <c r="AA20" s="1" t="str">
        <f t="array" ref="AA20">_xll.RssIndexMarket("DJIA", "上場来安値日付")</f>
        <v>1896/08/08</v>
      </c>
    </row>
    <row r="21" spans="1:27">
      <c r="A21" s="1" t="str">
        <f t="array" ref="A21">_xll.RssIndexMarket("NQ", "指標コード")</f>
        <v>NQ</v>
      </c>
      <c r="B21" s="1" t="str">
        <f t="array" ref="B21">_xll.RssIndexMarket("NQ", "指標名称")</f>
        <v>NASDAQ総合指数</v>
      </c>
      <c r="C21" s="1" t="str">
        <f t="array" ref="C21">_xll.RssIndexMarket("NQ", "現在日付")</f>
        <v>2026/02/28</v>
      </c>
      <c r="D21" s="1" t="str">
        <f t="array" ref="D21">_xll.RssIndexMarket("NQ", "更新時刻")</f>
        <v>07:15</v>
      </c>
      <c r="E21" s="2">
        <f t="array" ref="E21">_xll.RssIndexMarket("NQ", "現在値")</f>
        <v>22668.212</v>
      </c>
      <c r="F21" s="1" t="str">
        <f t="array" ref="F21">_xll.RssIndexMarket("NQ", "現在値ティック")</f>
        <v>↑</v>
      </c>
      <c r="G21" s="2">
        <f t="array" ref="G21">_xll.RssIndexMarket("NQ", "前日比")</f>
        <v>-210.17099999999999</v>
      </c>
      <c r="H21" s="2">
        <f t="array" ref="H21">_xll.RssIndexMarket("NQ", "前日比率")</f>
        <v>-0.91</v>
      </c>
      <c r="I21" s="2">
        <f t="array" ref="I21">_xll.RssIndexMarket("NQ", "前日終値")</f>
        <v>22878.383000000002</v>
      </c>
      <c r="J21" s="1" t="str">
        <f t="array" ref="J21">_xll.RssIndexMarket("NQ", "前日日付")</f>
        <v>2026/02/26</v>
      </c>
      <c r="K21" s="2">
        <f t="array" ref="K21">_xll.RssIndexMarket("NQ", "始値")</f>
        <v>22615.429</v>
      </c>
      <c r="L21" s="2">
        <f t="array" ref="L21">_xll.RssIndexMarket("NQ", "高値")</f>
        <v>22735.784</v>
      </c>
      <c r="M21" s="2">
        <f t="array" ref="M21">_xll.RssIndexMarket("NQ", "安値")</f>
        <v>22538.3</v>
      </c>
      <c r="N21" s="1" t="str">
        <f t="array" ref="N21">_xll.RssIndexMarket("NQ", "始値時刻")</f>
        <v>-</v>
      </c>
      <c r="O21" s="1" t="str">
        <f t="array" ref="O21">_xll.RssIndexMarket("NQ", "高値時刻")</f>
        <v>-</v>
      </c>
      <c r="P21" s="1" t="str">
        <f t="array" ref="P21">_xll.RssIndexMarket("NQ", "安値時刻")</f>
        <v>-</v>
      </c>
      <c r="Q21" s="2" t="str">
        <f t="array" ref="Q21">_xll.RssIndexMarket("NQ", "出来高")</f>
        <v>-</v>
      </c>
      <c r="R21" s="2" t="str">
        <f t="array" ref="R21">_xll.RssIndexMarket("NQ", "売買代金")</f>
        <v>-</v>
      </c>
      <c r="S21" s="2">
        <f t="array" ref="S21">_xll.RssIndexMarket("NQ", "前年最高値")</f>
        <v>24019.992999999999</v>
      </c>
      <c r="T21" s="2">
        <f t="array" ref="T21">_xll.RssIndexMarket("NQ", "前年最安値")</f>
        <v>14784.031000000001</v>
      </c>
      <c r="U21" s="2">
        <f t="array" ref="U21">_xll.RssIndexMarket("NQ", "前年終値")</f>
        <v>23241.991000000002</v>
      </c>
      <c r="V21" s="2">
        <f t="array" ref="V21">_xll.RssIndexMarket("NQ", "年初来高値")</f>
        <v>23988.264999999999</v>
      </c>
      <c r="W21" s="2">
        <f t="array" ref="W21">_xll.RssIndexMarket("NQ", "年初来安値")</f>
        <v>22256.76</v>
      </c>
      <c r="X21" s="2">
        <f t="array" ref="X21">_xll.RssIndexMarket("NQ", "上場来高値")</f>
        <v>24019.992999999999</v>
      </c>
      <c r="Y21" s="2">
        <f t="array" ref="Y21">_xll.RssIndexMarket("NQ", "上場来安値")</f>
        <v>276.60000000000002</v>
      </c>
      <c r="Z21" s="1" t="str">
        <f t="array" ref="Z21">_xll.RssIndexMarket("NQ", "上場来高値日付")</f>
        <v>2025/10/29</v>
      </c>
      <c r="AA21" s="1" t="str">
        <f t="array" ref="AA21">_xll.RssIndexMarket("NQ", "上場来安値日付")</f>
        <v>1985/10/01</v>
      </c>
    </row>
    <row r="22" spans="1:27">
      <c r="A22" s="1" t="str">
        <f t="array" ref="A22">_xll.RssIndexMarket("NQ100", "指標コード")</f>
        <v>NQ100</v>
      </c>
      <c r="B22" s="1" t="str">
        <f t="array" ref="B22">_xll.RssIndexMarket("NQ100", "指標名称")</f>
        <v>NASDAQ100</v>
      </c>
      <c r="C22" s="1" t="str">
        <f t="array" ref="C22">_xll.RssIndexMarket("NQ100", "現在日付")</f>
        <v>2026/02/28</v>
      </c>
      <c r="D22" s="1" t="str">
        <f t="array" ref="D22">_xll.RssIndexMarket("NQ100", "更新時刻")</f>
        <v>07:15</v>
      </c>
      <c r="E22" s="2">
        <f t="array" ref="E22">_xll.RssIndexMarket("NQ100", "現在値")</f>
        <v>24960.035</v>
      </c>
      <c r="F22" s="1" t="str">
        <f t="array" ref="F22">_xll.RssIndexMarket("NQ100", "現在値ティック")</f>
        <v>↑</v>
      </c>
      <c r="G22" s="2">
        <f t="array" ref="G22">_xll.RssIndexMarket("NQ100", "前日比")</f>
        <v>-74.334999999999994</v>
      </c>
      <c r="H22" s="2">
        <f t="array" ref="H22">_xll.RssIndexMarket("NQ100", "前日比率")</f>
        <v>-0.28999999999999998</v>
      </c>
      <c r="I22" s="2">
        <f t="array" ref="I22">_xll.RssIndexMarket("NQ100", "前日終値")</f>
        <v>25034.370999999999</v>
      </c>
      <c r="J22" s="1" t="str">
        <f t="array" ref="J22">_xll.RssIndexMarket("NQ100", "前日日付")</f>
        <v>2026/02/26</v>
      </c>
      <c r="K22" s="2">
        <f t="array" ref="K22">_xll.RssIndexMarket("NQ100", "始値")</f>
        <v>24808</v>
      </c>
      <c r="L22" s="2">
        <f t="array" ref="L22">_xll.RssIndexMarket("NQ100", "高値")</f>
        <v>24987.957999999999</v>
      </c>
      <c r="M22" s="2">
        <f t="array" ref="M22">_xll.RssIndexMarket("NQ100", "安値")</f>
        <v>24747.252</v>
      </c>
      <c r="N22" s="1" t="str">
        <f t="array" ref="N22">_xll.RssIndexMarket("NQ100", "始値時刻")</f>
        <v>-</v>
      </c>
      <c r="O22" s="1" t="str">
        <f t="array" ref="O22">_xll.RssIndexMarket("NQ100", "高値時刻")</f>
        <v>-</v>
      </c>
      <c r="P22" s="1" t="str">
        <f t="array" ref="P22">_xll.RssIndexMarket("NQ100", "安値時刻")</f>
        <v>-</v>
      </c>
      <c r="Q22" s="2" t="str">
        <f t="array" ref="Q22">_xll.RssIndexMarket("NQ100", "出来高")</f>
        <v>-</v>
      </c>
      <c r="R22" s="2" t="str">
        <f t="array" ref="R22">_xll.RssIndexMarket("NQ100", "売買代金")</f>
        <v>-</v>
      </c>
      <c r="S22" s="2">
        <f t="array" ref="S22">_xll.RssIndexMarket("NQ100", "前年最高値")</f>
        <v>26182.102999999999</v>
      </c>
      <c r="T22" s="2">
        <f t="array" ref="T22">_xll.RssIndexMarket("NQ100", "前年最安値")</f>
        <v>16542.199000000001</v>
      </c>
      <c r="U22" s="2">
        <f t="array" ref="U22">_xll.RssIndexMarket("NQ100", "前年終値")</f>
        <v>25249.847000000002</v>
      </c>
      <c r="V22" s="2">
        <f t="array" ref="V22">_xll.RssIndexMarket("NQ100", "年初来高値")</f>
        <v>26165.081999999999</v>
      </c>
      <c r="W22" s="2">
        <f t="array" ref="W22">_xll.RssIndexMarket("NQ100", "年初来安値")</f>
        <v>24387.469000000001</v>
      </c>
      <c r="X22" s="2">
        <f t="array" ref="X22">_xll.RssIndexMarket("NQ100", "上場来高値")</f>
        <v>26182.102999999999</v>
      </c>
      <c r="Y22" s="2">
        <f t="array" ref="Y22">_xll.RssIndexMarket("NQ100", "上場来安値")</f>
        <v>106.75</v>
      </c>
      <c r="Z22" s="1" t="str">
        <f t="array" ref="Z22">_xll.RssIndexMarket("NQ100", "上場来高値日付")</f>
        <v>2025/10/29</v>
      </c>
      <c r="AA22" s="1" t="str">
        <f t="array" ref="AA22">_xll.RssIndexMarket("NQ100", "上場来安値日付")</f>
        <v>1985/10/01</v>
      </c>
    </row>
    <row r="23" spans="1:27">
      <c r="A23" s="1" t="str">
        <f t="array" ref="A23">_xll.RssIndexMarket("SP100", "指標コード")</f>
        <v>SP100</v>
      </c>
      <c r="B23" s="1" t="str">
        <f t="array" ref="B23">_xll.RssIndexMarket("SP100", "指標名称")</f>
        <v>S&amp;P100指数</v>
      </c>
      <c r="C23" s="1" t="str">
        <f t="array" ref="C23">_xll.RssIndexMarket("SP100", "現在日付")</f>
        <v>2026/02/28</v>
      </c>
      <c r="D23" s="1" t="str">
        <f t="array" ref="D23">_xll.RssIndexMarket("SP100", "更新時刻")</f>
        <v>06:41</v>
      </c>
      <c r="E23" s="2">
        <f t="array" ref="E23">_xll.RssIndexMarket("SP100", "現在値")</f>
        <v>3347.38</v>
      </c>
      <c r="F23" s="1" t="str">
        <f t="array" ref="F23">_xll.RssIndexMarket("SP100", "現在値ティック")</f>
        <v>↑</v>
      </c>
      <c r="G23" s="2">
        <f t="array" ref="G23">_xll.RssIndexMarket("SP100", "前日比")</f>
        <v>-20.02</v>
      </c>
      <c r="H23" s="2">
        <f t="array" ref="H23">_xll.RssIndexMarket("SP100", "前日比率")</f>
        <v>-0.59</v>
      </c>
      <c r="I23" s="2">
        <f t="array" ref="I23">_xll.RssIndexMarket("SP100", "前日終値")</f>
        <v>3367.4</v>
      </c>
      <c r="J23" s="1" t="str">
        <f t="array" ref="J23">_xll.RssIndexMarket("SP100", "前日日付")</f>
        <v>2026/02/26</v>
      </c>
      <c r="K23" s="2">
        <f t="array" ref="K23">_xll.RssIndexMarket("SP100", "始値")</f>
        <v>3337.88</v>
      </c>
      <c r="L23" s="2">
        <f t="array" ref="L23">_xll.RssIndexMarket("SP100", "高値")</f>
        <v>3349.93</v>
      </c>
      <c r="M23" s="2">
        <f t="array" ref="M23">_xll.RssIndexMarket("SP100", "安値")</f>
        <v>3326.35</v>
      </c>
      <c r="N23" s="1" t="str">
        <f t="array" ref="N23">_xll.RssIndexMarket("SP100", "始値時刻")</f>
        <v>-</v>
      </c>
      <c r="O23" s="1" t="str">
        <f t="array" ref="O23">_xll.RssIndexMarket("SP100", "高値時刻")</f>
        <v>-</v>
      </c>
      <c r="P23" s="1" t="str">
        <f t="array" ref="P23">_xll.RssIndexMarket("SP100", "安値時刻")</f>
        <v>-</v>
      </c>
      <c r="Q23" s="2" t="str">
        <f t="array" ref="Q23">_xll.RssIndexMarket("SP100", "出来高")</f>
        <v>-</v>
      </c>
      <c r="R23" s="2" t="str">
        <f t="array" ref="R23">_xll.RssIndexMarket("SP100", "売買代金")</f>
        <v>-</v>
      </c>
      <c r="S23" s="2">
        <f t="array" ref="S23">_xll.RssIndexMarket("SP100", "前年最高値")</f>
        <v>3492.8</v>
      </c>
      <c r="T23" s="2">
        <f t="array" ref="T23">_xll.RssIndexMarket("SP100", "前年最安値")</f>
        <v>2326.61</v>
      </c>
      <c r="U23" s="2">
        <f t="array" ref="U23">_xll.RssIndexMarket("SP100", "前年終値")</f>
        <v>3432.34</v>
      </c>
      <c r="V23" s="2">
        <f t="array" ref="V23">_xll.RssIndexMarket("SP100", "年初来高値")</f>
        <v>3477.42</v>
      </c>
      <c r="W23" s="2">
        <f t="array" ref="W23">_xll.RssIndexMarket("SP100", "年初来安値")</f>
        <v>3307.05</v>
      </c>
      <c r="X23" s="2">
        <f t="array" ref="X23">_xll.RssIndexMarket("SP100", "上場来高値")</f>
        <v>3492.8</v>
      </c>
      <c r="Y23" s="2">
        <f t="array" ref="Y23">_xll.RssIndexMarket("SP100", "上場来安値")</f>
        <v>46.35</v>
      </c>
      <c r="Z23" s="1" t="str">
        <f t="array" ref="Z23">_xll.RssIndexMarket("SP100", "上場来高値日付")</f>
        <v>2025/10/29</v>
      </c>
      <c r="AA23" s="1" t="str">
        <f t="array" ref="AA23">_xll.RssIndexMarket("SP100", "上場来安値日付")</f>
        <v>1978/03/06</v>
      </c>
    </row>
    <row r="24" spans="1:27">
      <c r="A24" s="1" t="str">
        <f t="array" ref="A24">_xll.RssIndexMarket("SP500", "指標コード")</f>
        <v>SP500</v>
      </c>
      <c r="B24" s="1" t="str">
        <f t="array" ref="B24">_xll.RssIndexMarket("SP500", "指標名称")</f>
        <v>S&amp;P500指数</v>
      </c>
      <c r="C24" s="1" t="str">
        <f t="array" ref="C24">_xll.RssIndexMarket("SP500", "現在日付")</f>
        <v>2026/02/28</v>
      </c>
      <c r="D24" s="1" t="str">
        <f t="array" ref="D24">_xll.RssIndexMarket("SP500", "更新時刻")</f>
        <v>06:41</v>
      </c>
      <c r="E24" s="2">
        <f t="array" ref="E24">_xll.RssIndexMarket("SP500", "現在値")</f>
        <v>6878.88</v>
      </c>
      <c r="F24" s="1" t="str">
        <f t="array" ref="F24">_xll.RssIndexMarket("SP500", "現在値ティック")</f>
        <v>↑</v>
      </c>
      <c r="G24" s="2">
        <f t="array" ref="G24">_xll.RssIndexMarket("SP500", "前日比")</f>
        <v>-29.98</v>
      </c>
      <c r="H24" s="2">
        <f t="array" ref="H24">_xll.RssIndexMarket("SP500", "前日比率")</f>
        <v>-0.43</v>
      </c>
      <c r="I24" s="2">
        <f t="array" ref="I24">_xll.RssIndexMarket("SP500", "前日終値")</f>
        <v>6908.86</v>
      </c>
      <c r="J24" s="1" t="str">
        <f t="array" ref="J24">_xll.RssIndexMarket("SP500", "前日日付")</f>
        <v>2026/02/26</v>
      </c>
      <c r="K24" s="2">
        <f t="array" ref="K24">_xll.RssIndexMarket("SP500", "始値")</f>
        <v>6856.54</v>
      </c>
      <c r="L24" s="2">
        <f t="array" ref="L24">_xll.RssIndexMarket("SP500", "高値")</f>
        <v>6882.96</v>
      </c>
      <c r="M24" s="2">
        <f t="array" ref="M24">_xll.RssIndexMarket("SP500", "安値")</f>
        <v>6831.74</v>
      </c>
      <c r="N24" s="1" t="str">
        <f t="array" ref="N24">_xll.RssIndexMarket("SP500", "始値時刻")</f>
        <v>-</v>
      </c>
      <c r="O24" s="1" t="str">
        <f t="array" ref="O24">_xll.RssIndexMarket("SP500", "高値時刻")</f>
        <v>-</v>
      </c>
      <c r="P24" s="1" t="str">
        <f t="array" ref="P24">_xll.RssIndexMarket("SP500", "安値時刻")</f>
        <v>-</v>
      </c>
      <c r="Q24" s="2" t="str">
        <f t="array" ref="Q24">_xll.RssIndexMarket("SP500", "出来高")</f>
        <v>-</v>
      </c>
      <c r="R24" s="2" t="str">
        <f t="array" ref="R24">_xll.RssIndexMarket("SP500", "売買代金")</f>
        <v>-</v>
      </c>
      <c r="S24" s="2">
        <f t="array" ref="S24">_xll.RssIndexMarket("SP500", "前年最高値")</f>
        <v>6945.77</v>
      </c>
      <c r="T24" s="2">
        <f t="array" ref="T24">_xll.RssIndexMarket("SP500", "前年最安値")</f>
        <v>4835.04</v>
      </c>
      <c r="U24" s="2">
        <f t="array" ref="U24">_xll.RssIndexMarket("SP500", "前年終値")</f>
        <v>6845.5</v>
      </c>
      <c r="V24" s="2">
        <f t="array" ref="V24">_xll.RssIndexMarket("SP500", "年初来高値")</f>
        <v>7002.28</v>
      </c>
      <c r="W24" s="2">
        <f t="array" ref="W24">_xll.RssIndexMarket("SP500", "年初来安値")</f>
        <v>6775.5</v>
      </c>
      <c r="X24" s="2">
        <f t="array" ref="X24">_xll.RssIndexMarket("SP500", "上場来高値")</f>
        <v>7002.28</v>
      </c>
      <c r="Y24" s="2">
        <f t="array" ref="Y24">_xll.RssIndexMarket("SP500", "上場来安値")</f>
        <v>38.979999999999997</v>
      </c>
      <c r="Z24" s="1" t="str">
        <f t="array" ref="Z24">_xll.RssIndexMarket("SP500", "上場来高値日付")</f>
        <v>2026/01/28</v>
      </c>
      <c r="AA24" s="1" t="str">
        <f t="array" ref="AA24">_xll.RssIndexMarket("SP500", "上場来安値日付")</f>
        <v>1957/10/22</v>
      </c>
    </row>
    <row r="25" spans="1:27">
      <c r="A25" s="1" t="str">
        <f t="array" ref="A25">_xll.RssIndexMarket("VIX", "指標コード")</f>
        <v>VIX</v>
      </c>
      <c r="B25" s="1" t="str">
        <f t="array" ref="B25">_xll.RssIndexMarket("VIX", "指標名称")</f>
        <v>VIX指数</v>
      </c>
      <c r="C25" s="1" t="str">
        <f t="array" ref="C25">_xll.RssIndexMarket("VIX", "現在日付")</f>
        <v>2026/02/28</v>
      </c>
      <c r="D25" s="1" t="str">
        <f t="array" ref="D25">_xll.RssIndexMarket("VIX", "更新時刻")</f>
        <v>06:15</v>
      </c>
      <c r="E25" s="2">
        <f t="array" ref="E25">_xll.RssIndexMarket("VIX", "現在値")</f>
        <v>19.86</v>
      </c>
      <c r="F25" s="1" t="str">
        <f t="array" ref="F25">_xll.RssIndexMarket("VIX", "現在値ティック")</f>
        <v>↑</v>
      </c>
      <c r="G25" s="2">
        <f t="array" ref="G25">_xll.RssIndexMarket("VIX", "前日比")</f>
        <v>1.23</v>
      </c>
      <c r="H25" s="2">
        <f t="array" ref="H25">_xll.RssIndexMarket("VIX", "前日比率")</f>
        <v>6.6</v>
      </c>
      <c r="I25" s="2">
        <f t="array" ref="I25">_xll.RssIndexMarket("VIX", "前日終値")</f>
        <v>18.63</v>
      </c>
      <c r="J25" s="1" t="str">
        <f t="array" ref="J25">_xll.RssIndexMarket("VIX", "前日日付")</f>
        <v>2026/02/26</v>
      </c>
      <c r="K25" s="2">
        <f t="array" ref="K25">_xll.RssIndexMarket("VIX", "始値")</f>
        <v>19.28</v>
      </c>
      <c r="L25" s="2">
        <f t="array" ref="L25">_xll.RssIndexMarket("VIX", "高値")</f>
        <v>21.74</v>
      </c>
      <c r="M25" s="2">
        <f t="array" ref="M25">_xll.RssIndexMarket("VIX", "安値")</f>
        <v>18.77</v>
      </c>
      <c r="N25" s="1" t="str">
        <f t="array" ref="N25">_xll.RssIndexMarket("VIX", "始値時刻")</f>
        <v>-</v>
      </c>
      <c r="O25" s="1" t="str">
        <f t="array" ref="O25">_xll.RssIndexMarket("VIX", "高値時刻")</f>
        <v>-</v>
      </c>
      <c r="P25" s="1" t="str">
        <f t="array" ref="P25">_xll.RssIndexMarket("VIX", "安値時刻")</f>
        <v>-</v>
      </c>
      <c r="Q25" s="2" t="str">
        <f t="array" ref="Q25">_xll.RssIndexMarket("VIX", "出来高")</f>
        <v>-</v>
      </c>
      <c r="R25" s="2" t="str">
        <f t="array" ref="R25">_xll.RssIndexMarket("VIX", "売買代金")</f>
        <v>-</v>
      </c>
      <c r="S25" s="2">
        <f t="array" ref="S25">_xll.RssIndexMarket("VIX", "前年最高値")</f>
        <v>60.13</v>
      </c>
      <c r="T25" s="2">
        <f t="array" ref="T25">_xll.RssIndexMarket("VIX", "前年最安値")</f>
        <v>13.38</v>
      </c>
      <c r="U25" s="2">
        <f t="array" ref="U25">_xll.RssIndexMarket("VIX", "前年終値")</f>
        <v>14.95</v>
      </c>
      <c r="V25" s="2">
        <f t="array" ref="V25">_xll.RssIndexMarket("VIX", "年初来高値")</f>
        <v>23.1</v>
      </c>
      <c r="W25" s="2">
        <f t="array" ref="W25">_xll.RssIndexMarket("VIX", "年初来安値")</f>
        <v>14.43</v>
      </c>
      <c r="X25" s="2">
        <f t="array" ref="X25">_xll.RssIndexMarket("VIX", "上場来高値")</f>
        <v>89.53</v>
      </c>
      <c r="Y25" s="2">
        <f t="array" ref="Y25">_xll.RssIndexMarket("VIX", "上場来安値")</f>
        <v>8.56</v>
      </c>
      <c r="Z25" s="1" t="str">
        <f t="array" ref="Z25">_xll.RssIndexMarket("VIX", "上場来高値日付")</f>
        <v>2008/10/24</v>
      </c>
      <c r="AA25" s="1" t="str">
        <f t="array" ref="AA25">_xll.RssIndexMarket("VIX", "上場来安値日付")</f>
        <v>2017/11/24</v>
      </c>
    </row>
    <row r="26" spans="1:27">
      <c r="A26" s="1" t="str">
        <f t="array" ref="A26">_xll.RssIndexMarket("VVIX", "指標コード")</f>
        <v>VVIX</v>
      </c>
      <c r="B26" s="1" t="str">
        <f t="array" ref="B26">_xll.RssIndexMarket("VVIX", "指標名称")</f>
        <v>VVIX指数</v>
      </c>
      <c r="C26" s="1" t="str">
        <f t="array" ref="C26">_xll.RssIndexMarket("VVIX", "現在日付")</f>
        <v>2026/02/28</v>
      </c>
      <c r="D26" s="1" t="str">
        <f t="array" ref="D26">_xll.RssIndexMarket("VVIX", "更新時刻")</f>
        <v>06:15</v>
      </c>
      <c r="E26" s="2">
        <f t="array" ref="E26">_xll.RssIndexMarket("VVIX", "現在値")</f>
        <v>110.89</v>
      </c>
      <c r="F26" s="1" t="str">
        <f t="array" ref="F26">_xll.RssIndexMarket("VVIX", "現在値ティック")</f>
        <v>↑</v>
      </c>
      <c r="G26" s="2">
        <f t="array" ref="G26">_xll.RssIndexMarket("VVIX", "前日比")</f>
        <v>6.74</v>
      </c>
      <c r="H26" s="2">
        <f t="array" ref="H26">_xll.RssIndexMarket("VVIX", "前日比率")</f>
        <v>6.47</v>
      </c>
      <c r="I26" s="2">
        <f t="array" ref="I26">_xll.RssIndexMarket("VVIX", "前日終値")</f>
        <v>104.15</v>
      </c>
      <c r="J26" s="1" t="str">
        <f t="array" ref="J26">_xll.RssIndexMarket("VVIX", "前日日付")</f>
        <v>2026/02/26</v>
      </c>
      <c r="K26" s="2">
        <f t="array" ref="K26">_xll.RssIndexMarket("VVIX", "始値")</f>
        <v>110.96</v>
      </c>
      <c r="L26" s="2">
        <f t="array" ref="L26">_xll.RssIndexMarket("VVIX", "高値")</f>
        <v>112.2</v>
      </c>
      <c r="M26" s="2">
        <f t="array" ref="M26">_xll.RssIndexMarket("VVIX", "安値")</f>
        <v>107.43</v>
      </c>
      <c r="N26" s="1" t="str">
        <f t="array" ref="N26">_xll.RssIndexMarket("VVIX", "始値時刻")</f>
        <v>-</v>
      </c>
      <c r="O26" s="1" t="str">
        <f t="array" ref="O26">_xll.RssIndexMarket("VVIX", "高値時刻")</f>
        <v>-</v>
      </c>
      <c r="P26" s="1" t="str">
        <f t="array" ref="P26">_xll.RssIndexMarket("VVIX", "安値時刻")</f>
        <v>-</v>
      </c>
      <c r="Q26" s="2" t="str">
        <f t="array" ref="Q26">_xll.RssIndexMarket("VVIX", "出来高")</f>
        <v>-</v>
      </c>
      <c r="R26" s="2" t="str">
        <f t="array" ref="R26">_xll.RssIndexMarket("VVIX", "売買代金")</f>
        <v>-</v>
      </c>
      <c r="S26" s="2">
        <f t="array" ref="S26">_xll.RssIndexMarket("VVIX", "前年最高値")</f>
        <v>189.03</v>
      </c>
      <c r="T26" s="2">
        <f t="array" ref="T26">_xll.RssIndexMarket("VVIX", "前年最安値")</f>
        <v>81.72</v>
      </c>
      <c r="U26" s="2">
        <f t="array" ref="U26">_xll.RssIndexMarket("VVIX", "前年終値")</f>
        <v>92.67</v>
      </c>
      <c r="V26" s="2">
        <f t="array" ref="V26">_xll.RssIndexMarket("VVIX", "年初来高値")</f>
        <v>120.21</v>
      </c>
      <c r="W26" s="2">
        <f t="array" ref="W26">_xll.RssIndexMarket("VVIX", "年初来安値")</f>
        <v>86.7</v>
      </c>
      <c r="X26" s="2">
        <f t="array" ref="X26">_xll.RssIndexMarket("VVIX", "上場来高値")</f>
        <v>989.19</v>
      </c>
      <c r="Y26" s="2">
        <f t="array" ref="Y26">_xll.RssIndexMarket("VVIX", "上場来安値")</f>
        <v>14.69</v>
      </c>
      <c r="Z26" s="1" t="str">
        <f t="array" ref="Z26">_xll.RssIndexMarket("VVIX", "上場来高値日付")</f>
        <v>2013/10/30</v>
      </c>
      <c r="AA26" s="1" t="str">
        <f t="array" ref="AA26">_xll.RssIndexMarket("VVIX", "上場来安値日付")</f>
        <v>2013/10/30</v>
      </c>
    </row>
    <row r="27" spans="1:27">
      <c r="A27" s="1" t="str">
        <f t="array" ref="A27">_xll.RssIndexMarket("SIXB", "指標コード")</f>
        <v>SIXB</v>
      </c>
      <c r="B27" s="1" t="str">
        <f t="array" ref="B27">_xll.RssIndexMarket("SIXB", "指標名称")</f>
        <v>S&amp;P素材セレクト・セクター指数</v>
      </c>
      <c r="C27" s="1" t="str">
        <f t="array" ref="C27">_xll.RssIndexMarket("SIXB", "現在日付")</f>
        <v>2026/02/28</v>
      </c>
      <c r="D27" s="1" t="str">
        <f t="array" ref="D27">_xll.RssIndexMarket("SIXB", "更新時刻")</f>
        <v>06:44</v>
      </c>
      <c r="E27" s="2">
        <f t="array" ref="E27">_xll.RssIndexMarket("SIXB", "現在値")</f>
        <v>1133.51</v>
      </c>
      <c r="F27" s="1" t="str">
        <f t="array" ref="F27">_xll.RssIndexMarket("SIXB", "現在値ティック")</f>
        <v>↑</v>
      </c>
      <c r="G27" s="2">
        <f t="array" ref="G27">_xll.RssIndexMarket("SIXB", "前日比")</f>
        <v>8.4700000000000006</v>
      </c>
      <c r="H27" s="2">
        <f t="array" ref="H27">_xll.RssIndexMarket("SIXB", "前日比率")</f>
        <v>0.75</v>
      </c>
      <c r="I27" s="2">
        <f t="array" ref="I27">_xll.RssIndexMarket("SIXB", "前日終値")</f>
        <v>1125.04</v>
      </c>
      <c r="J27" s="1" t="str">
        <f t="array" ref="J27">_xll.RssIndexMarket("SIXB", "前日日付")</f>
        <v>2026/02/26</v>
      </c>
      <c r="K27" s="2">
        <f t="array" ref="K27">_xll.RssIndexMarket("SIXB", "始値")</f>
        <v>1123.5999999999999</v>
      </c>
      <c r="L27" s="2">
        <f t="array" ref="L27">_xll.RssIndexMarket("SIXB", "高値")</f>
        <v>1134.97</v>
      </c>
      <c r="M27" s="2">
        <f t="array" ref="M27">_xll.RssIndexMarket("SIXB", "安値")</f>
        <v>1117.8900000000001</v>
      </c>
      <c r="N27" s="1" t="str">
        <f t="array" ref="N27">_xll.RssIndexMarket("SIXB", "始値時刻")</f>
        <v>-</v>
      </c>
      <c r="O27" s="1" t="str">
        <f t="array" ref="O27">_xll.RssIndexMarket("SIXB", "高値時刻")</f>
        <v>-</v>
      </c>
      <c r="P27" s="1" t="str">
        <f t="array" ref="P27">_xll.RssIndexMarket("SIXB", "安値時刻")</f>
        <v>-</v>
      </c>
      <c r="Q27" s="2" t="str">
        <f t="array" ref="Q27">_xll.RssIndexMarket("SIXB", "出来高")</f>
        <v>-</v>
      </c>
      <c r="R27" s="2" t="str">
        <f t="array" ref="R27">_xll.RssIndexMarket("SIXB", "売買代金")</f>
        <v>-</v>
      </c>
      <c r="S27" s="2">
        <f t="array" ref="S27">_xll.RssIndexMarket("SIXB", "前年最高値")</f>
        <v>986.91</v>
      </c>
      <c r="T27" s="2">
        <f t="array" ref="T27">_xll.RssIndexMarket("SIXB", "前年最安値")</f>
        <v>777.34</v>
      </c>
      <c r="U27" s="2">
        <f t="array" ref="U27">_xll.RssIndexMarket("SIXB", "前年終値")</f>
        <v>963.76</v>
      </c>
      <c r="V27" s="2">
        <f t="array" ref="V27">_xll.RssIndexMarket("SIXB", "年初来高値")</f>
        <v>1149.8800000000001</v>
      </c>
      <c r="W27" s="2">
        <f t="array" ref="W27">_xll.RssIndexMarket("SIXB", "年初来安値")</f>
        <v>962.36</v>
      </c>
      <c r="X27" s="2">
        <f t="array" ref="X27">_xll.RssIndexMarket("SIXB", "上場来高値")</f>
        <v>1149.8800000000001</v>
      </c>
      <c r="Y27" s="2">
        <f t="array" ref="Y27">_xll.RssIndexMarket("SIXB", "上場来安値")</f>
        <v>404.71</v>
      </c>
      <c r="Z27" s="1" t="str">
        <f t="array" ref="Z27">_xll.RssIndexMarket("SIXB", "上場来高値日付")</f>
        <v>2026/02/12</v>
      </c>
      <c r="AA27" s="1" t="str">
        <f t="array" ref="AA27">_xll.RssIndexMarket("SIXB", "上場来安値日付")</f>
        <v>2020/03/18</v>
      </c>
    </row>
    <row r="28" spans="1:27">
      <c r="A28" s="1" t="str">
        <f t="array" ref="A28">_xll.RssIndexMarket("SIXE", "指標コード")</f>
        <v>SIXE</v>
      </c>
      <c r="B28" s="1" t="str">
        <f t="array" ref="B28">_xll.RssIndexMarket("SIXE", "指標名称")</f>
        <v>S&amp;Pエナジー・セレクト・セクター指数</v>
      </c>
      <c r="C28" s="1" t="str">
        <f t="array" ref="C28">_xll.RssIndexMarket("SIXE", "現在日付")</f>
        <v>2026/02/28</v>
      </c>
      <c r="D28" s="1" t="str">
        <f t="array" ref="D28">_xll.RssIndexMarket("SIXE", "更新時刻")</f>
        <v>06:44</v>
      </c>
      <c r="E28" s="2">
        <f t="array" ref="E28">_xll.RssIndexMarket("SIXE", "現在値")</f>
        <v>1170.25</v>
      </c>
      <c r="F28" s="1" t="str">
        <f t="array" ref="F28">_xll.RssIndexMarket("SIXE", "現在値ティック")</f>
        <v>↑</v>
      </c>
      <c r="G28" s="2">
        <f t="array" ref="G28">_xll.RssIndexMarket("SIXE", "前日比")</f>
        <v>18.03</v>
      </c>
      <c r="H28" s="2">
        <f t="array" ref="H28">_xll.RssIndexMarket("SIXE", "前日比率")</f>
        <v>1.56</v>
      </c>
      <c r="I28" s="2">
        <f t="array" ref="I28">_xll.RssIndexMarket("SIXE", "前日終値")</f>
        <v>1152.22</v>
      </c>
      <c r="J28" s="1" t="str">
        <f t="array" ref="J28">_xll.RssIndexMarket("SIXE", "前日日付")</f>
        <v>2026/02/26</v>
      </c>
      <c r="K28" s="2">
        <f t="array" ref="K28">_xll.RssIndexMarket("SIXE", "始値")</f>
        <v>1159.78</v>
      </c>
      <c r="L28" s="2">
        <f t="array" ref="L28">_xll.RssIndexMarket("SIXE", "高値")</f>
        <v>1175.17</v>
      </c>
      <c r="M28" s="2">
        <f t="array" ref="M28">_xll.RssIndexMarket("SIXE", "安値")</f>
        <v>1150.1199999999999</v>
      </c>
      <c r="N28" s="1" t="str">
        <f t="array" ref="N28">_xll.RssIndexMarket("SIXE", "始値時刻")</f>
        <v>-</v>
      </c>
      <c r="O28" s="1" t="str">
        <f t="array" ref="O28">_xll.RssIndexMarket("SIXE", "高値時刻")</f>
        <v>-</v>
      </c>
      <c r="P28" s="1" t="str">
        <f t="array" ref="P28">_xll.RssIndexMarket("SIXE", "安値時刻")</f>
        <v>-</v>
      </c>
      <c r="Q28" s="2" t="str">
        <f t="array" ref="Q28">_xll.RssIndexMarket("SIXE", "出来高")</f>
        <v>-</v>
      </c>
      <c r="R28" s="2" t="str">
        <f t="array" ref="R28">_xll.RssIndexMarket("SIXE", "売買代金")</f>
        <v>-</v>
      </c>
      <c r="S28" s="2">
        <f t="array" ref="S28">_xll.RssIndexMarket("SIXE", "前年最高値")</f>
        <v>999.03</v>
      </c>
      <c r="T28" s="2">
        <f t="array" ref="T28">_xll.RssIndexMarket("SIXE", "前年最安値")</f>
        <v>785.66</v>
      </c>
      <c r="U28" s="2">
        <f t="array" ref="U28">_xll.RssIndexMarket("SIXE", "前年終値")</f>
        <v>942.14</v>
      </c>
      <c r="V28" s="2">
        <f t="array" ref="V28">_xll.RssIndexMarket("SIXE", "年初来高値")</f>
        <v>1170.3900000000001</v>
      </c>
      <c r="W28" s="2">
        <f t="array" ref="W28">_xll.RssIndexMarket("SIXE", "年初来安値")</f>
        <v>937.38</v>
      </c>
      <c r="X28" s="2">
        <f t="array" ref="X28">_xll.RssIndexMarket("SIXE", "上場来高値")</f>
        <v>1170.3900000000001</v>
      </c>
      <c r="Y28" s="2">
        <f t="array" ref="Y28">_xll.RssIndexMarket("SIXE", "上場来安値")</f>
        <v>234.42</v>
      </c>
      <c r="Z28" s="1" t="str">
        <f t="array" ref="Z28">_xll.RssIndexMarket("SIXE", "上場来高値日付")</f>
        <v>2026/02/23</v>
      </c>
      <c r="AA28" s="1" t="str">
        <f t="array" ref="AA28">_xll.RssIndexMarket("SIXE", "上場来安値日付")</f>
        <v>2020/03/18</v>
      </c>
    </row>
    <row r="29" spans="1:27">
      <c r="A29" s="1" t="str">
        <f t="array" ref="A29">_xll.RssIndexMarket("SIXM", "指標コード")</f>
        <v>SIXM</v>
      </c>
      <c r="B29" s="1" t="str">
        <f t="array" ref="B29">_xll.RssIndexMarket("SIXM", "指標名称")</f>
        <v>S&amp;P金融セレクト・セクター指数</v>
      </c>
      <c r="C29" s="1" t="str">
        <f t="array" ref="C29">_xll.RssIndexMarket("SIXM", "現在日付")</f>
        <v>2026/02/28</v>
      </c>
      <c r="D29" s="1" t="str">
        <f t="array" ref="D29">_xll.RssIndexMarket("SIXM", "更新時刻")</f>
        <v>06:44</v>
      </c>
      <c r="E29" s="2">
        <f t="array" ref="E29">_xll.RssIndexMarket("SIXM", "現在値")</f>
        <v>632.86</v>
      </c>
      <c r="F29" s="1" t="str">
        <f t="array" ref="F29">_xll.RssIndexMarket("SIXM", "現在値ティック")</f>
        <v>↓</v>
      </c>
      <c r="G29" s="2">
        <f t="array" ref="G29">_xll.RssIndexMarket("SIXM", "前日比")</f>
        <v>-12.83</v>
      </c>
      <c r="H29" s="2">
        <f t="array" ref="H29">_xll.RssIndexMarket("SIXM", "前日比率")</f>
        <v>-1.98</v>
      </c>
      <c r="I29" s="2">
        <f t="array" ref="I29">_xll.RssIndexMarket("SIXM", "前日終値")</f>
        <v>645.69000000000005</v>
      </c>
      <c r="J29" s="1" t="str">
        <f t="array" ref="J29">_xll.RssIndexMarket("SIXM", "前日日付")</f>
        <v>2026/02/26</v>
      </c>
      <c r="K29" s="2">
        <f t="array" ref="K29">_xll.RssIndexMarket("SIXM", "始値")</f>
        <v>641.99</v>
      </c>
      <c r="L29" s="2">
        <f t="array" ref="L29">_xll.RssIndexMarket("SIXM", "高値")</f>
        <v>641.99</v>
      </c>
      <c r="M29" s="2">
        <f t="array" ref="M29">_xll.RssIndexMarket("SIXM", "安値")</f>
        <v>627.49</v>
      </c>
      <c r="N29" s="1" t="str">
        <f t="array" ref="N29">_xll.RssIndexMarket("SIXM", "始値時刻")</f>
        <v>-</v>
      </c>
      <c r="O29" s="1" t="str">
        <f t="array" ref="O29">_xll.RssIndexMarket("SIXM", "高値時刻")</f>
        <v>-</v>
      </c>
      <c r="P29" s="1" t="str">
        <f t="array" ref="P29">_xll.RssIndexMarket("SIXM", "安値時刻")</f>
        <v>-</v>
      </c>
      <c r="Q29" s="2" t="str">
        <f t="array" ref="Q29">_xll.RssIndexMarket("SIXM", "出来高")</f>
        <v>-</v>
      </c>
      <c r="R29" s="2" t="str">
        <f t="array" ref="R29">_xll.RssIndexMarket("SIXM", "売買代金")</f>
        <v>-</v>
      </c>
      <c r="S29" s="2">
        <f t="array" ref="S29">_xll.RssIndexMarket("SIXM", "前年最高値")</f>
        <v>689.65</v>
      </c>
      <c r="T29" s="2">
        <f t="array" ref="T29">_xll.RssIndexMarket("SIXM", "前年最安値")</f>
        <v>520.61</v>
      </c>
      <c r="U29" s="2">
        <f t="array" ref="U29">_xll.RssIndexMarket("SIXM", "前年終値")</f>
        <v>675.71</v>
      </c>
      <c r="V29" s="2">
        <f t="array" ref="V29">_xll.RssIndexMarket("SIXM", "年初来高値")</f>
        <v>696.5</v>
      </c>
      <c r="W29" s="2">
        <f t="array" ref="W29">_xll.RssIndexMarket("SIXM", "年初来安値")</f>
        <v>618.35</v>
      </c>
      <c r="X29" s="2">
        <f t="array" ref="X29">_xll.RssIndexMarket("SIXM", "上場来高値")</f>
        <v>696.5</v>
      </c>
      <c r="Y29" s="2">
        <f t="array" ref="Y29">_xll.RssIndexMarket("SIXM", "上場来安値")</f>
        <v>215.95</v>
      </c>
      <c r="Z29" s="1" t="str">
        <f t="array" ref="Z29">_xll.RssIndexMarket("SIXM", "上場来高値日付")</f>
        <v>2026/01/05</v>
      </c>
      <c r="AA29" s="1" t="str">
        <f t="array" ref="AA29">_xll.RssIndexMarket("SIXM", "上場来安値日付")</f>
        <v>2020/03/23</v>
      </c>
    </row>
    <row r="30" spans="1:27">
      <c r="A30" s="1" t="str">
        <f t="array" ref="A30">_xll.RssIndexMarket("SIXRE", "指標コード")</f>
        <v>SIXRE</v>
      </c>
      <c r="B30" s="1" t="str">
        <f t="array" ref="B30">_xll.RssIndexMarket("SIXRE", "指標名称")</f>
        <v>S&amp;P不動産セレクト・セクター指数</v>
      </c>
      <c r="C30" s="1" t="str">
        <f t="array" ref="C30">_xll.RssIndexMarket("SIXRE", "現在日付")</f>
        <v>2026/02/28</v>
      </c>
      <c r="D30" s="1" t="str">
        <f t="array" ref="D30">_xll.RssIndexMarket("SIXRE", "更新時刻")</f>
        <v>06:44</v>
      </c>
      <c r="E30" s="2">
        <f t="array" ref="E30">_xll.RssIndexMarket("SIXRE", "現在値")</f>
        <v>215.36</v>
      </c>
      <c r="F30" s="1" t="str">
        <f t="array" ref="F30">_xll.RssIndexMarket("SIXRE", "現在値ティック")</f>
        <v>↓</v>
      </c>
      <c r="G30" s="2">
        <f t="array" ref="G30">_xll.RssIndexMarket("SIXRE", "前日比")</f>
        <v>0.94</v>
      </c>
      <c r="H30" s="2">
        <f t="array" ref="H30">_xll.RssIndexMarket("SIXRE", "前日比率")</f>
        <v>0.43</v>
      </c>
      <c r="I30" s="2">
        <f t="array" ref="I30">_xll.RssIndexMarket("SIXRE", "前日終値")</f>
        <v>214.42</v>
      </c>
      <c r="J30" s="1" t="str">
        <f t="array" ref="J30">_xll.RssIndexMarket("SIXRE", "前日日付")</f>
        <v>2026/02/26</v>
      </c>
      <c r="K30" s="2">
        <f t="array" ref="K30">_xll.RssIndexMarket("SIXRE", "始値")</f>
        <v>214.42</v>
      </c>
      <c r="L30" s="2">
        <f t="array" ref="L30">_xll.RssIndexMarket("SIXRE", "高値")</f>
        <v>216.31</v>
      </c>
      <c r="M30" s="2">
        <f t="array" ref="M30">_xll.RssIndexMarket("SIXRE", "安値")</f>
        <v>213.81</v>
      </c>
      <c r="N30" s="1" t="str">
        <f t="array" ref="N30">_xll.RssIndexMarket("SIXRE", "始値時刻")</f>
        <v>-</v>
      </c>
      <c r="O30" s="1" t="str">
        <f t="array" ref="O30">_xll.RssIndexMarket("SIXRE", "高値時刻")</f>
        <v>-</v>
      </c>
      <c r="P30" s="1" t="str">
        <f t="array" ref="P30">_xll.RssIndexMarket("SIXRE", "安値時刻")</f>
        <v>-</v>
      </c>
      <c r="Q30" s="2" t="str">
        <f t="array" ref="Q30">_xll.RssIndexMarket("SIXRE", "出来高")</f>
        <v>-</v>
      </c>
      <c r="R30" s="2" t="str">
        <f t="array" ref="R30">_xll.RssIndexMarket("SIXRE", "売買代金")</f>
        <v>-</v>
      </c>
      <c r="S30" s="2">
        <f t="array" ref="S30">_xll.RssIndexMarket("SIXRE", "前年最高値")</f>
        <v>215.29</v>
      </c>
      <c r="T30" s="2">
        <f t="array" ref="T30">_xll.RssIndexMarket("SIXRE", "前年最安値")</f>
        <v>175.74</v>
      </c>
      <c r="U30" s="2">
        <f t="array" ref="U30">_xll.RssIndexMarket("SIXRE", "前年終値")</f>
        <v>198.65</v>
      </c>
      <c r="V30" s="2">
        <f t="array" ref="V30">_xll.RssIndexMarket("SIXRE", "年初来高値")</f>
        <v>216.19</v>
      </c>
      <c r="W30" s="2">
        <f t="array" ref="W30">_xll.RssIndexMarket("SIXRE", "年初来安値")</f>
        <v>196.47</v>
      </c>
      <c r="X30" s="2">
        <f t="array" ref="X30">_xll.RssIndexMarket("SIXRE", "上場来高値")</f>
        <v>255.84</v>
      </c>
      <c r="Y30" s="2">
        <f t="array" ref="Y30">_xll.RssIndexMarket("SIXRE", "上場来安値")</f>
        <v>121.14</v>
      </c>
      <c r="Z30" s="1" t="str">
        <f t="array" ref="Z30">_xll.RssIndexMarket("SIXRE", "上場来高値日付")</f>
        <v>2021/12/31</v>
      </c>
      <c r="AA30" s="1" t="str">
        <f t="array" ref="AA30">_xll.RssIndexMarket("SIXRE", "上場来安値日付")</f>
        <v>2020/03/23</v>
      </c>
    </row>
    <row r="31" spans="1:27">
      <c r="A31" s="1" t="str">
        <f t="array" ref="A31">_xll.RssIndexMarket("SIXU", "指標コード")</f>
        <v>SIXU</v>
      </c>
      <c r="B31" s="1" t="str">
        <f t="array" ref="B31">_xll.RssIndexMarket("SIXU", "指標名称")</f>
        <v>S&amp;P公益事業セレクト・セクター指数</v>
      </c>
      <c r="C31" s="1" t="str">
        <f t="array" ref="C31">_xll.RssIndexMarket("SIXU", "現在日付")</f>
        <v>2026/02/28</v>
      </c>
      <c r="D31" s="1" t="str">
        <f t="array" ref="D31">_xll.RssIndexMarket("SIXU", "更新時刻")</f>
        <v>06:44</v>
      </c>
      <c r="E31" s="2">
        <f t="array" ref="E31">_xll.RssIndexMarket("SIXU", "現在値")</f>
        <v>962.82</v>
      </c>
      <c r="F31" s="1" t="str">
        <f t="array" ref="F31">_xll.RssIndexMarket("SIXU", "現在値ティック")</f>
        <v>↑</v>
      </c>
      <c r="G31" s="2">
        <f t="array" ref="G31">_xll.RssIndexMarket("SIXU", "前日比")</f>
        <v>10.210000000000001</v>
      </c>
      <c r="H31" s="2">
        <f t="array" ref="H31">_xll.RssIndexMarket("SIXU", "前日比率")</f>
        <v>1.07</v>
      </c>
      <c r="I31" s="2">
        <f t="array" ref="I31">_xll.RssIndexMarket("SIXU", "前日終値")</f>
        <v>952.61</v>
      </c>
      <c r="J31" s="1" t="str">
        <f t="array" ref="J31">_xll.RssIndexMarket("SIXU", "前日日付")</f>
        <v>2026/02/26</v>
      </c>
      <c r="K31" s="2">
        <f t="array" ref="K31">_xll.RssIndexMarket("SIXU", "始値")</f>
        <v>950.98</v>
      </c>
      <c r="L31" s="2">
        <f t="array" ref="L31">_xll.RssIndexMarket("SIXU", "高値")</f>
        <v>963.93</v>
      </c>
      <c r="M31" s="2">
        <f t="array" ref="M31">_xll.RssIndexMarket("SIXU", "安値")</f>
        <v>950.29</v>
      </c>
      <c r="N31" s="1" t="str">
        <f t="array" ref="N31">_xll.RssIndexMarket("SIXU", "始値時刻")</f>
        <v>-</v>
      </c>
      <c r="O31" s="1" t="str">
        <f t="array" ref="O31">_xll.RssIndexMarket("SIXU", "高値時刻")</f>
        <v>-</v>
      </c>
      <c r="P31" s="1" t="str">
        <f t="array" ref="P31">_xll.RssIndexMarket("SIXU", "安値時刻")</f>
        <v>-</v>
      </c>
      <c r="Q31" s="2" t="str">
        <f t="array" ref="Q31">_xll.RssIndexMarket("SIXU", "出来高")</f>
        <v>-</v>
      </c>
      <c r="R31" s="2" t="str">
        <f t="array" ref="R31">_xll.RssIndexMarket("SIXU", "売買代金")</f>
        <v>-</v>
      </c>
      <c r="S31" s="2">
        <f t="array" ref="S31">_xll.RssIndexMarket("SIXU", "前年最高値")</f>
        <v>949.09</v>
      </c>
      <c r="T31" s="2">
        <f t="array" ref="T31">_xll.RssIndexMarket("SIXU", "前年最安値")</f>
        <v>719.72</v>
      </c>
      <c r="U31" s="2">
        <f t="array" ref="U31">_xll.RssIndexMarket("SIXU", "前年終値")</f>
        <v>864.93</v>
      </c>
      <c r="V31" s="2">
        <f t="array" ref="V31">_xll.RssIndexMarket("SIXU", "年初来高値")</f>
        <v>957.81</v>
      </c>
      <c r="W31" s="2">
        <f t="array" ref="W31">_xll.RssIndexMarket("SIXU", "年初来安値")</f>
        <v>845.59</v>
      </c>
      <c r="X31" s="2">
        <f t="array" ref="X31">_xll.RssIndexMarket("SIXU", "上場来高値")</f>
        <v>957.81</v>
      </c>
      <c r="Y31" s="2">
        <f t="array" ref="Y31">_xll.RssIndexMarket("SIXU", "上場来安値")</f>
        <v>440.22</v>
      </c>
      <c r="Z31" s="1" t="str">
        <f t="array" ref="Z31">_xll.RssIndexMarket("SIXU", "上場来高値日付")</f>
        <v>2026/02/25</v>
      </c>
      <c r="AA31" s="1" t="str">
        <f t="array" ref="AA31">_xll.RssIndexMarket("SIXU", "上場来安値日付")</f>
        <v>2020/03/23</v>
      </c>
    </row>
    <row r="32" spans="1:27">
      <c r="A32" s="1" t="str">
        <f t="array" ref="A32">_xll.RssIndexMarket("SIXY", "指標コード")</f>
        <v>SIXY</v>
      </c>
      <c r="B32" s="1" t="str">
        <f t="array" ref="B32">_xll.RssIndexMarket("SIXY", "指標名称")</f>
        <v>S&amp;P一般消費財セレクト・セクター指数</v>
      </c>
      <c r="C32" s="1" t="str">
        <f t="array" ref="C32">_xll.RssIndexMarket("SIXY", "現在日付")</f>
        <v>2026/02/28</v>
      </c>
      <c r="D32" s="1" t="str">
        <f t="array" ref="D32">_xll.RssIndexMarket("SIXY", "更新時刻")</f>
        <v>06:44</v>
      </c>
      <c r="E32" s="2">
        <f t="array" ref="E32">_xll.RssIndexMarket("SIXY", "現在値")</f>
        <v>2361.33</v>
      </c>
      <c r="F32" s="1" t="str">
        <f t="array" ref="F32">_xll.RssIndexMarket("SIXY", "現在値ティック")</f>
        <v>↑</v>
      </c>
      <c r="G32" s="2">
        <f t="array" ref="G32">_xll.RssIndexMarket("SIXY", "前日比")</f>
        <v>-3.57</v>
      </c>
      <c r="H32" s="2">
        <f t="array" ref="H32">_xll.RssIndexMarket("SIXY", "前日比率")</f>
        <v>-0.15</v>
      </c>
      <c r="I32" s="2">
        <f t="array" ref="I32">_xll.RssIndexMarket("SIXY", "前日終値")</f>
        <v>2364.9</v>
      </c>
      <c r="J32" s="1" t="str">
        <f t="array" ref="J32">_xll.RssIndexMarket("SIXY", "前日日付")</f>
        <v>2026/02/26</v>
      </c>
      <c r="K32" s="2">
        <f t="array" ref="K32">_xll.RssIndexMarket("SIXY", "始値")</f>
        <v>2348.61</v>
      </c>
      <c r="L32" s="2">
        <f t="array" ref="L32">_xll.RssIndexMarket("SIXY", "高値")</f>
        <v>2362.15</v>
      </c>
      <c r="M32" s="2">
        <f t="array" ref="M32">_xll.RssIndexMarket("SIXY", "安値")</f>
        <v>2336.9499999999998</v>
      </c>
      <c r="N32" s="1" t="str">
        <f t="array" ref="N32">_xll.RssIndexMarket("SIXY", "始値時刻")</f>
        <v>-</v>
      </c>
      <c r="O32" s="1" t="str">
        <f t="array" ref="O32">_xll.RssIndexMarket("SIXY", "高値時刻")</f>
        <v>-</v>
      </c>
      <c r="P32" s="1" t="str">
        <f t="array" ref="P32">_xll.RssIndexMarket("SIXY", "安値時刻")</f>
        <v>-</v>
      </c>
      <c r="Q32" s="2" t="str">
        <f t="array" ref="Q32">_xll.RssIndexMarket("SIXY", "出来高")</f>
        <v>-</v>
      </c>
      <c r="R32" s="2" t="str">
        <f t="array" ref="R32">_xll.RssIndexMarket("SIXY", "売買代金")</f>
        <v>-</v>
      </c>
      <c r="S32" s="2">
        <f t="array" ref="S32">_xll.RssIndexMarket("SIXY", "前年最高値")</f>
        <v>2495.0700000000002</v>
      </c>
      <c r="T32" s="2">
        <f t="array" ref="T32">_xll.RssIndexMarket("SIXY", "前年最安値")</f>
        <v>1750.16</v>
      </c>
      <c r="U32" s="2">
        <f t="array" ref="U32">_xll.RssIndexMarket("SIXY", "前年終値")</f>
        <v>2414.15</v>
      </c>
      <c r="V32" s="2">
        <f t="array" ref="V32">_xll.RssIndexMarket("SIXY", "年初来高値")</f>
        <v>2527.64</v>
      </c>
      <c r="W32" s="2">
        <f t="array" ref="W32">_xll.RssIndexMarket("SIXY", "年初来安値")</f>
        <v>2300.8200000000002</v>
      </c>
      <c r="X32" s="2">
        <f t="array" ref="X32">_xll.RssIndexMarket("SIXY", "上場来高値")</f>
        <v>2527.64</v>
      </c>
      <c r="Y32" s="2">
        <f t="array" ref="Y32">_xll.RssIndexMarket("SIXY", "上場来安値")</f>
        <v>822.26</v>
      </c>
      <c r="Z32" s="1" t="str">
        <f t="array" ref="Z32">_xll.RssIndexMarket("SIXY", "上場来高値日付")</f>
        <v>2026/01/12</v>
      </c>
      <c r="AA32" s="1" t="str">
        <f t="array" ref="AA32">_xll.RssIndexMarket("SIXY", "上場来安値日付")</f>
        <v>2020/03/18</v>
      </c>
    </row>
    <row r="33" spans="1:27">
      <c r="A33" s="1" t="str">
        <f t="array" ref="A33">_xll.RssIndexMarket("SIXC", "指標コード")</f>
        <v>SIXC</v>
      </c>
      <c r="B33" s="1" t="str">
        <f t="array" ref="B33">_xll.RssIndexMarket("SIXC", "指標名称")</f>
        <v>S&amp;P通信サービスセレクト・セクター指数</v>
      </c>
      <c r="C33" s="1" t="str">
        <f t="array" ref="C33">_xll.RssIndexMarket("SIXC", "現在日付")</f>
        <v>2026/02/28</v>
      </c>
      <c r="D33" s="1" t="str">
        <f t="array" ref="D33">_xll.RssIndexMarket("SIXC", "更新時刻")</f>
        <v>06:44</v>
      </c>
      <c r="E33" s="2">
        <f t="array" ref="E33">_xll.RssIndexMarket("SIXC", "現在値")</f>
        <v>616.55999999999995</v>
      </c>
      <c r="F33" s="1" t="str">
        <f t="array" ref="F33">_xll.RssIndexMarket("SIXC", "現在値ティック")</f>
        <v>↓</v>
      </c>
      <c r="G33" s="2">
        <f t="array" ref="G33">_xll.RssIndexMarket("SIXC", "前日比")</f>
        <v>7</v>
      </c>
      <c r="H33" s="2">
        <f t="array" ref="H33">_xll.RssIndexMarket("SIXC", "前日比率")</f>
        <v>1.1399999999999999</v>
      </c>
      <c r="I33" s="2">
        <f t="array" ref="I33">_xll.RssIndexMarket("SIXC", "前日終値")</f>
        <v>609.55999999999995</v>
      </c>
      <c r="J33" s="1" t="str">
        <f t="array" ref="J33">_xll.RssIndexMarket("SIXC", "前日日付")</f>
        <v>2026/02/26</v>
      </c>
      <c r="K33" s="2">
        <f t="array" ref="K33">_xll.RssIndexMarket("SIXC", "始値")</f>
        <v>609.55999999999995</v>
      </c>
      <c r="L33" s="2">
        <f t="array" ref="L33">_xll.RssIndexMarket("SIXC", "高値")</f>
        <v>616.83000000000004</v>
      </c>
      <c r="M33" s="2">
        <f t="array" ref="M33">_xll.RssIndexMarket("SIXC", "安値")</f>
        <v>606.54</v>
      </c>
      <c r="N33" s="1" t="str">
        <f t="array" ref="N33">_xll.RssIndexMarket("SIXC", "始値時刻")</f>
        <v>-</v>
      </c>
      <c r="O33" s="1" t="str">
        <f t="array" ref="O33">_xll.RssIndexMarket("SIXC", "高値時刻")</f>
        <v>-</v>
      </c>
      <c r="P33" s="1" t="str">
        <f t="array" ref="P33">_xll.RssIndexMarket("SIXC", "安値時刻")</f>
        <v>-</v>
      </c>
      <c r="Q33" s="2" t="str">
        <f t="array" ref="Q33">_xll.RssIndexMarket("SIXC", "出来高")</f>
        <v>-</v>
      </c>
      <c r="R33" s="2" t="str">
        <f t="array" ref="R33">_xll.RssIndexMarket("SIXC", "売買代金")</f>
        <v>-</v>
      </c>
      <c r="S33" s="2">
        <f t="array" ref="S33">_xll.RssIndexMarket("SIXC", "前年最高値")</f>
        <v>623.83000000000004</v>
      </c>
      <c r="T33" s="2">
        <f t="array" ref="T33">_xll.RssIndexMarket("SIXC", "前年最安値")</f>
        <v>439.39</v>
      </c>
      <c r="U33" s="2">
        <f t="array" ref="U33">_xll.RssIndexMarket("SIXC", "前年終値")</f>
        <v>615.86</v>
      </c>
      <c r="V33" s="2">
        <f t="array" ref="V33">_xll.RssIndexMarket("SIXC", "年初来高値")</f>
        <v>628.79</v>
      </c>
      <c r="W33" s="2">
        <f t="array" ref="W33">_xll.RssIndexMarket("SIXC", "年初来安値")</f>
        <v>591.39</v>
      </c>
      <c r="X33" s="2">
        <f t="array" ref="X33">_xll.RssIndexMarket("SIXC", "上場来高値")</f>
        <v>628.79</v>
      </c>
      <c r="Y33" s="2">
        <f t="array" ref="Y33">_xll.RssIndexMarket("SIXC", "上場来安値")</f>
        <v>202.22</v>
      </c>
      <c r="Z33" s="1" t="str">
        <f t="array" ref="Z33">_xll.RssIndexMarket("SIXC", "上場来高値日付")</f>
        <v>2026/02/02</v>
      </c>
      <c r="AA33" s="1" t="str">
        <f t="array" ref="AA33">_xll.RssIndexMarket("SIXC", "上場来安値日付")</f>
        <v>2020/03/18</v>
      </c>
    </row>
    <row r="34" spans="1:27">
      <c r="A34" s="1" t="str">
        <f t="array" ref="A34">_xll.RssIndexMarket("SIXI", "指標コード")</f>
        <v>SIXI</v>
      </c>
      <c r="B34" s="1" t="str">
        <f t="array" ref="B34">_xll.RssIndexMarket("SIXI", "指標名称")</f>
        <v>S&amp;P資本財セレクト・セクター指数</v>
      </c>
      <c r="C34" s="1" t="str">
        <f t="array" ref="C34">_xll.RssIndexMarket("SIXI", "現在日付")</f>
        <v>2026/02/28</v>
      </c>
      <c r="D34" s="1" t="str">
        <f t="array" ref="D34">_xll.RssIndexMarket("SIXI", "更新時刻")</f>
        <v>06:44</v>
      </c>
      <c r="E34" s="2">
        <f t="array" ref="E34">_xll.RssIndexMarket("SIXI", "現在値")</f>
        <v>1784.64</v>
      </c>
      <c r="F34" s="1" t="str">
        <f t="array" ref="F34">_xll.RssIndexMarket("SIXI", "現在値ティック")</f>
        <v>↑</v>
      </c>
      <c r="G34" s="2">
        <f t="array" ref="G34">_xll.RssIndexMarket("SIXI", "前日比")</f>
        <v>4.1900000000000004</v>
      </c>
      <c r="H34" s="2">
        <f t="array" ref="H34">_xll.RssIndexMarket("SIXI", "前日比率")</f>
        <v>0.23</v>
      </c>
      <c r="I34" s="2">
        <f t="array" ref="I34">_xll.RssIndexMarket("SIXI", "前日終値")</f>
        <v>1780.45</v>
      </c>
      <c r="J34" s="1" t="str">
        <f t="array" ref="J34">_xll.RssIndexMarket("SIXI", "前日日付")</f>
        <v>2026/02/26</v>
      </c>
      <c r="K34" s="2">
        <f t="array" ref="K34">_xll.RssIndexMarket("SIXI", "始値")</f>
        <v>1774.18</v>
      </c>
      <c r="L34" s="2">
        <f t="array" ref="L34">_xll.RssIndexMarket("SIXI", "高値")</f>
        <v>1785.12</v>
      </c>
      <c r="M34" s="2">
        <f t="array" ref="M34">_xll.RssIndexMarket("SIXI", "安値")</f>
        <v>1763.56</v>
      </c>
      <c r="N34" s="1" t="str">
        <f t="array" ref="N34">_xll.RssIndexMarket("SIXI", "始値時刻")</f>
        <v>-</v>
      </c>
      <c r="O34" s="1" t="str">
        <f t="array" ref="O34">_xll.RssIndexMarket("SIXI", "高値時刻")</f>
        <v>-</v>
      </c>
      <c r="P34" s="1" t="str">
        <f t="array" ref="P34">_xll.RssIndexMarket("SIXI", "安値時刻")</f>
        <v>-</v>
      </c>
      <c r="Q34" s="2" t="str">
        <f t="array" ref="Q34">_xll.RssIndexMarket("SIXI", "出来高")</f>
        <v>-</v>
      </c>
      <c r="R34" s="2" t="str">
        <f t="array" ref="R34">_xll.RssIndexMarket("SIXI", "売買代金")</f>
        <v>-</v>
      </c>
      <c r="S34" s="2">
        <f t="array" ref="S34">_xll.RssIndexMarket("SIXI", "前年最高値")</f>
        <v>1594.11</v>
      </c>
      <c r="T34" s="2">
        <f t="array" ref="T34">_xll.RssIndexMarket("SIXI", "前年最安値")</f>
        <v>1137.08</v>
      </c>
      <c r="U34" s="2">
        <f t="array" ref="U34">_xll.RssIndexMarket("SIXI", "前年終値")</f>
        <v>1564.83</v>
      </c>
      <c r="V34" s="2">
        <f t="array" ref="V34">_xll.RssIndexMarket("SIXI", "年初来高値")</f>
        <v>1795.37</v>
      </c>
      <c r="W34" s="2">
        <f t="array" ref="W34">_xll.RssIndexMarket("SIXI", "年初来安値")</f>
        <v>1564.37</v>
      </c>
      <c r="X34" s="2">
        <f t="array" ref="X34">_xll.RssIndexMarket("SIXI", "上場来高値")</f>
        <v>1795.37</v>
      </c>
      <c r="Y34" s="2">
        <f t="array" ref="Y34">_xll.RssIndexMarket("SIXI", "上場来安値")</f>
        <v>481.15</v>
      </c>
      <c r="Z34" s="1" t="str">
        <f t="array" ref="Z34">_xll.RssIndexMarket("SIXI", "上場来高値日付")</f>
        <v>2026/02/20</v>
      </c>
      <c r="AA34" s="1" t="str">
        <f t="array" ref="AA34">_xll.RssIndexMarket("SIXI", "上場来安値日付")</f>
        <v>2020/03/23</v>
      </c>
    </row>
    <row r="35" spans="1:27">
      <c r="A35" s="1" t="str">
        <f t="array" ref="A35">_xll.RssIndexMarket("SIXR", "指標コード")</f>
        <v>SIXR</v>
      </c>
      <c r="B35" s="1" t="str">
        <f t="array" ref="B35">_xll.RssIndexMarket("SIXR", "指標名称")</f>
        <v>S&amp;P生活必需品セレクト・セクター指数</v>
      </c>
      <c r="C35" s="1" t="str">
        <f t="array" ref="C35">_xll.RssIndexMarket("SIXR", "現在日付")</f>
        <v>2026/02/28</v>
      </c>
      <c r="D35" s="1" t="str">
        <f t="array" ref="D35">_xll.RssIndexMarket("SIXR", "更新時刻")</f>
        <v>06:44</v>
      </c>
      <c r="E35" s="2">
        <f t="array" ref="E35">_xll.RssIndexMarket("SIXR", "現在値")</f>
        <v>908.55</v>
      </c>
      <c r="F35" s="1" t="str">
        <f t="array" ref="F35">_xll.RssIndexMarket("SIXR", "現在値ティック")</f>
        <v>↑</v>
      </c>
      <c r="G35" s="2">
        <f t="array" ref="G35">_xll.RssIndexMarket("SIXR", "前日比")</f>
        <v>11.45</v>
      </c>
      <c r="H35" s="2">
        <f t="array" ref="H35">_xll.RssIndexMarket("SIXR", "前日比率")</f>
        <v>1.27</v>
      </c>
      <c r="I35" s="2">
        <f t="array" ref="I35">_xll.RssIndexMarket("SIXR", "前日終値")</f>
        <v>897.1</v>
      </c>
      <c r="J35" s="1" t="str">
        <f t="array" ref="J35">_xll.RssIndexMarket("SIXR", "前日日付")</f>
        <v>2026/02/26</v>
      </c>
      <c r="K35" s="2">
        <f t="array" ref="K35">_xll.RssIndexMarket("SIXR", "始値")</f>
        <v>897.56</v>
      </c>
      <c r="L35" s="2">
        <f t="array" ref="L35">_xll.RssIndexMarket("SIXR", "高値")</f>
        <v>909.14</v>
      </c>
      <c r="M35" s="2">
        <f t="array" ref="M35">_xll.RssIndexMarket("SIXR", "安値")</f>
        <v>897.56</v>
      </c>
      <c r="N35" s="1" t="str">
        <f t="array" ref="N35">_xll.RssIndexMarket("SIXR", "始値時刻")</f>
        <v>-</v>
      </c>
      <c r="O35" s="1" t="str">
        <f t="array" ref="O35">_xll.RssIndexMarket("SIXR", "高値時刻")</f>
        <v>-</v>
      </c>
      <c r="P35" s="1" t="str">
        <f t="array" ref="P35">_xll.RssIndexMarket("SIXR", "安値時刻")</f>
        <v>-</v>
      </c>
      <c r="Q35" s="2" t="str">
        <f t="array" ref="Q35">_xll.RssIndexMarket("SIXR", "出来高")</f>
        <v>-</v>
      </c>
      <c r="R35" s="2" t="str">
        <f t="array" ref="R35">_xll.RssIndexMarket("SIXR", "売買代金")</f>
        <v>-</v>
      </c>
      <c r="S35" s="2">
        <f t="array" ref="S35">_xll.RssIndexMarket("SIXR", "前年最高値")</f>
        <v>850.92</v>
      </c>
      <c r="T35" s="2">
        <f t="array" ref="T35">_xll.RssIndexMarket("SIXR", "前年最安値")</f>
        <v>759.04</v>
      </c>
      <c r="U35" s="2">
        <f t="array" ref="U35">_xll.RssIndexMarket("SIXR", "前年終値")</f>
        <v>786.75</v>
      </c>
      <c r="V35" s="2">
        <f t="array" ref="V35">_xll.RssIndexMarket("SIXR", "年初来高値")</f>
        <v>909.62</v>
      </c>
      <c r="W35" s="2">
        <f t="array" ref="W35">_xll.RssIndexMarket("SIXR", "年初来安値")</f>
        <v>774.64</v>
      </c>
      <c r="X35" s="2">
        <f t="array" ref="X35">_xll.RssIndexMarket("SIXR", "上場来高値")</f>
        <v>909.62</v>
      </c>
      <c r="Y35" s="2">
        <f t="array" ref="Y35">_xll.RssIndexMarket("SIXR", "上場来安値")</f>
        <v>480.59</v>
      </c>
      <c r="Z35" s="1" t="str">
        <f t="array" ref="Z35">_xll.RssIndexMarket("SIXR", "上場来高値日付")</f>
        <v>2026/02/12</v>
      </c>
      <c r="AA35" s="1" t="str">
        <f t="array" ref="AA35">_xll.RssIndexMarket("SIXR", "上場来安値日付")</f>
        <v>2020/03/23</v>
      </c>
    </row>
    <row r="36" spans="1:27">
      <c r="A36" s="1" t="str">
        <f t="array" ref="A36">_xll.RssIndexMarket("SIXT", "指標コード")</f>
        <v>SIXT</v>
      </c>
      <c r="B36" s="1" t="str">
        <f t="array" ref="B36">_xll.RssIndexMarket("SIXT", "指標名称")</f>
        <v>S&amp;Pテクノロジー・セレクト・セクター指数</v>
      </c>
      <c r="C36" s="1" t="str">
        <f t="array" ref="C36">_xll.RssIndexMarket("SIXT", "現在日付")</f>
        <v>2026/02/28</v>
      </c>
      <c r="D36" s="1" t="str">
        <f t="array" ref="D36">_xll.RssIndexMarket("SIXT", "更新時刻")</f>
        <v>06:44</v>
      </c>
      <c r="E36" s="2">
        <f t="array" ref="E36">_xll.RssIndexMarket("SIXT", "現在値")</f>
        <v>2793.97</v>
      </c>
      <c r="F36" s="1" t="str">
        <f t="array" ref="F36">_xll.RssIndexMarket("SIXT", "現在値ティック")</f>
        <v>↑</v>
      </c>
      <c r="G36" s="2">
        <f t="array" ref="G36">_xll.RssIndexMarket("SIXT", "前日比")</f>
        <v>-44.91</v>
      </c>
      <c r="H36" s="2">
        <f t="array" ref="H36">_xll.RssIndexMarket("SIXT", "前日比率")</f>
        <v>-1.58</v>
      </c>
      <c r="I36" s="2">
        <f t="array" ref="I36">_xll.RssIndexMarket("SIXT", "前日終値")</f>
        <v>2838.88</v>
      </c>
      <c r="J36" s="1" t="str">
        <f t="array" ref="J36">_xll.RssIndexMarket("SIXT", "前日日付")</f>
        <v>2026/02/26</v>
      </c>
      <c r="K36" s="2">
        <f t="array" ref="K36">_xll.RssIndexMarket("SIXT", "始値")</f>
        <v>2794.51</v>
      </c>
      <c r="L36" s="2">
        <f t="array" ref="L36">_xll.RssIndexMarket("SIXT", "高値")</f>
        <v>2813.68</v>
      </c>
      <c r="M36" s="2">
        <f t="array" ref="M36">_xll.RssIndexMarket("SIXT", "安値")</f>
        <v>2777.62</v>
      </c>
      <c r="N36" s="1" t="str">
        <f t="array" ref="N36">_xll.RssIndexMarket("SIXT", "始値時刻")</f>
        <v>-</v>
      </c>
      <c r="O36" s="1" t="str">
        <f t="array" ref="O36">_xll.RssIndexMarket("SIXT", "高値時刻")</f>
        <v>-</v>
      </c>
      <c r="P36" s="1" t="str">
        <f t="array" ref="P36">_xll.RssIndexMarket("SIXT", "安値時刻")</f>
        <v>-</v>
      </c>
      <c r="Q36" s="2" t="str">
        <f t="array" ref="Q36">_xll.RssIndexMarket("SIXT", "出来高")</f>
        <v>-</v>
      </c>
      <c r="R36" s="2" t="str">
        <f t="array" ref="R36">_xll.RssIndexMarket("SIXT", "売買代金")</f>
        <v>-</v>
      </c>
      <c r="S36" s="2">
        <f t="array" ref="S36">_xll.RssIndexMarket("SIXT", "前年最高値")</f>
        <v>3081.96</v>
      </c>
      <c r="T36" s="2">
        <f t="array" ref="T36">_xll.RssIndexMarket("SIXT", "前年最安値")</f>
        <v>1737.59</v>
      </c>
      <c r="U36" s="2">
        <f t="array" ref="U36">_xll.RssIndexMarket("SIXT", "前年終値")</f>
        <v>2901.18</v>
      </c>
      <c r="V36" s="2">
        <f t="array" ref="V36">_xll.RssIndexMarket("SIXT", "年初来高値")</f>
        <v>3019.54</v>
      </c>
      <c r="W36" s="2">
        <f t="array" ref="W36">_xll.RssIndexMarket("SIXT", "年初来安値")</f>
        <v>2721.19</v>
      </c>
      <c r="X36" s="2">
        <f t="array" ref="X36">_xll.RssIndexMarket("SIXT", "上場来高値")</f>
        <v>3081.96</v>
      </c>
      <c r="Y36" s="2">
        <f t="array" ref="Y36">_xll.RssIndexMarket("SIXT", "上場来安値")</f>
        <v>665.86</v>
      </c>
      <c r="Z36" s="1" t="str">
        <f t="array" ref="Z36">_xll.RssIndexMarket("SIXT", "上場来高値日付")</f>
        <v>2025/10/29</v>
      </c>
      <c r="AA36" s="1" t="str">
        <f t="array" ref="AA36">_xll.RssIndexMarket("SIXT", "上場来安値日付")</f>
        <v>2019/02/01</v>
      </c>
    </row>
    <row r="37" spans="1:27">
      <c r="A37" s="1" t="str">
        <f t="array" ref="A37">_xll.RssIndexMarket("SIXV", "指標コード")</f>
        <v>SIXV</v>
      </c>
      <c r="B37" s="1" t="str">
        <f t="array" ref="B37">_xll.RssIndexMarket("SIXV", "指標名称")</f>
        <v>S&amp;Pヘルスケア・セレクト・セクター指数</v>
      </c>
      <c r="C37" s="1" t="str">
        <f t="array" ref="C37">_xll.RssIndexMarket("SIXV", "現在日付")</f>
        <v>2026/02/28</v>
      </c>
      <c r="D37" s="1" t="str">
        <f t="array" ref="D37">_xll.RssIndexMarket("SIXV", "更新時刻")</f>
        <v>06:44</v>
      </c>
      <c r="E37" s="2">
        <f t="array" ref="E37">_xll.RssIndexMarket("SIXV", "現在値")</f>
        <v>1616.5</v>
      </c>
      <c r="F37" s="1" t="str">
        <f t="array" ref="F37">_xll.RssIndexMarket("SIXV", "現在値ティック")</f>
        <v>↑</v>
      </c>
      <c r="G37" s="2">
        <f t="array" ref="G37">_xll.RssIndexMarket("SIXV", "前日比")</f>
        <v>28.14</v>
      </c>
      <c r="H37" s="2">
        <f t="array" ref="H37">_xll.RssIndexMarket("SIXV", "前日比率")</f>
        <v>1.77</v>
      </c>
      <c r="I37" s="2">
        <f t="array" ref="I37">_xll.RssIndexMarket("SIXV", "前日終値")</f>
        <v>1588.36</v>
      </c>
      <c r="J37" s="1" t="str">
        <f t="array" ref="J37">_xll.RssIndexMarket("SIXV", "前日日付")</f>
        <v>2026/02/26</v>
      </c>
      <c r="K37" s="2">
        <f t="array" ref="K37">_xll.RssIndexMarket("SIXV", "始値")</f>
        <v>1584.76</v>
      </c>
      <c r="L37" s="2">
        <f t="array" ref="L37">_xll.RssIndexMarket("SIXV", "高値")</f>
        <v>1616.68</v>
      </c>
      <c r="M37" s="2">
        <f t="array" ref="M37">_xll.RssIndexMarket("SIXV", "安値")</f>
        <v>1583.89</v>
      </c>
      <c r="N37" s="1" t="str">
        <f t="array" ref="N37">_xll.RssIndexMarket("SIXV", "始値時刻")</f>
        <v>-</v>
      </c>
      <c r="O37" s="1" t="str">
        <f t="array" ref="O37">_xll.RssIndexMarket("SIXV", "高値時刻")</f>
        <v>-</v>
      </c>
      <c r="P37" s="1" t="str">
        <f t="array" ref="P37">_xll.RssIndexMarket("SIXV", "安値時刻")</f>
        <v>-</v>
      </c>
      <c r="Q37" s="2" t="str">
        <f t="array" ref="Q37">_xll.RssIndexMarket("SIXV", "出来高")</f>
        <v>-</v>
      </c>
      <c r="R37" s="2" t="str">
        <f t="array" ref="R37">_xll.RssIndexMarket("SIXV", "売買代金")</f>
        <v>-</v>
      </c>
      <c r="S37" s="2">
        <f t="array" ref="S37">_xll.RssIndexMarket("SIXV", "前年最高値")</f>
        <v>1603.01</v>
      </c>
      <c r="T37" s="2">
        <f t="array" ref="T37">_xll.RssIndexMarket("SIXV", "前年最安値")</f>
        <v>1285.5</v>
      </c>
      <c r="U37" s="2">
        <f t="array" ref="U37">_xll.RssIndexMarket("SIXV", "前年終値")</f>
        <v>1565.86</v>
      </c>
      <c r="V37" s="2">
        <f t="array" ref="V37">_xll.RssIndexMarket("SIXV", "年初来高値")</f>
        <v>1623.62</v>
      </c>
      <c r="W37" s="2">
        <f t="array" ref="W37">_xll.RssIndexMarket("SIXV", "年初来安値")</f>
        <v>1547.45</v>
      </c>
      <c r="X37" s="2">
        <f t="array" ref="X37">_xll.RssIndexMarket("SIXV", "上場来高値")</f>
        <v>1623.62</v>
      </c>
      <c r="Y37" s="2">
        <f t="array" ref="Y37">_xll.RssIndexMarket("SIXV", "上場来安値")</f>
        <v>743.98</v>
      </c>
      <c r="Z37" s="1" t="str">
        <f t="array" ref="Z37">_xll.RssIndexMarket("SIXV", "上場来高値日付")</f>
        <v>2026/01/07</v>
      </c>
      <c r="AA37" s="1" t="str">
        <f t="array" ref="AA37">_xll.RssIndexMarket("SIXV", "上場来安値日付")</f>
        <v>2020/03/23</v>
      </c>
    </row>
    <row r="38" spans="1:27">
      <c r="A38" s="1" t="str">
        <f t="array" ref="A38">_xll.RssIndexMarket("SPESG", "指標コード")</f>
        <v>SPESG</v>
      </c>
      <c r="B38" s="1" t="str">
        <f t="array" ref="B38">_xll.RssIndexMarket("SPESG", "指標名称")</f>
        <v>S&amp;P500ESG指数</v>
      </c>
      <c r="C38" s="1" t="str">
        <f t="array" ref="C38">_xll.RssIndexMarket("SPESG", "現在日付")</f>
        <v>2026/02/28</v>
      </c>
      <c r="D38" s="1" t="str">
        <f t="array" ref="D38">_xll.RssIndexMarket("SPESG", "更新時刻")</f>
        <v>06:44</v>
      </c>
      <c r="E38" s="2">
        <f t="array" ref="E38">_xll.RssIndexMarket("SPESG", "現在値")</f>
        <v>610.04999999999995</v>
      </c>
      <c r="F38" s="1" t="str">
        <f t="array" ref="F38">_xll.RssIndexMarket("SPESG", "現在値ティック")</f>
        <v>↑</v>
      </c>
      <c r="G38" s="2">
        <f t="array" ref="G38">_xll.RssIndexMarket("SPESG", "前日比")</f>
        <v>-4.88</v>
      </c>
      <c r="H38" s="2">
        <f t="array" ref="H38">_xll.RssIndexMarket("SPESG", "前日比率")</f>
        <v>-0.79</v>
      </c>
      <c r="I38" s="2">
        <f t="array" ref="I38">_xll.RssIndexMarket("SPESG", "前日終値")</f>
        <v>614.92999999999995</v>
      </c>
      <c r="J38" s="1" t="str">
        <f t="array" ref="J38">_xll.RssIndexMarket("SPESG", "前日日付")</f>
        <v>2026/02/26</v>
      </c>
      <c r="K38" s="2">
        <f t="array" ref="K38">_xll.RssIndexMarket("SPESG", "始値")</f>
        <v>608.74</v>
      </c>
      <c r="L38" s="2">
        <f t="array" ref="L38">_xll.RssIndexMarket("SPESG", "高値")</f>
        <v>611.13</v>
      </c>
      <c r="M38" s="2">
        <f t="array" ref="M38">_xll.RssIndexMarket("SPESG", "安値")</f>
        <v>607.4</v>
      </c>
      <c r="N38" s="1" t="str">
        <f t="array" ref="N38">_xll.RssIndexMarket("SPESG", "始値時刻")</f>
        <v>-</v>
      </c>
      <c r="O38" s="1" t="str">
        <f t="array" ref="O38">_xll.RssIndexMarket("SPESG", "高値時刻")</f>
        <v>-</v>
      </c>
      <c r="P38" s="1" t="str">
        <f t="array" ref="P38">_xll.RssIndexMarket("SPESG", "安値時刻")</f>
        <v>-</v>
      </c>
      <c r="Q38" s="2" t="str">
        <f t="array" ref="Q38">_xll.RssIndexMarket("SPESG", "出来高")</f>
        <v>-</v>
      </c>
      <c r="R38" s="2" t="str">
        <f t="array" ref="R38">_xll.RssIndexMarket("SPESG", "売買代金")</f>
        <v>-</v>
      </c>
      <c r="S38" s="2">
        <f t="array" ref="S38">_xll.RssIndexMarket("SPESG", "前年最高値")</f>
        <v>613.37</v>
      </c>
      <c r="T38" s="2">
        <f t="array" ref="T38">_xll.RssIndexMarket("SPESG", "前年最安値")</f>
        <v>421.04</v>
      </c>
      <c r="U38" s="2">
        <f t="array" ref="U38">_xll.RssIndexMarket("SPESG", "前年終値")</f>
        <v>605.48</v>
      </c>
      <c r="V38" s="2">
        <f t="array" ref="V38">_xll.RssIndexMarket("SPESG", "年初来高値")</f>
        <v>623.17999999999995</v>
      </c>
      <c r="W38" s="2">
        <f t="array" ref="W38">_xll.RssIndexMarket("SPESG", "年初来安値")</f>
        <v>599.29999999999995</v>
      </c>
      <c r="X38" s="2">
        <f t="array" ref="X38">_xll.RssIndexMarket("SPESG", "上場来高値")</f>
        <v>623.17999999999995</v>
      </c>
      <c r="Y38" s="2">
        <f t="array" ref="Y38">_xll.RssIndexMarket("SPESG", "上場来安値")</f>
        <v>274.79000000000002</v>
      </c>
      <c r="Z38" s="1" t="str">
        <f t="array" ref="Z38">_xll.RssIndexMarket("SPESG", "上場来高値日付")</f>
        <v>2026/02/11</v>
      </c>
      <c r="AA38" s="1" t="str">
        <f t="array" ref="AA38">_xll.RssIndexMarket("SPESG", "上場来安値日付")</f>
        <v>2020/09/24</v>
      </c>
    </row>
    <row r="39" spans="1:27">
      <c r="A39" s="1" t="str">
        <f t="array" ref="A39">_xll.RssIndexMarket("INDS", "指標コード")</f>
        <v>INDS</v>
      </c>
      <c r="B39" s="1" t="str">
        <f t="array" ref="B39">_xll.RssIndexMarket("INDS", "指標名称")</f>
        <v>NASDAQ工業株指数</v>
      </c>
      <c r="C39" s="1" t="str">
        <f t="array" ref="C39">_xll.RssIndexMarket("INDS", "現在日付")</f>
        <v>2026/02/28</v>
      </c>
      <c r="D39" s="1" t="str">
        <f t="array" ref="D39">_xll.RssIndexMarket("INDS", "更新時刻")</f>
        <v>07:15</v>
      </c>
      <c r="E39" s="2">
        <f t="array" ref="E39">_xll.RssIndexMarket("INDS", "現在値")</f>
        <v>12498.81</v>
      </c>
      <c r="F39" s="1" t="str">
        <f t="array" ref="F39">_xll.RssIndexMarket("INDS", "現在値ティック")</f>
        <v>↑</v>
      </c>
      <c r="G39" s="2">
        <f t="array" ref="G39">_xll.RssIndexMarket("INDS", "前日比")</f>
        <v>112.19</v>
      </c>
      <c r="H39" s="2">
        <f t="array" ref="H39">_xll.RssIndexMarket("INDS", "前日比率")</f>
        <v>0.91</v>
      </c>
      <c r="I39" s="2">
        <f t="array" ref="I39">_xll.RssIndexMarket("INDS", "前日終値")</f>
        <v>12386.62</v>
      </c>
      <c r="J39" s="1" t="str">
        <f t="array" ref="J39">_xll.RssIndexMarket("INDS", "前日日付")</f>
        <v>2026/02/26</v>
      </c>
      <c r="K39" s="2">
        <f t="array" ref="K39">_xll.RssIndexMarket("INDS", "始値")</f>
        <v>12386.15</v>
      </c>
      <c r="L39" s="2">
        <f t="array" ref="L39">_xll.RssIndexMarket("INDS", "高値")</f>
        <v>12507.36</v>
      </c>
      <c r="M39" s="2">
        <f t="array" ref="M39">_xll.RssIndexMarket("INDS", "安値")</f>
        <v>12341.04</v>
      </c>
      <c r="N39" s="1" t="str">
        <f t="array" ref="N39">_xll.RssIndexMarket("INDS", "始値時刻")</f>
        <v>-</v>
      </c>
      <c r="O39" s="1" t="str">
        <f t="array" ref="O39">_xll.RssIndexMarket("INDS", "高値時刻")</f>
        <v>-</v>
      </c>
      <c r="P39" s="1" t="str">
        <f t="array" ref="P39">_xll.RssIndexMarket("INDS", "安値時刻")</f>
        <v>-</v>
      </c>
      <c r="Q39" s="2" t="str">
        <f t="array" ref="Q39">_xll.RssIndexMarket("INDS", "出来高")</f>
        <v>-</v>
      </c>
      <c r="R39" s="2" t="str">
        <f t="array" ref="R39">_xll.RssIndexMarket("INDS", "売買代金")</f>
        <v>-</v>
      </c>
      <c r="S39" s="2">
        <f t="array" ref="S39">_xll.RssIndexMarket("INDS", "前年最高値")</f>
        <v>13160.46</v>
      </c>
      <c r="T39" s="2">
        <f t="array" ref="T39">_xll.RssIndexMarket("INDS", "前年最安値")</f>
        <v>9416.6200000000008</v>
      </c>
      <c r="U39" s="2">
        <f t="array" ref="U39">_xll.RssIndexMarket("INDS", "前年終値")</f>
        <v>12509.6</v>
      </c>
      <c r="V39" s="2">
        <f t="array" ref="V39">_xll.RssIndexMarket("INDS", "年初来高値")</f>
        <v>13059.43</v>
      </c>
      <c r="W39" s="2">
        <f t="array" ref="W39">_xll.RssIndexMarket("INDS", "年初来安値")</f>
        <v>12081.15</v>
      </c>
      <c r="X39" s="2">
        <f t="array" ref="X39">_xll.RssIndexMarket("INDS", "上場来高値")</f>
        <v>13160.46</v>
      </c>
      <c r="Y39" s="2">
        <f t="array" ref="Y39">_xll.RssIndexMarket("INDS", "上場来安値")</f>
        <v>277.5</v>
      </c>
      <c r="Z39" s="1" t="str">
        <f t="array" ref="Z39">_xll.RssIndexMarket("INDS", "上場来高値日付")</f>
        <v>2025/11/03</v>
      </c>
      <c r="AA39" s="1" t="str">
        <f t="array" ref="AA39">_xll.RssIndexMarket("INDS", "上場来安値日付")</f>
        <v>1985/10/01</v>
      </c>
    </row>
    <row r="40" spans="1:27">
      <c r="A40" s="1" t="str">
        <f t="array" ref="A40">_xll.RssIndexMarket("BANK", "指標コード")</f>
        <v>BANK</v>
      </c>
      <c r="B40" s="1" t="str">
        <f t="array" ref="B40">_xll.RssIndexMarket("BANK", "指標名称")</f>
        <v>NASDAQ銀行株指数</v>
      </c>
      <c r="C40" s="1" t="str">
        <f t="array" ref="C40">_xll.RssIndexMarket("BANK", "現在日付")</f>
        <v>2026/02/28</v>
      </c>
      <c r="D40" s="1" t="str">
        <f t="array" ref="D40">_xll.RssIndexMarket("BANK", "更新時刻")</f>
        <v>07:15</v>
      </c>
      <c r="E40" s="2">
        <f t="array" ref="E40">_xll.RssIndexMarket("BANK", "現在値")</f>
        <v>4654.1099999999997</v>
      </c>
      <c r="F40" s="1" t="str">
        <f t="array" ref="F40">_xll.RssIndexMarket("BANK", "現在値ティック")</f>
        <v>↓</v>
      </c>
      <c r="G40" s="2">
        <f t="array" ref="G40">_xll.RssIndexMarket("BANK", "前日比")</f>
        <v>-222.03</v>
      </c>
      <c r="H40" s="2">
        <f t="array" ref="H40">_xll.RssIndexMarket("BANK", "前日比率")</f>
        <v>-4.55</v>
      </c>
      <c r="I40" s="2">
        <f t="array" ref="I40">_xll.RssIndexMarket("BANK", "前日終値")</f>
        <v>4876.1400000000003</v>
      </c>
      <c r="J40" s="1" t="str">
        <f t="array" ref="J40">_xll.RssIndexMarket("BANK", "前日日付")</f>
        <v>2026/02/26</v>
      </c>
      <c r="K40" s="2">
        <f t="array" ref="K40">_xll.RssIndexMarket("BANK", "始値")</f>
        <v>4790.22</v>
      </c>
      <c r="L40" s="2">
        <f t="array" ref="L40">_xll.RssIndexMarket("BANK", "高値")</f>
        <v>4793</v>
      </c>
      <c r="M40" s="2">
        <f t="array" ref="M40">_xll.RssIndexMarket("BANK", "安値")</f>
        <v>4623.7</v>
      </c>
      <c r="N40" s="1" t="str">
        <f t="array" ref="N40">_xll.RssIndexMarket("BANK", "始値時刻")</f>
        <v>-</v>
      </c>
      <c r="O40" s="1" t="str">
        <f t="array" ref="O40">_xll.RssIndexMarket("BANK", "高値時刻")</f>
        <v>-</v>
      </c>
      <c r="P40" s="1" t="str">
        <f t="array" ref="P40">_xll.RssIndexMarket("BANK", "安値時刻")</f>
        <v>-</v>
      </c>
      <c r="Q40" s="2" t="str">
        <f t="array" ref="Q40">_xll.RssIndexMarket("BANK", "出来高")</f>
        <v>-</v>
      </c>
      <c r="R40" s="2" t="str">
        <f t="array" ref="R40">_xll.RssIndexMarket("BANK", "売買代金")</f>
        <v>-</v>
      </c>
      <c r="S40" s="2">
        <f t="array" ref="S40">_xll.RssIndexMarket("BANK", "前年最高値")</f>
        <v>4776.34</v>
      </c>
      <c r="T40" s="2">
        <f t="array" ref="T40">_xll.RssIndexMarket("BANK", "前年最安値")</f>
        <v>3497.18</v>
      </c>
      <c r="U40" s="2">
        <f t="array" ref="U40">_xll.RssIndexMarket("BANK", "前年終値")</f>
        <v>4592.9399999999996</v>
      </c>
      <c r="V40" s="2">
        <f t="array" ref="V40">_xll.RssIndexMarket("BANK", "年初来高値")</f>
        <v>5136.6899999999996</v>
      </c>
      <c r="W40" s="2">
        <f t="array" ref="W40">_xll.RssIndexMarket("BANK", "年初来安値")</f>
        <v>4555.29</v>
      </c>
      <c r="X40" s="2">
        <f t="array" ref="X40">_xll.RssIndexMarket("BANK", "上場来高値")</f>
        <v>5411.89</v>
      </c>
      <c r="Y40" s="2">
        <f t="array" ref="Y40">_xll.RssIndexMarket("BANK", "上場来安値")</f>
        <v>236.72</v>
      </c>
      <c r="Z40" s="1" t="str">
        <f t="array" ref="Z40">_xll.RssIndexMarket("BANK", "上場来高値日付")</f>
        <v>2022/01/13</v>
      </c>
      <c r="AA40" s="1" t="str">
        <f t="array" ref="AA40">_xll.RssIndexMarket("BANK", "上場来安値日付")</f>
        <v>1990/10/31</v>
      </c>
    </row>
    <row r="41" spans="1:27">
      <c r="A41" s="1" t="str">
        <f t="array" ref="A41">_xll.RssIndexMarket("INSR", "指標コード")</f>
        <v>INSR</v>
      </c>
      <c r="B41" s="1" t="str">
        <f t="array" ref="B41">_xll.RssIndexMarket("INSR", "指標名称")</f>
        <v>NASDAQ保険株指数</v>
      </c>
      <c r="C41" s="1" t="str">
        <f t="array" ref="C41">_xll.RssIndexMarket("INSR", "現在日付")</f>
        <v>2026/02/28</v>
      </c>
      <c r="D41" s="1" t="str">
        <f t="array" ref="D41">_xll.RssIndexMarket("INSR", "更新時刻")</f>
        <v>07:15</v>
      </c>
      <c r="E41" s="2">
        <f t="array" ref="E41">_xll.RssIndexMarket("INSR", "現在値")</f>
        <v>15108.86</v>
      </c>
      <c r="F41" s="1" t="str">
        <f t="array" ref="F41">_xll.RssIndexMarket("INSR", "現在値ティック")</f>
        <v>↑</v>
      </c>
      <c r="G41" s="2">
        <f t="array" ref="G41">_xll.RssIndexMarket("INSR", "前日比")</f>
        <v>3.34</v>
      </c>
      <c r="H41" s="2">
        <f t="array" ref="H41">_xll.RssIndexMarket("INSR", "前日比率")</f>
        <v>0.02</v>
      </c>
      <c r="I41" s="2">
        <f t="array" ref="I41">_xll.RssIndexMarket("INSR", "前日終値")</f>
        <v>15105.52</v>
      </c>
      <c r="J41" s="1" t="str">
        <f t="array" ref="J41">_xll.RssIndexMarket("INSR", "前日日付")</f>
        <v>2026/02/26</v>
      </c>
      <c r="K41" s="2">
        <f t="array" ref="K41">_xll.RssIndexMarket("INSR", "始値")</f>
        <v>15119.45</v>
      </c>
      <c r="L41" s="2">
        <f t="array" ref="L41">_xll.RssIndexMarket("INSR", "高値")</f>
        <v>15158.53</v>
      </c>
      <c r="M41" s="2">
        <f t="array" ref="M41">_xll.RssIndexMarket("INSR", "安値")</f>
        <v>14959.02</v>
      </c>
      <c r="N41" s="1" t="str">
        <f t="array" ref="N41">_xll.RssIndexMarket("INSR", "始値時刻")</f>
        <v>-</v>
      </c>
      <c r="O41" s="1" t="str">
        <f t="array" ref="O41">_xll.RssIndexMarket("INSR", "高値時刻")</f>
        <v>-</v>
      </c>
      <c r="P41" s="1" t="str">
        <f t="array" ref="P41">_xll.RssIndexMarket("INSR", "安値時刻")</f>
        <v>-</v>
      </c>
      <c r="Q41" s="2" t="str">
        <f t="array" ref="Q41">_xll.RssIndexMarket("INSR", "出来高")</f>
        <v>-</v>
      </c>
      <c r="R41" s="2" t="str">
        <f t="array" ref="R41">_xll.RssIndexMarket("INSR", "売買代金")</f>
        <v>-</v>
      </c>
      <c r="S41" s="2">
        <f t="array" ref="S41">_xll.RssIndexMarket("INSR", "前年最高値")</f>
        <v>16631.14</v>
      </c>
      <c r="T41" s="2">
        <f t="array" ref="T41">_xll.RssIndexMarket("INSR", "前年最安値")</f>
        <v>14335.59</v>
      </c>
      <c r="U41" s="2">
        <f t="array" ref="U41">_xll.RssIndexMarket("INSR", "前年終値")</f>
        <v>15556.18</v>
      </c>
      <c r="V41" s="2">
        <f t="array" ref="V41">_xll.RssIndexMarket("INSR", "年初来高値")</f>
        <v>15949.43</v>
      </c>
      <c r="W41" s="2">
        <f t="array" ref="W41">_xll.RssIndexMarket("INSR", "年初来安値")</f>
        <v>14555.35</v>
      </c>
      <c r="X41" s="2">
        <f t="array" ref="X41">_xll.RssIndexMarket("INSR", "上場来高値")</f>
        <v>16871.93</v>
      </c>
      <c r="Y41" s="2">
        <f t="array" ref="Y41">_xll.RssIndexMarket("INSR", "上場来安値")</f>
        <v>326</v>
      </c>
      <c r="Z41" s="1" t="str">
        <f t="array" ref="Z41">_xll.RssIndexMarket("INSR", "上場来高値日付")</f>
        <v>2024/11/29</v>
      </c>
      <c r="AA41" s="1" t="str">
        <f t="array" ref="AA41">_xll.RssIndexMarket("INSR", "上場来安値日付")</f>
        <v>1985/09/02</v>
      </c>
    </row>
    <row r="42" spans="1:27">
      <c r="A42" s="1" t="str">
        <f t="array" ref="A42">_xll.RssIndexMarket("OFIN", "指標コード")</f>
        <v>OFIN</v>
      </c>
      <c r="B42" s="1" t="str">
        <f t="array" ref="B42">_xll.RssIndexMarket("OFIN", "指標名称")</f>
        <v>NASDAQ不動産株指数</v>
      </c>
      <c r="C42" s="1" t="str">
        <f t="array" ref="C42">_xll.RssIndexMarket("OFIN", "現在日付")</f>
        <v>2026/02/28</v>
      </c>
      <c r="D42" s="1" t="str">
        <f t="array" ref="D42">_xll.RssIndexMarket("OFIN", "更新時刻")</f>
        <v>07:15</v>
      </c>
      <c r="E42" s="2">
        <f t="array" ref="E42">_xll.RssIndexMarket("OFIN", "現在値")</f>
        <v>12841.92</v>
      </c>
      <c r="F42" s="1" t="str">
        <f t="array" ref="F42">_xll.RssIndexMarket("OFIN", "現在値ティック")</f>
        <v>↓</v>
      </c>
      <c r="G42" s="2">
        <f t="array" ref="G42">_xll.RssIndexMarket("OFIN", "前日比")</f>
        <v>-183.82</v>
      </c>
      <c r="H42" s="2">
        <f t="array" ref="H42">_xll.RssIndexMarket("OFIN", "前日比率")</f>
        <v>-1.41</v>
      </c>
      <c r="I42" s="2">
        <f t="array" ref="I42">_xll.RssIndexMarket("OFIN", "前日終値")</f>
        <v>13025.74</v>
      </c>
      <c r="J42" s="1" t="str">
        <f t="array" ref="J42">_xll.RssIndexMarket("OFIN", "前日日付")</f>
        <v>2026/02/26</v>
      </c>
      <c r="K42" s="2">
        <f t="array" ref="K42">_xll.RssIndexMarket("OFIN", "始値")</f>
        <v>12879.9</v>
      </c>
      <c r="L42" s="2">
        <f t="array" ref="L42">_xll.RssIndexMarket("OFIN", "高値")</f>
        <v>12883.2</v>
      </c>
      <c r="M42" s="2">
        <f t="array" ref="M42">_xll.RssIndexMarket("OFIN", "安値")</f>
        <v>12755.29</v>
      </c>
      <c r="N42" s="1" t="str">
        <f t="array" ref="N42">_xll.RssIndexMarket("OFIN", "始値時刻")</f>
        <v>-</v>
      </c>
      <c r="O42" s="1" t="str">
        <f t="array" ref="O42">_xll.RssIndexMarket("OFIN", "高値時刻")</f>
        <v>-</v>
      </c>
      <c r="P42" s="1" t="str">
        <f t="array" ref="P42">_xll.RssIndexMarket("OFIN", "安値時刻")</f>
        <v>-</v>
      </c>
      <c r="Q42" s="2" t="str">
        <f t="array" ref="Q42">_xll.RssIndexMarket("OFIN", "出来高")</f>
        <v>-</v>
      </c>
      <c r="R42" s="2" t="str">
        <f t="array" ref="R42">_xll.RssIndexMarket("OFIN", "売買代金")</f>
        <v>-</v>
      </c>
      <c r="S42" s="2">
        <f t="array" ref="S42">_xll.RssIndexMarket("OFIN", "前年最高値")</f>
        <v>15025.5</v>
      </c>
      <c r="T42" s="2">
        <f t="array" ref="T42">_xll.RssIndexMarket("OFIN", "前年最安値")</f>
        <v>10514.42</v>
      </c>
      <c r="U42" s="2">
        <f t="array" ref="U42">_xll.RssIndexMarket("OFIN", "前年終値")</f>
        <v>13372.09</v>
      </c>
      <c r="V42" s="2">
        <f t="array" ref="V42">_xll.RssIndexMarket("OFIN", "年初来高値")</f>
        <v>14017.68</v>
      </c>
      <c r="W42" s="2">
        <f t="array" ref="W42">_xll.RssIndexMarket("OFIN", "年初来安値")</f>
        <v>12351.07</v>
      </c>
      <c r="X42" s="2">
        <f t="array" ref="X42">_xll.RssIndexMarket("OFIN", "上場来高値")</f>
        <v>15025.5</v>
      </c>
      <c r="Y42" s="2">
        <f t="array" ref="Y42">_xll.RssIndexMarket("OFIN", "上場来安値")</f>
        <v>323.14</v>
      </c>
      <c r="Z42" s="1" t="str">
        <f t="array" ref="Z42">_xll.RssIndexMarket("OFIN", "上場来高値日付")</f>
        <v>2025/10/10</v>
      </c>
      <c r="AA42" s="1" t="str">
        <f t="array" ref="AA42">_xll.RssIndexMarket("OFIN", "上場来安値日付")</f>
        <v>1990/10/30</v>
      </c>
    </row>
    <row r="43" spans="1:27">
      <c r="A43" s="1" t="str">
        <f t="array" ref="A43">_xll.RssIndexMarket("TRAN", "指標コード")</f>
        <v>TRAN</v>
      </c>
      <c r="B43" s="1" t="str">
        <f t="array" ref="B43">_xll.RssIndexMarket("TRAN", "指標名称")</f>
        <v>NASDAQ輸送株指数</v>
      </c>
      <c r="C43" s="1" t="str">
        <f t="array" ref="C43">_xll.RssIndexMarket("TRAN", "現在日付")</f>
        <v>2026/02/28</v>
      </c>
      <c r="D43" s="1" t="str">
        <f t="array" ref="D43">_xll.RssIndexMarket("TRAN", "更新時刻")</f>
        <v>07:15</v>
      </c>
      <c r="E43" s="2">
        <f t="array" ref="E43">_xll.RssIndexMarket("TRAN", "現在値")</f>
        <v>8679.91</v>
      </c>
      <c r="F43" s="1" t="str">
        <f t="array" ref="F43">_xll.RssIndexMarket("TRAN", "現在値ティック")</f>
        <v>↓</v>
      </c>
      <c r="G43" s="2">
        <f t="array" ref="G43">_xll.RssIndexMarket("TRAN", "前日比")</f>
        <v>-53.99</v>
      </c>
      <c r="H43" s="2">
        <f t="array" ref="H43">_xll.RssIndexMarket("TRAN", "前日比率")</f>
        <v>-0.62</v>
      </c>
      <c r="I43" s="2">
        <f t="array" ref="I43">_xll.RssIndexMarket("TRAN", "前日終値")</f>
        <v>8733.9</v>
      </c>
      <c r="J43" s="1" t="str">
        <f t="array" ref="J43">_xll.RssIndexMarket("TRAN", "前日日付")</f>
        <v>2026/02/26</v>
      </c>
      <c r="K43" s="2">
        <f t="array" ref="K43">_xll.RssIndexMarket("TRAN", "始値")</f>
        <v>8607.24</v>
      </c>
      <c r="L43" s="2">
        <f t="array" ref="L43">_xll.RssIndexMarket("TRAN", "高値")</f>
        <v>8685.02</v>
      </c>
      <c r="M43" s="2">
        <f t="array" ref="M43">_xll.RssIndexMarket("TRAN", "安値")</f>
        <v>8586.01</v>
      </c>
      <c r="N43" s="1" t="str">
        <f t="array" ref="N43">_xll.RssIndexMarket("TRAN", "始値時刻")</f>
        <v>-</v>
      </c>
      <c r="O43" s="1" t="str">
        <f t="array" ref="O43">_xll.RssIndexMarket("TRAN", "高値時刻")</f>
        <v>-</v>
      </c>
      <c r="P43" s="1" t="str">
        <f t="array" ref="P43">_xll.RssIndexMarket("TRAN", "安値時刻")</f>
        <v>-</v>
      </c>
      <c r="Q43" s="2" t="str">
        <f t="array" ref="Q43">_xll.RssIndexMarket("TRAN", "出来高")</f>
        <v>-</v>
      </c>
      <c r="R43" s="2" t="str">
        <f t="array" ref="R43">_xll.RssIndexMarket("TRAN", "売買代金")</f>
        <v>-</v>
      </c>
      <c r="S43" s="2">
        <f t="array" ref="S43">_xll.RssIndexMarket("TRAN", "前年最高値")</f>
        <v>7608.39</v>
      </c>
      <c r="T43" s="2">
        <f t="array" ref="T43">_xll.RssIndexMarket("TRAN", "前年最安値")</f>
        <v>5262.87</v>
      </c>
      <c r="U43" s="2">
        <f t="array" ref="U43">_xll.RssIndexMarket("TRAN", "前年終値")</f>
        <v>7485.06</v>
      </c>
      <c r="V43" s="2">
        <f t="array" ref="V43">_xll.RssIndexMarket("TRAN", "年初来高値")</f>
        <v>8778.52</v>
      </c>
      <c r="W43" s="2">
        <f t="array" ref="W43">_xll.RssIndexMarket("TRAN", "年初来安値")</f>
        <v>7470.23</v>
      </c>
      <c r="X43" s="2">
        <f t="array" ref="X43">_xll.RssIndexMarket("TRAN", "上場来高値")</f>
        <v>8778.52</v>
      </c>
      <c r="Y43" s="2">
        <f t="array" ref="Y43">_xll.RssIndexMarket("TRAN", "上場来安値")</f>
        <v>251.5</v>
      </c>
      <c r="Z43" s="1" t="str">
        <f t="array" ref="Z43">_xll.RssIndexMarket("TRAN", "上場来高値日付")</f>
        <v>2026/02/26</v>
      </c>
      <c r="AA43" s="1" t="str">
        <f t="array" ref="AA43">_xll.RssIndexMarket("TRAN", "上場来安値日付")</f>
        <v>1985/10/01</v>
      </c>
    </row>
    <row r="44" spans="1:27">
      <c r="A44" s="1" t="str">
        <f t="array" ref="A44">_xll.RssIndexMarket("IXTC", "指標コード")</f>
        <v>IXTC</v>
      </c>
      <c r="B44" s="1" t="str">
        <f t="array" ref="B44">_xll.RssIndexMarket("IXTC", "指標名称")</f>
        <v>NASDAQ通信株指数</v>
      </c>
      <c r="C44" s="1" t="str">
        <f t="array" ref="C44">_xll.RssIndexMarket("IXTC", "現在日付")</f>
        <v>2026/02/28</v>
      </c>
      <c r="D44" s="1" t="str">
        <f t="array" ref="D44">_xll.RssIndexMarket("IXTC", "更新時刻")</f>
        <v>07:15</v>
      </c>
      <c r="E44" s="2">
        <f t="array" ref="E44">_xll.RssIndexMarket("IXTC", "現在値")</f>
        <v>557.96</v>
      </c>
      <c r="F44" s="1" t="str">
        <f t="array" ref="F44">_xll.RssIndexMarket("IXTC", "現在値ティック")</f>
        <v>↓</v>
      </c>
      <c r="G44" s="2">
        <f t="array" ref="G44">_xll.RssIndexMarket("IXTC", "前日比")</f>
        <v>9.68</v>
      </c>
      <c r="H44" s="2">
        <f t="array" ref="H44">_xll.RssIndexMarket("IXTC", "前日比率")</f>
        <v>1.76</v>
      </c>
      <c r="I44" s="2">
        <f t="array" ref="I44">_xll.RssIndexMarket("IXTC", "前日終値")</f>
        <v>548.28</v>
      </c>
      <c r="J44" s="1" t="str">
        <f t="array" ref="J44">_xll.RssIndexMarket("IXTC", "前日日付")</f>
        <v>2026/02/26</v>
      </c>
      <c r="K44" s="2">
        <f t="array" ref="K44">_xll.RssIndexMarket("IXTC", "始値")</f>
        <v>546.74</v>
      </c>
      <c r="L44" s="2">
        <f t="array" ref="L44">_xll.RssIndexMarket("IXTC", "高値")</f>
        <v>558.12</v>
      </c>
      <c r="M44" s="2">
        <f t="array" ref="M44">_xll.RssIndexMarket("IXTC", "安値")</f>
        <v>546.09</v>
      </c>
      <c r="N44" s="1" t="str">
        <f t="array" ref="N44">_xll.RssIndexMarket("IXTC", "始値時刻")</f>
        <v>-</v>
      </c>
      <c r="O44" s="1" t="str">
        <f t="array" ref="O44">_xll.RssIndexMarket("IXTC", "高値時刻")</f>
        <v>-</v>
      </c>
      <c r="P44" s="1" t="str">
        <f t="array" ref="P44">_xll.RssIndexMarket("IXTC", "安値時刻")</f>
        <v>-</v>
      </c>
      <c r="Q44" s="2" t="str">
        <f t="array" ref="Q44">_xll.RssIndexMarket("IXTC", "出来高")</f>
        <v>-</v>
      </c>
      <c r="R44" s="2" t="str">
        <f t="array" ref="R44">_xll.RssIndexMarket("IXTC", "売買代金")</f>
        <v>-</v>
      </c>
      <c r="S44" s="2">
        <f t="array" ref="S44">_xll.RssIndexMarket("IXTC", "前年最高値")</f>
        <v>519.87</v>
      </c>
      <c r="T44" s="2">
        <f t="array" ref="T44">_xll.RssIndexMarket("IXTC", "前年最安値")</f>
        <v>436.51</v>
      </c>
      <c r="U44" s="2">
        <f t="array" ref="U44">_xll.RssIndexMarket("IXTC", "前年終値")</f>
        <v>509.21</v>
      </c>
      <c r="V44" s="2">
        <f t="array" ref="V44">_xll.RssIndexMarket("IXTC", "年初来高値")</f>
        <v>565.55999999999995</v>
      </c>
      <c r="W44" s="2">
        <f t="array" ref="W44">_xll.RssIndexMarket("IXTC", "年初来安値")</f>
        <v>488.6</v>
      </c>
      <c r="X44" s="2">
        <f t="array" ref="X44">_xll.RssIndexMarket("IXTC", "上場来高値")</f>
        <v>1248.08</v>
      </c>
      <c r="Y44" s="2">
        <f t="array" ref="Y44">_xll.RssIndexMarket("IXTC", "上場来安値")</f>
        <v>13.87</v>
      </c>
      <c r="Z44" s="1" t="str">
        <f t="array" ref="Z44">_xll.RssIndexMarket("IXTC", "上場来高値日付")</f>
        <v>2000/03/10</v>
      </c>
      <c r="AA44" s="1" t="str">
        <f t="array" ref="AA44">_xll.RssIndexMarket("IXTC", "上場来安値日付")</f>
        <v>1993/10/07</v>
      </c>
    </row>
    <row r="45" spans="1:27">
      <c r="A45" s="1" t="str">
        <f t="array" ref="A45">_xll.RssIndexMarket("IXCO", "指標コード")</f>
        <v>IXCO</v>
      </c>
      <c r="B45" s="1" t="str">
        <f t="array" ref="B45">_xll.RssIndexMarket("IXCO", "指標名称")</f>
        <v>NASDAQコンピューター株指数</v>
      </c>
      <c r="C45" s="1" t="str">
        <f t="array" ref="C45">_xll.RssIndexMarket("IXCO", "現在日付")</f>
        <v>2026/02/28</v>
      </c>
      <c r="D45" s="1" t="str">
        <f t="array" ref="D45">_xll.RssIndexMarket("IXCO", "更新時刻")</f>
        <v>07:15</v>
      </c>
      <c r="E45" s="2">
        <f t="array" ref="E45">_xll.RssIndexMarket("IXCO", "現在値")</f>
        <v>21737.96</v>
      </c>
      <c r="F45" s="1" t="str">
        <f t="array" ref="F45">_xll.RssIndexMarket("IXCO", "現在値ティック")</f>
        <v>↑</v>
      </c>
      <c r="G45" s="2">
        <f t="array" ref="G45">_xll.RssIndexMarket("IXCO", "前日比")</f>
        <v>-406.96</v>
      </c>
      <c r="H45" s="2">
        <f t="array" ref="H45">_xll.RssIndexMarket("IXCO", "前日比率")</f>
        <v>-1.84</v>
      </c>
      <c r="I45" s="2">
        <f t="array" ref="I45">_xll.RssIndexMarket("IXCO", "前日終値")</f>
        <v>22144.92</v>
      </c>
      <c r="J45" s="1" t="str">
        <f t="array" ref="J45">_xll.RssIndexMarket("IXCO", "前日日付")</f>
        <v>2026/02/26</v>
      </c>
      <c r="K45" s="2">
        <f t="array" ref="K45">_xll.RssIndexMarket("IXCO", "始値")</f>
        <v>21767.88</v>
      </c>
      <c r="L45" s="2">
        <f t="array" ref="L45">_xll.RssIndexMarket("IXCO", "高値")</f>
        <v>21932.34</v>
      </c>
      <c r="M45" s="2">
        <f t="array" ref="M45">_xll.RssIndexMarket("IXCO", "安値")</f>
        <v>21647.85</v>
      </c>
      <c r="N45" s="1" t="str">
        <f t="array" ref="N45">_xll.RssIndexMarket("IXCO", "始値時刻")</f>
        <v>-</v>
      </c>
      <c r="O45" s="1" t="str">
        <f t="array" ref="O45">_xll.RssIndexMarket("IXCO", "高値時刻")</f>
        <v>-</v>
      </c>
      <c r="P45" s="1" t="str">
        <f t="array" ref="P45">_xll.RssIndexMarket("IXCO", "安値時刻")</f>
        <v>-</v>
      </c>
      <c r="Q45" s="2" t="str">
        <f t="array" ref="Q45">_xll.RssIndexMarket("IXCO", "出来高")</f>
        <v>-</v>
      </c>
      <c r="R45" s="2" t="str">
        <f t="array" ref="R45">_xll.RssIndexMarket("IXCO", "売買代金")</f>
        <v>-</v>
      </c>
      <c r="S45" s="2">
        <f t="array" ref="S45">_xll.RssIndexMarket("IXCO", "前年最高値")</f>
        <v>23913.56</v>
      </c>
      <c r="T45" s="2">
        <f t="array" ref="T45">_xll.RssIndexMarket("IXCO", "前年最安値")</f>
        <v>12990.07</v>
      </c>
      <c r="U45" s="2">
        <f t="array" ref="U45">_xll.RssIndexMarket("IXCO", "前年終値")</f>
        <v>22788.29</v>
      </c>
      <c r="V45" s="2">
        <f t="array" ref="V45">_xll.RssIndexMarket("IXCO", "年初来高値")</f>
        <v>23500.6</v>
      </c>
      <c r="W45" s="2">
        <f t="array" ref="W45">_xll.RssIndexMarket("IXCO", "年初来安値")</f>
        <v>21409.57</v>
      </c>
      <c r="X45" s="2">
        <f t="array" ref="X45">_xll.RssIndexMarket("IXCO", "上場来高値")</f>
        <v>23913.56</v>
      </c>
      <c r="Y45" s="2">
        <f t="array" ref="Y45">_xll.RssIndexMarket("IXCO", "上場来安値")</f>
        <v>185.25</v>
      </c>
      <c r="Z45" s="1" t="str">
        <f t="array" ref="Z45">_xll.RssIndexMarket("IXCO", "上場来高値日付")</f>
        <v>2025/10/29</v>
      </c>
      <c r="AA45" s="1" t="str">
        <f t="array" ref="AA45">_xll.RssIndexMarket("IXCO", "上場来安値日付")</f>
        <v>1994/07/21</v>
      </c>
    </row>
    <row r="46" spans="1:27">
      <c r="A46" s="1" t="str">
        <f t="array" ref="A46">_xll.RssIndexMarket("IXF", "指標コード")</f>
        <v>IXF</v>
      </c>
      <c r="B46" s="1" t="str">
        <f t="array" ref="B46">_xll.RssIndexMarket("IXF", "指標名称")</f>
        <v>NASDAQ金融100</v>
      </c>
      <c r="C46" s="1" t="str">
        <f t="array" ref="C46">_xll.RssIndexMarket("IXF", "現在日付")</f>
        <v>2026/02/28</v>
      </c>
      <c r="D46" s="1" t="str">
        <f t="array" ref="D46">_xll.RssIndexMarket("IXF", "更新時刻")</f>
        <v>07:15</v>
      </c>
      <c r="E46" s="2">
        <f t="array" ref="E46">_xll.RssIndexMarket("IXF", "現在値")</f>
        <v>6981.9</v>
      </c>
      <c r="F46" s="1" t="str">
        <f t="array" ref="F46">_xll.RssIndexMarket("IXF", "現在値ティック")</f>
        <v>↓</v>
      </c>
      <c r="G46" s="2">
        <f t="array" ref="G46">_xll.RssIndexMarket("IXF", "前日比")</f>
        <v>-201.45</v>
      </c>
      <c r="H46" s="2">
        <f t="array" ref="H46">_xll.RssIndexMarket("IXF", "前日比率")</f>
        <v>-2.8</v>
      </c>
      <c r="I46" s="2">
        <f t="array" ref="I46">_xll.RssIndexMarket("IXF", "前日終値")</f>
        <v>7183.35</v>
      </c>
      <c r="J46" s="1" t="str">
        <f t="array" ref="J46">_xll.RssIndexMarket("IXF", "前日日付")</f>
        <v>2026/02/26</v>
      </c>
      <c r="K46" s="2">
        <f t="array" ref="K46">_xll.RssIndexMarket("IXF", "始値")</f>
        <v>7082.07</v>
      </c>
      <c r="L46" s="2">
        <f t="array" ref="L46">_xll.RssIndexMarket("IXF", "高値")</f>
        <v>7085.51</v>
      </c>
      <c r="M46" s="2">
        <f t="array" ref="M46">_xll.RssIndexMarket("IXF", "安値")</f>
        <v>6926.83</v>
      </c>
      <c r="N46" s="1" t="str">
        <f t="array" ref="N46">_xll.RssIndexMarket("IXF", "始値時刻")</f>
        <v>-</v>
      </c>
      <c r="O46" s="1" t="str">
        <f t="array" ref="O46">_xll.RssIndexMarket("IXF", "高値時刻")</f>
        <v>-</v>
      </c>
      <c r="P46" s="1" t="str">
        <f t="array" ref="P46">_xll.RssIndexMarket("IXF", "安値時刻")</f>
        <v>-</v>
      </c>
      <c r="Q46" s="2" t="str">
        <f t="array" ref="Q46">_xll.RssIndexMarket("IXF", "出来高")</f>
        <v>-</v>
      </c>
      <c r="R46" s="2" t="str">
        <f t="array" ref="R46">_xll.RssIndexMarket("IXF", "売買代金")</f>
        <v>-</v>
      </c>
      <c r="S46" s="2">
        <f t="array" ref="S46">_xll.RssIndexMarket("IXF", "前年最高値")</f>
        <v>7747.22</v>
      </c>
      <c r="T46" s="2">
        <f t="array" ref="T46">_xll.RssIndexMarket("IXF", "前年最安値")</f>
        <v>5341.99</v>
      </c>
      <c r="U46" s="2">
        <f t="array" ref="U46">_xll.RssIndexMarket("IXF", "前年終値")</f>
        <v>7307.49</v>
      </c>
      <c r="V46" s="2">
        <f t="array" ref="V46">_xll.RssIndexMarket("IXF", "年初来高値")</f>
        <v>7649.15</v>
      </c>
      <c r="W46" s="2">
        <f t="array" ref="W46">_xll.RssIndexMarket("IXF", "年初来安値")</f>
        <v>6837.97</v>
      </c>
      <c r="X46" s="2">
        <f t="array" ref="X46">_xll.RssIndexMarket("IXF", "上場来高値")</f>
        <v>7747.22</v>
      </c>
      <c r="Y46" s="2">
        <f t="array" ref="Y46">_xll.RssIndexMarket("IXF", "上場来安値")</f>
        <v>276.73</v>
      </c>
      <c r="Z46" s="1" t="str">
        <f t="array" ref="Z46">_xll.RssIndexMarket("IXF", "上場来高値日付")</f>
        <v>2025/10/10</v>
      </c>
      <c r="AA46" s="1" t="str">
        <f t="array" ref="AA46">_xll.RssIndexMarket("IXF", "上場来安値日付")</f>
        <v>1990/10/12</v>
      </c>
    </row>
    <row r="47" spans="1:27">
      <c r="A47" s="1" t="str">
        <f t="array" ref="A47">_xll.RssIndexMarket("NBI", "指標コード")</f>
        <v>NBI</v>
      </c>
      <c r="B47" s="1" t="str">
        <f t="array" ref="B47">_xll.RssIndexMarket("NBI", "指標名称")</f>
        <v>NASDAQバイオテクノロジー株指数</v>
      </c>
      <c r="C47" s="1" t="str">
        <f t="array" ref="C47">_xll.RssIndexMarket("NBI", "現在日付")</f>
        <v>2026/02/28</v>
      </c>
      <c r="D47" s="1" t="str">
        <f t="array" ref="D47">_xll.RssIndexMarket("NBI", "更新時刻")</f>
        <v>07:15</v>
      </c>
      <c r="E47" s="2">
        <f t="array" ref="E47">_xll.RssIndexMarket("NBI", "現在値")</f>
        <v>6041.31</v>
      </c>
      <c r="F47" s="1" t="str">
        <f t="array" ref="F47">_xll.RssIndexMarket("NBI", "現在値ティック")</f>
        <v>↑</v>
      </c>
      <c r="G47" s="2">
        <f t="array" ref="G47">_xll.RssIndexMarket("NBI", "前日比")</f>
        <v>53.57</v>
      </c>
      <c r="H47" s="2">
        <f t="array" ref="H47">_xll.RssIndexMarket("NBI", "前日比率")</f>
        <v>0.89</v>
      </c>
      <c r="I47" s="2">
        <f t="array" ref="I47">_xll.RssIndexMarket("NBI", "前日終値")</f>
        <v>5987.74</v>
      </c>
      <c r="J47" s="1" t="str">
        <f t="array" ref="J47">_xll.RssIndexMarket("NBI", "前日日付")</f>
        <v>2026/02/26</v>
      </c>
      <c r="K47" s="2">
        <f t="array" ref="K47">_xll.RssIndexMarket("NBI", "始値")</f>
        <v>5958.66</v>
      </c>
      <c r="L47" s="2">
        <f t="array" ref="L47">_xll.RssIndexMarket("NBI", "高値")</f>
        <v>6042.16</v>
      </c>
      <c r="M47" s="2">
        <f t="array" ref="M47">_xll.RssIndexMarket("NBI", "安値")</f>
        <v>5958.66</v>
      </c>
      <c r="N47" s="1" t="str">
        <f t="array" ref="N47">_xll.RssIndexMarket("NBI", "始値時刻")</f>
        <v>-</v>
      </c>
      <c r="O47" s="1" t="str">
        <f t="array" ref="O47">_xll.RssIndexMarket("NBI", "高値時刻")</f>
        <v>-</v>
      </c>
      <c r="P47" s="1" t="str">
        <f t="array" ref="P47">_xll.RssIndexMarket("NBI", "安値時刻")</f>
        <v>-</v>
      </c>
      <c r="Q47" s="2" t="str">
        <f t="array" ref="Q47">_xll.RssIndexMarket("NBI", "出来高")</f>
        <v>-</v>
      </c>
      <c r="R47" s="2" t="str">
        <f t="array" ref="R47">_xll.RssIndexMarket("NBI", "売買代金")</f>
        <v>-</v>
      </c>
      <c r="S47" s="2">
        <f t="array" ref="S47">_xll.RssIndexMarket("NBI", "前年最高値")</f>
        <v>5856.09</v>
      </c>
      <c r="T47" s="2">
        <f t="array" ref="T47">_xll.RssIndexMarket("NBI", "前年最安値")</f>
        <v>3568.35</v>
      </c>
      <c r="U47" s="2">
        <f t="array" ref="U47">_xll.RssIndexMarket("NBI", "前年終値")</f>
        <v>5707.2</v>
      </c>
      <c r="V47" s="2">
        <f t="array" ref="V47">_xll.RssIndexMarket("NBI", "年初来高値")</f>
        <v>6131.65</v>
      </c>
      <c r="W47" s="2">
        <f t="array" ref="W47">_xll.RssIndexMarket("NBI", "年初来安値")</f>
        <v>5565.79</v>
      </c>
      <c r="X47" s="2">
        <f t="array" ref="X47">_xll.RssIndexMarket("NBI", "上場来高値")</f>
        <v>6131.65</v>
      </c>
      <c r="Y47" s="2">
        <f t="array" ref="Y47">_xll.RssIndexMarket("NBI", "上場来安値")</f>
        <v>141.4</v>
      </c>
      <c r="Z47" s="1" t="str">
        <f t="array" ref="Z47">_xll.RssIndexMarket("NBI", "上場来高値日付")</f>
        <v>2026/02/25</v>
      </c>
      <c r="AA47" s="1" t="str">
        <f t="array" ref="AA47">_xll.RssIndexMarket("NBI", "上場来安値日付")</f>
        <v>1994/06/24</v>
      </c>
    </row>
    <row r="48" spans="1:27">
      <c r="A48" s="1" t="str">
        <f t="array" ref="A48">_xll.RssIndexMarket("IXHC", "指標コード")</f>
        <v>IXHC</v>
      </c>
      <c r="B48" s="1" t="str">
        <f t="array" ref="B48">_xll.RssIndexMarket("IXHC", "指標名称")</f>
        <v>NASDAQヘルスケア株指数</v>
      </c>
      <c r="C48" s="1" t="str">
        <f t="array" ref="C48">_xll.RssIndexMarket("IXHC", "現在日付")</f>
        <v>2026/02/28</v>
      </c>
      <c r="D48" s="1" t="str">
        <f t="array" ref="D48">_xll.RssIndexMarket("IXHC", "更新時刻")</f>
        <v>07:15</v>
      </c>
      <c r="E48" s="2">
        <f t="array" ref="E48">_xll.RssIndexMarket("IXHC", "現在値")</f>
        <v>1218.8499999999999</v>
      </c>
      <c r="F48" s="1" t="str">
        <f t="array" ref="F48">_xll.RssIndexMarket("IXHC", "現在値ティック")</f>
        <v>↑</v>
      </c>
      <c r="G48" s="2">
        <f t="array" ref="G48">_xll.RssIndexMarket("IXHC", "前日比")</f>
        <v>5.15</v>
      </c>
      <c r="H48" s="2">
        <f t="array" ref="H48">_xll.RssIndexMarket("IXHC", "前日比率")</f>
        <v>0.42</v>
      </c>
      <c r="I48" s="2">
        <f t="array" ref="I48">_xll.RssIndexMarket("IXHC", "前日終値")</f>
        <v>1213.7</v>
      </c>
      <c r="J48" s="1" t="str">
        <f t="array" ref="J48">_xll.RssIndexMarket("IXHC", "前日日付")</f>
        <v>2026/02/26</v>
      </c>
      <c r="K48" s="2">
        <f t="array" ref="K48">_xll.RssIndexMarket("IXHC", "始値")</f>
        <v>1205.77</v>
      </c>
      <c r="L48" s="2">
        <f t="array" ref="L48">_xll.RssIndexMarket("IXHC", "高値")</f>
        <v>1219.04</v>
      </c>
      <c r="M48" s="2">
        <f t="array" ref="M48">_xll.RssIndexMarket("IXHC", "安値")</f>
        <v>1205.77</v>
      </c>
      <c r="N48" s="1" t="str">
        <f t="array" ref="N48">_xll.RssIndexMarket("IXHC", "始値時刻")</f>
        <v>-</v>
      </c>
      <c r="O48" s="1" t="str">
        <f t="array" ref="O48">_xll.RssIndexMarket("IXHC", "高値時刻")</f>
        <v>-</v>
      </c>
      <c r="P48" s="1" t="str">
        <f t="array" ref="P48">_xll.RssIndexMarket("IXHC", "安値時刻")</f>
        <v>-</v>
      </c>
      <c r="Q48" s="2" t="str">
        <f t="array" ref="Q48">_xll.RssIndexMarket("IXHC", "出来高")</f>
        <v>-</v>
      </c>
      <c r="R48" s="2" t="str">
        <f t="array" ref="R48">_xll.RssIndexMarket("IXHC", "売買代金")</f>
        <v>-</v>
      </c>
      <c r="S48" s="2">
        <f t="array" ref="S48">_xll.RssIndexMarket("IXHC", "前年最高値")</f>
        <v>1213.5999999999999</v>
      </c>
      <c r="T48" s="2">
        <f t="array" ref="T48">_xll.RssIndexMarket("IXHC", "前年最安値")</f>
        <v>813.25</v>
      </c>
      <c r="U48" s="2">
        <f t="array" ref="U48">_xll.RssIndexMarket("IXHC", "前年終値")</f>
        <v>1181.8900000000001</v>
      </c>
      <c r="V48" s="2">
        <f t="array" ref="V48">_xll.RssIndexMarket("IXHC", "年初来高値")</f>
        <v>1243.3699999999999</v>
      </c>
      <c r="W48" s="2">
        <f t="array" ref="W48">_xll.RssIndexMarket("IXHC", "年初来安値")</f>
        <v>1162.32</v>
      </c>
      <c r="X48" s="2">
        <f t="array" ref="X48">_xll.RssIndexMarket("IXHC", "上場来高値")</f>
        <v>1378.27</v>
      </c>
      <c r="Y48" s="2">
        <f t="array" ref="Y48">_xll.RssIndexMarket("IXHC", "上場来安値")</f>
        <v>167.85</v>
      </c>
      <c r="Z48" s="1" t="str">
        <f t="array" ref="Z48">_xll.RssIndexMarket("IXHC", "上場来高値日付")</f>
        <v>2021/02/10</v>
      </c>
      <c r="AA48" s="1" t="str">
        <f t="array" ref="AA48">_xll.RssIndexMarket("IXHC", "上場来安値日付")</f>
        <v>2009/03/09</v>
      </c>
    </row>
    <row r="49" spans="1:27">
      <c r="A49" s="1" t="str">
        <f t="array" ref="A49">_xll.RssIndexMarket("NDXT", "指標コード")</f>
        <v>NDXT</v>
      </c>
      <c r="B49" s="1" t="str">
        <f t="array" ref="B49">_xll.RssIndexMarket("NDXT", "指標名称")</f>
        <v>NASDAQ100テクノロジー・セクター指数</v>
      </c>
      <c r="C49" s="1" t="str">
        <f t="array" ref="C49">_xll.RssIndexMarket("NDXT", "現在日付")</f>
        <v>2026/02/28</v>
      </c>
      <c r="D49" s="1" t="str">
        <f t="array" ref="D49">_xll.RssIndexMarket("NDXT", "更新時刻")</f>
        <v>07:15</v>
      </c>
      <c r="E49" s="2">
        <f t="array" ref="E49">_xll.RssIndexMarket("NDXT", "現在値")</f>
        <v>12292.71</v>
      </c>
      <c r="F49" s="1" t="str">
        <f t="array" ref="F49">_xll.RssIndexMarket("NDXT", "現在値ティック")</f>
        <v>↓</v>
      </c>
      <c r="G49" s="2">
        <f t="array" ref="G49">_xll.RssIndexMarket("NDXT", "前日比")</f>
        <v>-156.16</v>
      </c>
      <c r="H49" s="2">
        <f t="array" ref="H49">_xll.RssIndexMarket("NDXT", "前日比率")</f>
        <v>-1.25</v>
      </c>
      <c r="I49" s="2">
        <f t="array" ref="I49">_xll.RssIndexMarket("NDXT", "前日終値")</f>
        <v>12448.86</v>
      </c>
      <c r="J49" s="1" t="str">
        <f t="array" ref="J49">_xll.RssIndexMarket("NDXT", "前日日付")</f>
        <v>2026/02/26</v>
      </c>
      <c r="K49" s="2">
        <f t="array" ref="K49">_xll.RssIndexMarket("NDXT", "始値")</f>
        <v>12193.85</v>
      </c>
      <c r="L49" s="2">
        <f t="array" ref="L49">_xll.RssIndexMarket("NDXT", "高値")</f>
        <v>12306.99</v>
      </c>
      <c r="M49" s="2">
        <f t="array" ref="M49">_xll.RssIndexMarket("NDXT", "安値")</f>
        <v>12142.19</v>
      </c>
      <c r="N49" s="1" t="str">
        <f t="array" ref="N49">_xll.RssIndexMarket("NDXT", "始値時刻")</f>
        <v>-</v>
      </c>
      <c r="O49" s="1" t="str">
        <f t="array" ref="O49">_xll.RssIndexMarket("NDXT", "高値時刻")</f>
        <v>-</v>
      </c>
      <c r="P49" s="1" t="str">
        <f t="array" ref="P49">_xll.RssIndexMarket("NDXT", "安値時刻")</f>
        <v>-</v>
      </c>
      <c r="Q49" s="2" t="str">
        <f t="array" ref="Q49">_xll.RssIndexMarket("NDXT", "出来高")</f>
        <v>-</v>
      </c>
      <c r="R49" s="2" t="str">
        <f t="array" ref="R49">_xll.RssIndexMarket("NDXT", "売買代金")</f>
        <v>-</v>
      </c>
      <c r="S49" s="2">
        <f t="array" ref="S49">_xll.RssIndexMarket("NDXT", "前年最高値")</f>
        <v>13359.05</v>
      </c>
      <c r="T49" s="2">
        <f t="array" ref="T49">_xll.RssIndexMarket("NDXT", "前年最安値")</f>
        <v>7847.02</v>
      </c>
      <c r="U49" s="2">
        <f t="array" ref="U49">_xll.RssIndexMarket("NDXT", "前年終値")</f>
        <v>12578.33</v>
      </c>
      <c r="V49" s="2">
        <f t="array" ref="V49">_xll.RssIndexMarket("NDXT", "年初来高値")</f>
        <v>13556.71</v>
      </c>
      <c r="W49" s="2">
        <f t="array" ref="W49">_xll.RssIndexMarket("NDXT", "年初来安値")</f>
        <v>11962.49</v>
      </c>
      <c r="X49" s="2">
        <f t="array" ref="X49">_xll.RssIndexMarket("NDXT", "上場来高値")</f>
        <v>13556.71</v>
      </c>
      <c r="Y49" s="2">
        <f t="array" ref="Y49">_xll.RssIndexMarket("NDXT", "上場来安値")</f>
        <v>516.22</v>
      </c>
      <c r="Z49" s="1" t="str">
        <f t="array" ref="Z49">_xll.RssIndexMarket("NDXT", "上場来高値日付")</f>
        <v>2026/01/28</v>
      </c>
      <c r="AA49" s="1" t="str">
        <f t="array" ref="AA49">_xll.RssIndexMarket("NDXT", "上場来安値日付")</f>
        <v>2008/11/21</v>
      </c>
    </row>
    <row r="50" spans="1:27">
      <c r="A50" s="1" t="str">
        <f t="array" ref="A50">_xll.RssIndexMarket("XAU", "指標コード")</f>
        <v>XAU</v>
      </c>
      <c r="B50" s="1" t="str">
        <f t="array" ref="B50">_xll.RssIndexMarket("XAU", "指標名称")</f>
        <v>PHLXゴールド/シルバー・セクター指数</v>
      </c>
      <c r="C50" s="1" t="str">
        <f t="array" ref="C50">_xll.RssIndexMarket("XAU", "現在日付")</f>
        <v>2026/02/28</v>
      </c>
      <c r="D50" s="1" t="str">
        <f t="array" ref="D50">_xll.RssIndexMarket("XAU", "更新時刻")</f>
        <v>07:15</v>
      </c>
      <c r="E50" s="2">
        <f t="array" ref="E50">_xll.RssIndexMarket("XAU", "現在値")</f>
        <v>470.37</v>
      </c>
      <c r="F50" s="1" t="str">
        <f t="array" ref="F50">_xll.RssIndexMarket("XAU", "現在値ティック")</f>
        <v>↑</v>
      </c>
      <c r="G50" s="2">
        <f t="array" ref="G50">_xll.RssIndexMarket("XAU", "前日比")</f>
        <v>7.61</v>
      </c>
      <c r="H50" s="2">
        <f t="array" ref="H50">_xll.RssIndexMarket("XAU", "前日比率")</f>
        <v>1.65</v>
      </c>
      <c r="I50" s="2">
        <f t="array" ref="I50">_xll.RssIndexMarket("XAU", "前日終値")</f>
        <v>462.76</v>
      </c>
      <c r="J50" s="1" t="str">
        <f t="array" ref="J50">_xll.RssIndexMarket("XAU", "前日日付")</f>
        <v>2026/02/26</v>
      </c>
      <c r="K50" s="2">
        <f t="array" ref="K50">_xll.RssIndexMarket("XAU", "始値")</f>
        <v>464.97</v>
      </c>
      <c r="L50" s="2">
        <f t="array" ref="L50">_xll.RssIndexMarket("XAU", "高値")</f>
        <v>471.47</v>
      </c>
      <c r="M50" s="2">
        <f t="array" ref="M50">_xll.RssIndexMarket("XAU", "安値")</f>
        <v>463.53</v>
      </c>
      <c r="N50" s="1" t="str">
        <f t="array" ref="N50">_xll.RssIndexMarket("XAU", "始値時刻")</f>
        <v>-</v>
      </c>
      <c r="O50" s="1" t="str">
        <f t="array" ref="O50">_xll.RssIndexMarket("XAU", "高値時刻")</f>
        <v>-</v>
      </c>
      <c r="P50" s="1" t="str">
        <f t="array" ref="P50">_xll.RssIndexMarket("XAU", "安値時刻")</f>
        <v>-</v>
      </c>
      <c r="Q50" s="2" t="str">
        <f t="array" ref="Q50">_xll.RssIndexMarket("XAU", "出来高")</f>
        <v>-</v>
      </c>
      <c r="R50" s="2" t="str">
        <f t="array" ref="R50">_xll.RssIndexMarket("XAU", "売買代金")</f>
        <v>-</v>
      </c>
      <c r="S50" s="2">
        <f t="array" ref="S50">_xll.RssIndexMarket("XAU", "前年最高値")</f>
        <v>364.6</v>
      </c>
      <c r="T50" s="2">
        <f t="array" ref="T50">_xll.RssIndexMarket("XAU", "前年最安値")</f>
        <v>139.47</v>
      </c>
      <c r="U50" s="2">
        <f t="array" ref="U50">_xll.RssIndexMarket("XAU", "前年終値")</f>
        <v>342.28</v>
      </c>
      <c r="V50" s="2">
        <f t="array" ref="V50">_xll.RssIndexMarket("XAU", "年初来高値")</f>
        <v>463.04</v>
      </c>
      <c r="W50" s="2">
        <f t="array" ref="W50">_xll.RssIndexMarket("XAU", "年初来安値")</f>
        <v>332.93</v>
      </c>
      <c r="X50" s="2">
        <f t="array" ref="X50">_xll.RssIndexMarket("XAU", "上場来高値")</f>
        <v>1366.74</v>
      </c>
      <c r="Y50" s="2">
        <f t="array" ref="Y50">_xll.RssIndexMarket("XAU", "上場来安値")</f>
        <v>38.36</v>
      </c>
      <c r="Z50" s="1" t="str">
        <f t="array" ref="Z50">_xll.RssIndexMarket("XAU", "上場来高値日付")</f>
        <v>2008/09/22</v>
      </c>
      <c r="AA50" s="1" t="str">
        <f t="array" ref="AA50">_xll.RssIndexMarket("XAU", "上場来安値日付")</f>
        <v>2016/01/19</v>
      </c>
    </row>
    <row r="51" spans="1:27">
      <c r="A51" s="1" t="str">
        <f t="array" ref="A51">_xll.RssIndexMarket("SOX", "指標コード")</f>
        <v>SOX</v>
      </c>
      <c r="B51" s="1" t="str">
        <f t="array" ref="B51">_xll.RssIndexMarket("SOX", "指標名称")</f>
        <v>PHLX半導体・セクター指数</v>
      </c>
      <c r="C51" s="1" t="str">
        <f t="array" ref="C51">_xll.RssIndexMarket("SOX", "現在日付")</f>
        <v>2026/02/28</v>
      </c>
      <c r="D51" s="1" t="str">
        <f t="array" ref="D51">_xll.RssIndexMarket("SOX", "更新時刻")</f>
        <v>07:15</v>
      </c>
      <c r="E51" s="2">
        <f t="array" ref="E51">_xll.RssIndexMarket("SOX", "現在値")</f>
        <v>8098.3710000000001</v>
      </c>
      <c r="F51" s="1" t="str">
        <f t="array" ref="F51">_xll.RssIndexMarket("SOX", "現在値ティック")</f>
        <v>↓</v>
      </c>
      <c r="G51" s="2">
        <f t="array" ref="G51">_xll.RssIndexMarket("SOX", "前日比")</f>
        <v>-98.888999999999996</v>
      </c>
      <c r="H51" s="2">
        <f t="array" ref="H51">_xll.RssIndexMarket("SOX", "前日比率")</f>
        <v>-1.2</v>
      </c>
      <c r="I51" s="2">
        <f t="array" ref="I51">_xll.RssIndexMarket("SOX", "前日終値")</f>
        <v>8197.26</v>
      </c>
      <c r="J51" s="1" t="str">
        <f t="array" ref="J51">_xll.RssIndexMarket("SOX", "前日日付")</f>
        <v>2026/02/26</v>
      </c>
      <c r="K51" s="2">
        <f t="array" ref="K51">_xll.RssIndexMarket("SOX", "始値")</f>
        <v>8036.8379999999997</v>
      </c>
      <c r="L51" s="2">
        <f t="array" ref="L51">_xll.RssIndexMarket("SOX", "高値")</f>
        <v>8139.991</v>
      </c>
      <c r="M51" s="2">
        <f t="array" ref="M51">_xll.RssIndexMarket("SOX", "安値")</f>
        <v>8009.2520000000004</v>
      </c>
      <c r="N51" s="1" t="str">
        <f t="array" ref="N51">_xll.RssIndexMarket("SOX", "始値時刻")</f>
        <v>-</v>
      </c>
      <c r="O51" s="1" t="str">
        <f t="array" ref="O51">_xll.RssIndexMarket("SOX", "高値時刻")</f>
        <v>-</v>
      </c>
      <c r="P51" s="1" t="str">
        <f t="array" ref="P51">_xll.RssIndexMarket("SOX", "安値時刻")</f>
        <v>-</v>
      </c>
      <c r="Q51" s="2" t="str">
        <f t="array" ref="Q51">_xll.RssIndexMarket("SOX", "出来高")</f>
        <v>-</v>
      </c>
      <c r="R51" s="2" t="str">
        <f t="array" ref="R51">_xll.RssIndexMarket("SOX", "売買代金")</f>
        <v>-</v>
      </c>
      <c r="S51" s="2">
        <f t="array" ref="S51">_xll.RssIndexMarket("SOX", "前年最高値")</f>
        <v>7490.277</v>
      </c>
      <c r="T51" s="2">
        <f t="array" ref="T51">_xll.RssIndexMarket("SOX", "前年最安値")</f>
        <v>3388.623</v>
      </c>
      <c r="U51" s="2">
        <f t="array" ref="U51">_xll.RssIndexMarket("SOX", "前年終値")</f>
        <v>7083.1310000000003</v>
      </c>
      <c r="V51" s="2">
        <f t="array" ref="V51">_xll.RssIndexMarket("SOX", "年初来高値")</f>
        <v>8498.1039999999994</v>
      </c>
      <c r="W51" s="2">
        <f t="array" ref="W51">_xll.RssIndexMarket("SOX", "年初来安値")</f>
        <v>7286.3360000000002</v>
      </c>
      <c r="X51" s="2">
        <f t="array" ref="X51">_xll.RssIndexMarket("SOX", "上場来高値")</f>
        <v>8498.1039999999994</v>
      </c>
      <c r="Y51" s="2">
        <f t="array" ref="Y51">_xll.RssIndexMarket("SOX", "上場来安値")</f>
        <v>106.92</v>
      </c>
      <c r="Z51" s="1" t="str">
        <f t="array" ref="Z51">_xll.RssIndexMarket("SOX", "上場来高値日付")</f>
        <v>2026/02/25</v>
      </c>
      <c r="AA51" s="1" t="str">
        <f t="array" ref="AA51">_xll.RssIndexMarket("SOX", "上場来安値日付")</f>
        <v>1994/05/17</v>
      </c>
    </row>
    <row r="52" spans="1:27">
      <c r="A52" s="1" t="str">
        <f t="array" ref="A52">_xll.RssIndexMarket("HGX", "指標コード")</f>
        <v>HGX</v>
      </c>
      <c r="B52" s="1" t="str">
        <f t="array" ref="B52">_xll.RssIndexMarket("HGX", "指標名称")</f>
        <v>PHLXハウジング・セクター指数</v>
      </c>
      <c r="C52" s="1" t="str">
        <f t="array" ref="C52">_xll.RssIndexMarket("HGX", "現在日付")</f>
        <v>2026/02/28</v>
      </c>
      <c r="D52" s="1" t="str">
        <f t="array" ref="D52">_xll.RssIndexMarket("HGX", "更新時刻")</f>
        <v>07:15</v>
      </c>
      <c r="E52" s="2">
        <f t="array" ref="E52">_xll.RssIndexMarket("HGX", "現在値")</f>
        <v>723.09</v>
      </c>
      <c r="F52" s="1" t="str">
        <f t="array" ref="F52">_xll.RssIndexMarket("HGX", "現在値ティック")</f>
        <v>↑</v>
      </c>
      <c r="G52" s="2">
        <f t="array" ref="G52">_xll.RssIndexMarket("HGX", "前日比")</f>
        <v>4.05</v>
      </c>
      <c r="H52" s="2">
        <f t="array" ref="H52">_xll.RssIndexMarket("HGX", "前日比率")</f>
        <v>0.56000000000000005</v>
      </c>
      <c r="I52" s="2">
        <f t="array" ref="I52">_xll.RssIndexMarket("HGX", "前日終値")</f>
        <v>719.05</v>
      </c>
      <c r="J52" s="1" t="str">
        <f t="array" ref="J52">_xll.RssIndexMarket("HGX", "前日日付")</f>
        <v>2026/02/26</v>
      </c>
      <c r="K52" s="2">
        <f t="array" ref="K52">_xll.RssIndexMarket("HGX", "始値")</f>
        <v>715</v>
      </c>
      <c r="L52" s="2">
        <f t="array" ref="L52">_xll.RssIndexMarket("HGX", "高値")</f>
        <v>726.31</v>
      </c>
      <c r="M52" s="2">
        <f t="array" ref="M52">_xll.RssIndexMarket("HGX", "安値")</f>
        <v>713.08</v>
      </c>
      <c r="N52" s="1" t="str">
        <f t="array" ref="N52">_xll.RssIndexMarket("HGX", "始値時刻")</f>
        <v>-</v>
      </c>
      <c r="O52" s="1" t="str">
        <f t="array" ref="O52">_xll.RssIndexMarket("HGX", "高値時刻")</f>
        <v>-</v>
      </c>
      <c r="P52" s="1" t="str">
        <f t="array" ref="P52">_xll.RssIndexMarket("HGX", "安値時刻")</f>
        <v>-</v>
      </c>
      <c r="Q52" s="2" t="str">
        <f t="array" ref="Q52">_xll.RssIndexMarket("HGX", "出来高")</f>
        <v>-</v>
      </c>
      <c r="R52" s="2" t="str">
        <f t="array" ref="R52">_xll.RssIndexMarket("HGX", "売買代金")</f>
        <v>-</v>
      </c>
      <c r="S52" s="2">
        <f t="array" ref="S52">_xll.RssIndexMarket("HGX", "前年最高値")</f>
        <v>782.9</v>
      </c>
      <c r="T52" s="2">
        <f t="array" ref="T52">_xll.RssIndexMarket("HGX", "前年最安値")</f>
        <v>560.04</v>
      </c>
      <c r="U52" s="2">
        <f t="array" ref="U52">_xll.RssIndexMarket("HGX", "前年終値")</f>
        <v>664.29</v>
      </c>
      <c r="V52" s="2">
        <f t="array" ref="V52">_xll.RssIndexMarket("HGX", "年初来高値")</f>
        <v>769.2</v>
      </c>
      <c r="W52" s="2">
        <f t="array" ref="W52">_xll.RssIndexMarket("HGX", "年初来安値")</f>
        <v>660.24</v>
      </c>
      <c r="X52" s="2">
        <f t="array" ref="X52">_xll.RssIndexMarket("HGX", "上場来高値")</f>
        <v>837.18</v>
      </c>
      <c r="Y52" s="2">
        <f t="array" ref="Y52">_xll.RssIndexMarket("HGX", "上場来安値")</f>
        <v>54.31</v>
      </c>
      <c r="Z52" s="1" t="str">
        <f t="array" ref="Z52">_xll.RssIndexMarket("HGX", "上場来高値日付")</f>
        <v>2024/10/18</v>
      </c>
      <c r="AA52" s="1" t="str">
        <f t="array" ref="AA52">_xll.RssIndexMarket("HGX", "上場来安値日付")</f>
        <v>2009/03/06</v>
      </c>
    </row>
    <row r="53" spans="1:27">
      <c r="A53" s="1" t="str">
        <f t="array" ref="A53">_xll.RssIndexMarket("OSX", "指標コード")</f>
        <v>OSX</v>
      </c>
      <c r="B53" s="1" t="str">
        <f t="array" ref="B53">_xll.RssIndexMarket("OSX", "指標名称")</f>
        <v>PHLX石油サービス・セクター指数</v>
      </c>
      <c r="C53" s="1" t="str">
        <f t="array" ref="C53">_xll.RssIndexMarket("OSX", "現在日付")</f>
        <v>2026/02/28</v>
      </c>
      <c r="D53" s="1" t="str">
        <f t="array" ref="D53">_xll.RssIndexMarket("OSX", "更新時刻")</f>
        <v>07:15</v>
      </c>
      <c r="E53" s="2">
        <f t="array" ref="E53">_xll.RssIndexMarket("OSX", "現在値")</f>
        <v>97.05</v>
      </c>
      <c r="F53" s="1" t="str">
        <f t="array" ref="F53">_xll.RssIndexMarket("OSX", "現在値ティック")</f>
        <v>↑</v>
      </c>
      <c r="G53" s="2">
        <f t="array" ref="G53">_xll.RssIndexMarket("OSX", "前日比")</f>
        <v>0.56000000000000005</v>
      </c>
      <c r="H53" s="2">
        <f t="array" ref="H53">_xll.RssIndexMarket("OSX", "前日比率")</f>
        <v>0.57999999999999996</v>
      </c>
      <c r="I53" s="2">
        <f t="array" ref="I53">_xll.RssIndexMarket("OSX", "前日終値")</f>
        <v>96.49</v>
      </c>
      <c r="J53" s="1" t="str">
        <f t="array" ref="J53">_xll.RssIndexMarket("OSX", "前日日付")</f>
        <v>2026/02/26</v>
      </c>
      <c r="K53" s="2">
        <f t="array" ref="K53">_xll.RssIndexMarket("OSX", "始値")</f>
        <v>96.73</v>
      </c>
      <c r="L53" s="2">
        <f t="array" ref="L53">_xll.RssIndexMarket("OSX", "高値")</f>
        <v>97.39</v>
      </c>
      <c r="M53" s="2">
        <f t="array" ref="M53">_xll.RssIndexMarket("OSX", "安値")</f>
        <v>95.84</v>
      </c>
      <c r="N53" s="1" t="str">
        <f t="array" ref="N53">_xll.RssIndexMarket("OSX", "始値時刻")</f>
        <v>-</v>
      </c>
      <c r="O53" s="1" t="str">
        <f t="array" ref="O53">_xll.RssIndexMarket("OSX", "高値時刻")</f>
        <v>-</v>
      </c>
      <c r="P53" s="1" t="str">
        <f t="array" ref="P53">_xll.RssIndexMarket("OSX", "安値時刻")</f>
        <v>-</v>
      </c>
      <c r="Q53" s="2" t="str">
        <f t="array" ref="Q53">_xll.RssIndexMarket("OSX", "出来高")</f>
        <v>-</v>
      </c>
      <c r="R53" s="2" t="str">
        <f t="array" ref="R53">_xll.RssIndexMarket("OSX", "売買代金")</f>
        <v>-</v>
      </c>
      <c r="S53" s="2">
        <f t="array" ref="S53">_xll.RssIndexMarket("OSX", "前年最高値")</f>
        <v>79.400000000000006</v>
      </c>
      <c r="T53" s="2">
        <f t="array" ref="T53">_xll.RssIndexMarket("OSX", "前年最安値")</f>
        <v>49.5</v>
      </c>
      <c r="U53" s="2">
        <f t="array" ref="U53">_xll.RssIndexMarket("OSX", "前年終値")</f>
        <v>73.33</v>
      </c>
      <c r="V53" s="2">
        <f t="array" ref="V53">_xll.RssIndexMarket("OSX", "年初来高値")</f>
        <v>99.2</v>
      </c>
      <c r="W53" s="2">
        <f t="array" ref="W53">_xll.RssIndexMarket("OSX", "年初来安値")</f>
        <v>73.14</v>
      </c>
      <c r="X53" s="2">
        <f t="array" ref="X53">_xll.RssIndexMarket("OSX", "上場来高値")</f>
        <v>364.26</v>
      </c>
      <c r="Y53" s="2">
        <f t="array" ref="Y53">_xll.RssIndexMarket("OSX", "上場来安値")</f>
        <v>20.78</v>
      </c>
      <c r="Z53" s="1" t="str">
        <f t="array" ref="Z53">_xll.RssIndexMarket("OSX", "上場来高値日付")</f>
        <v>2008/07/02</v>
      </c>
      <c r="AA53" s="1" t="str">
        <f t="array" ref="AA53">_xll.RssIndexMarket("OSX", "上場来安値日付")</f>
        <v>2020/03/18</v>
      </c>
    </row>
    <row r="54" spans="1:27">
      <c r="A54" s="1" t="str">
        <f t="array" ref="A54">_xll.RssIndexMarket("UTY", "指標コード")</f>
        <v>UTY</v>
      </c>
      <c r="B54" s="1" t="str">
        <f t="array" ref="B54">_xll.RssIndexMarket("UTY", "指標名称")</f>
        <v>PHLX公益事業・セクター指数</v>
      </c>
      <c r="C54" s="1" t="str">
        <f t="array" ref="C54">_xll.RssIndexMarket("UTY", "現在日付")</f>
        <v>2026/02/28</v>
      </c>
      <c r="D54" s="1" t="str">
        <f t="array" ref="D54">_xll.RssIndexMarket("UTY", "更新時刻")</f>
        <v>07:15</v>
      </c>
      <c r="E54" s="2">
        <f t="array" ref="E54">_xll.RssIndexMarket("UTY", "現在値")</f>
        <v>1188.96</v>
      </c>
      <c r="F54" s="1" t="str">
        <f t="array" ref="F54">_xll.RssIndexMarket("UTY", "現在値ティック")</f>
        <v>↑</v>
      </c>
      <c r="G54" s="2">
        <f t="array" ref="G54">_xll.RssIndexMarket("UTY", "前日比")</f>
        <v>15.07</v>
      </c>
      <c r="H54" s="2">
        <f t="array" ref="H54">_xll.RssIndexMarket("UTY", "前日比率")</f>
        <v>1.28</v>
      </c>
      <c r="I54" s="2">
        <f t="array" ref="I54">_xll.RssIndexMarket("UTY", "前日終値")</f>
        <v>1173.8900000000001</v>
      </c>
      <c r="J54" s="1" t="str">
        <f t="array" ref="J54">_xll.RssIndexMarket("UTY", "前日日付")</f>
        <v>2026/02/26</v>
      </c>
      <c r="K54" s="2">
        <f t="array" ref="K54">_xll.RssIndexMarket("UTY", "始値")</f>
        <v>1171.8800000000001</v>
      </c>
      <c r="L54" s="2">
        <f t="array" ref="L54">_xll.RssIndexMarket("UTY", "高値")</f>
        <v>1190.92</v>
      </c>
      <c r="M54" s="2">
        <f t="array" ref="M54">_xll.RssIndexMarket("UTY", "安値")</f>
        <v>1171.45</v>
      </c>
      <c r="N54" s="1" t="str">
        <f t="array" ref="N54">_xll.RssIndexMarket("UTY", "始値時刻")</f>
        <v>-</v>
      </c>
      <c r="O54" s="1" t="str">
        <f t="array" ref="O54">_xll.RssIndexMarket("UTY", "高値時刻")</f>
        <v>-</v>
      </c>
      <c r="P54" s="1" t="str">
        <f t="array" ref="P54">_xll.RssIndexMarket("UTY", "安値時刻")</f>
        <v>-</v>
      </c>
      <c r="Q54" s="2" t="str">
        <f t="array" ref="Q54">_xll.RssIndexMarket("UTY", "出来高")</f>
        <v>-</v>
      </c>
      <c r="R54" s="2" t="str">
        <f t="array" ref="R54">_xll.RssIndexMarket("UTY", "売買代金")</f>
        <v>-</v>
      </c>
      <c r="S54" s="2">
        <f t="array" ref="S54">_xll.RssIndexMarket("UTY", "前年最高値")</f>
        <v>1167.0899999999999</v>
      </c>
      <c r="T54" s="2">
        <f t="array" ref="T54">_xll.RssIndexMarket("UTY", "前年最安値")</f>
        <v>907.61</v>
      </c>
      <c r="U54" s="2">
        <f t="array" ref="U54">_xll.RssIndexMarket("UTY", "前年終値")</f>
        <v>1068.07</v>
      </c>
      <c r="V54" s="2">
        <f t="array" ref="V54">_xll.RssIndexMarket("UTY", "年初来高値")</f>
        <v>1183.23</v>
      </c>
      <c r="W54" s="2">
        <f t="array" ref="W54">_xll.RssIndexMarket("UTY", "年初来安値")</f>
        <v>1046.21</v>
      </c>
      <c r="X54" s="2">
        <f t="array" ref="X54">_xll.RssIndexMarket("UTY", "上場来高値")</f>
        <v>1183.23</v>
      </c>
      <c r="Y54" s="2">
        <f t="array" ref="Y54">_xll.RssIndexMarket("UTY", "上場来安値")</f>
        <v>305.36</v>
      </c>
      <c r="Z54" s="1" t="str">
        <f t="array" ref="Z54">_xll.RssIndexMarket("UTY", "上場来高値日付")</f>
        <v>2026/02/25</v>
      </c>
      <c r="AA54" s="1" t="str">
        <f t="array" ref="AA54">_xll.RssIndexMarket("UTY", "上場来安値日付")</f>
        <v>2009/03/09</v>
      </c>
    </row>
    <row r="55" spans="1:27">
      <c r="A55" s="1" t="str">
        <f t="array" ref="A55">_xll.RssIndexMarket("HXC", "指標コード")</f>
        <v>HXC</v>
      </c>
      <c r="B55" s="1" t="str">
        <f t="array" ref="B55">_xll.RssIndexMarket("HXC", "指標名称")</f>
        <v>NASDAQゴールデン・ドラゴン・チャイナ指数</v>
      </c>
      <c r="C55" s="1" t="str">
        <f t="array" ref="C55">_xll.RssIndexMarket("HXC", "現在日付")</f>
        <v>2026/02/28</v>
      </c>
      <c r="D55" s="1" t="str">
        <f t="array" ref="D55">_xll.RssIndexMarket("HXC", "更新時刻")</f>
        <v>07:15</v>
      </c>
      <c r="E55" s="2">
        <f t="array" ref="E55">_xll.RssIndexMarket("HXC", "現在値")</f>
        <v>7277.39</v>
      </c>
      <c r="F55" s="1" t="str">
        <f t="array" ref="F55">_xll.RssIndexMarket("HXC", "現在値ティック")</f>
        <v>↓</v>
      </c>
      <c r="G55" s="2">
        <f t="array" ref="G55">_xll.RssIndexMarket("HXC", "前日比")</f>
        <v>-133.97999999999999</v>
      </c>
      <c r="H55" s="2">
        <f t="array" ref="H55">_xll.RssIndexMarket("HXC", "前日比率")</f>
        <v>-1.81</v>
      </c>
      <c r="I55" s="2">
        <f t="array" ref="I55">_xll.RssIndexMarket("HXC", "前日終値")</f>
        <v>7411.36</v>
      </c>
      <c r="J55" s="1" t="str">
        <f t="array" ref="J55">_xll.RssIndexMarket("HXC", "前日日付")</f>
        <v>2026/02/26</v>
      </c>
      <c r="K55" s="2">
        <f t="array" ref="K55">_xll.RssIndexMarket("HXC", "始値")</f>
        <v>7356.06</v>
      </c>
      <c r="L55" s="2">
        <f t="array" ref="L55">_xll.RssIndexMarket("HXC", "高値")</f>
        <v>7357.44</v>
      </c>
      <c r="M55" s="2">
        <f t="array" ref="M55">_xll.RssIndexMarket("HXC", "安値")</f>
        <v>7255.61</v>
      </c>
      <c r="N55" s="1" t="str">
        <f t="array" ref="N55">_xll.RssIndexMarket("HXC", "始値時刻")</f>
        <v>-</v>
      </c>
      <c r="O55" s="1" t="str">
        <f t="array" ref="O55">_xll.RssIndexMarket("HXC", "高値時刻")</f>
        <v>-</v>
      </c>
      <c r="P55" s="1" t="str">
        <f t="array" ref="P55">_xll.RssIndexMarket("HXC", "安値時刻")</f>
        <v>-</v>
      </c>
      <c r="Q55" s="2" t="str">
        <f t="array" ref="Q55">_xll.RssIndexMarket("HXC", "出来高")</f>
        <v>-</v>
      </c>
      <c r="R55" s="2" t="str">
        <f t="array" ref="R55">_xll.RssIndexMarket("HXC", "売買代金")</f>
        <v>-</v>
      </c>
      <c r="S55" s="2">
        <f t="array" ref="S55">_xll.RssIndexMarket("HXC", "前年最高値")</f>
        <v>8945.2000000000007</v>
      </c>
      <c r="T55" s="2">
        <f t="array" ref="T55">_xll.RssIndexMarket("HXC", "前年最安値")</f>
        <v>6079.54</v>
      </c>
      <c r="U55" s="2">
        <f t="array" ref="U55">_xll.RssIndexMarket("HXC", "前年終値")</f>
        <v>7529.74</v>
      </c>
      <c r="V55" s="2">
        <f t="array" ref="V55">_xll.RssIndexMarket("HXC", "年初来高値")</f>
        <v>8056.1</v>
      </c>
      <c r="W55" s="2">
        <f t="array" ref="W55">_xll.RssIndexMarket("HXC", "年初来安値")</f>
        <v>7332.47</v>
      </c>
      <c r="X55" s="2">
        <f t="array" ref="X55">_xll.RssIndexMarket("HXC", "上場来高値")</f>
        <v>20893.02</v>
      </c>
      <c r="Y55" s="2">
        <f t="array" ref="Y55">_xll.RssIndexMarket("HXC", "上場来安値")</f>
        <v>2478.08</v>
      </c>
      <c r="Z55" s="1" t="str">
        <f t="array" ref="Z55">_xll.RssIndexMarket("HXC", "上場来高値日付")</f>
        <v>2021/02/16</v>
      </c>
      <c r="AA55" s="1" t="str">
        <f t="array" ref="AA55">_xll.RssIndexMarket("HXC", "上場来安値日付")</f>
        <v>2008/11/20</v>
      </c>
    </row>
    <row r="56" spans="1:27">
      <c r="A56" s="1" t="str">
        <f t="array" ref="A56">_xll.RssIndexMarket("NQUSLT", "指標コード")</f>
        <v>NQUSLT</v>
      </c>
      <c r="B56" s="1" t="str">
        <f t="array" ref="B56">_xll.RssIndexMarket("NQUSLT", "指標名称")</f>
        <v>NASDAQ米国大型株トータルリターン指数</v>
      </c>
      <c r="C56" s="1" t="str">
        <f t="array" ref="C56">_xll.RssIndexMarket("NQUSLT", "現在日付")</f>
        <v>2026/02/28</v>
      </c>
      <c r="D56" s="1" t="str">
        <f t="array" ref="D56">_xll.RssIndexMarket("NQUSLT", "更新時刻")</f>
        <v>07:15</v>
      </c>
      <c r="E56" s="2">
        <f t="array" ref="E56">_xll.RssIndexMarket("NQUSLT", "現在値")</f>
        <v>5240.2299999999996</v>
      </c>
      <c r="F56" s="1" t="str">
        <f t="array" ref="F56">_xll.RssIndexMarket("NQUSLT", "現在値ティック")</f>
        <v>↑</v>
      </c>
      <c r="G56" s="2">
        <f t="array" ref="G56">_xll.RssIndexMarket("NQUSLT", "前日比")</f>
        <v>-25.06</v>
      </c>
      <c r="H56" s="2">
        <f t="array" ref="H56">_xll.RssIndexMarket("NQUSLT", "前日比率")</f>
        <v>-0.48</v>
      </c>
      <c r="I56" s="2">
        <f t="array" ref="I56">_xll.RssIndexMarket("NQUSLT", "前日終値")</f>
        <v>5265.29</v>
      </c>
      <c r="J56" s="1" t="str">
        <f t="array" ref="J56">_xll.RssIndexMarket("NQUSLT", "前日日付")</f>
        <v>2026/02/26</v>
      </c>
      <c r="K56" s="2">
        <f t="array" ref="K56">_xll.RssIndexMarket("NQUSLT", "始値")</f>
        <v>5261.96</v>
      </c>
      <c r="L56" s="2">
        <f t="array" ref="L56">_xll.RssIndexMarket("NQUSLT", "高値")</f>
        <v>5261.96</v>
      </c>
      <c r="M56" s="2">
        <f t="array" ref="M56">_xll.RssIndexMarket("NQUSLT", "安値")</f>
        <v>5204.3500000000004</v>
      </c>
      <c r="N56" s="1" t="str">
        <f t="array" ref="N56">_xll.RssIndexMarket("NQUSLT", "始値時刻")</f>
        <v>-</v>
      </c>
      <c r="O56" s="1" t="str">
        <f t="array" ref="O56">_xll.RssIndexMarket("NQUSLT", "高値時刻")</f>
        <v>-</v>
      </c>
      <c r="P56" s="1" t="str">
        <f t="array" ref="P56">_xll.RssIndexMarket("NQUSLT", "安値時刻")</f>
        <v>-</v>
      </c>
      <c r="Q56" s="2" t="str">
        <f t="array" ref="Q56">_xll.RssIndexMarket("NQUSLT", "出来高")</f>
        <v>-</v>
      </c>
      <c r="R56" s="2" t="str">
        <f t="array" ref="R56">_xll.RssIndexMarket("NQUSLT", "売買代金")</f>
        <v>-</v>
      </c>
      <c r="S56" s="2">
        <f t="array" ref="S56">_xll.RssIndexMarket("NQUSLT", "前年最高値")</f>
        <v>5344.93</v>
      </c>
      <c r="T56" s="2">
        <f t="array" ref="T56">_xll.RssIndexMarket("NQUSLT", "前年最安値")</f>
        <v>3655.31</v>
      </c>
      <c r="U56" s="2">
        <f t="array" ref="U56">_xll.RssIndexMarket("NQUSLT", "前年終値")</f>
        <v>5261.78</v>
      </c>
      <c r="V56" s="2">
        <f t="array" ref="V56">_xll.RssIndexMarket("NQUSLT", "年初来高値")</f>
        <v>5367.98</v>
      </c>
      <c r="W56" s="2">
        <f t="array" ref="W56">_xll.RssIndexMarket("NQUSLT", "年初来安値")</f>
        <v>5161.6400000000003</v>
      </c>
      <c r="X56" s="2">
        <f t="array" ref="X56">_xll.RssIndexMarket("NQUSLT", "上場来高値")</f>
        <v>5367.98</v>
      </c>
      <c r="Y56" s="2">
        <f t="array" ref="Y56">_xll.RssIndexMarket("NQUSLT", "上場来安値")</f>
        <v>808.64</v>
      </c>
      <c r="Z56" s="1" t="str">
        <f t="array" ref="Z56">_xll.RssIndexMarket("NQUSLT", "上場来高値日付")</f>
        <v>2026/01/28</v>
      </c>
      <c r="AA56" s="1" t="str">
        <f t="array" ref="AA56">_xll.RssIndexMarket("NQUSLT", "上場来安値日付")</f>
        <v>2011/10/04</v>
      </c>
    </row>
    <row r="57" spans="1:27">
      <c r="A57" s="1" t="str">
        <f t="array" ref="A57">_xll.RssIndexMarket("NQUSMT", "指標コード")</f>
        <v>NQUSMT</v>
      </c>
      <c r="B57" s="1" t="str">
        <f t="array" ref="B57">_xll.RssIndexMarket("NQUSMT", "指標名称")</f>
        <v>NASDAQ米国中型株トータルリターン指数</v>
      </c>
      <c r="C57" s="1" t="str">
        <f t="array" ref="C57">_xll.RssIndexMarket("NQUSMT", "現在日付")</f>
        <v>2026/02/28</v>
      </c>
      <c r="D57" s="1" t="str">
        <f t="array" ref="D57">_xll.RssIndexMarket("NQUSMT", "更新時刻")</f>
        <v>07:15</v>
      </c>
      <c r="E57" s="2">
        <f t="array" ref="E57">_xll.RssIndexMarket("NQUSMT", "現在値")</f>
        <v>3655.1</v>
      </c>
      <c r="F57" s="1" t="str">
        <f t="array" ref="F57">_xll.RssIndexMarket("NQUSMT", "現在値ティック")</f>
        <v>↑</v>
      </c>
      <c r="G57" s="2">
        <f t="array" ref="G57">_xll.RssIndexMarket("NQUSMT", "前日比")</f>
        <v>-26.01</v>
      </c>
      <c r="H57" s="2">
        <f t="array" ref="H57">_xll.RssIndexMarket("NQUSMT", "前日比率")</f>
        <v>-0.71</v>
      </c>
      <c r="I57" s="2">
        <f t="array" ref="I57">_xll.RssIndexMarket("NQUSMT", "前日終値")</f>
        <v>3681.11</v>
      </c>
      <c r="J57" s="1" t="str">
        <f t="array" ref="J57">_xll.RssIndexMarket("NQUSMT", "前日日付")</f>
        <v>2026/02/26</v>
      </c>
      <c r="K57" s="2">
        <f t="array" ref="K57">_xll.RssIndexMarket("NQUSMT", "始値")</f>
        <v>3679.93</v>
      </c>
      <c r="L57" s="2">
        <f t="array" ref="L57">_xll.RssIndexMarket("NQUSMT", "高値")</f>
        <v>3679.93</v>
      </c>
      <c r="M57" s="2">
        <f t="array" ref="M57">_xll.RssIndexMarket("NQUSMT", "安値")</f>
        <v>3625.5</v>
      </c>
      <c r="N57" s="1" t="str">
        <f t="array" ref="N57">_xll.RssIndexMarket("NQUSMT", "始値時刻")</f>
        <v>-</v>
      </c>
      <c r="O57" s="1" t="str">
        <f t="array" ref="O57">_xll.RssIndexMarket("NQUSMT", "高値時刻")</f>
        <v>-</v>
      </c>
      <c r="P57" s="1" t="str">
        <f t="array" ref="P57">_xll.RssIndexMarket("NQUSMT", "安値時刻")</f>
        <v>-</v>
      </c>
      <c r="Q57" s="2" t="str">
        <f t="array" ref="Q57">_xll.RssIndexMarket("NQUSMT", "出来高")</f>
        <v>-</v>
      </c>
      <c r="R57" s="2" t="str">
        <f t="array" ref="R57">_xll.RssIndexMarket("NQUSMT", "売買代金")</f>
        <v>-</v>
      </c>
      <c r="S57" s="2">
        <f t="array" ref="S57">_xll.RssIndexMarket("NQUSMT", "前年最高値")</f>
        <v>3543.79</v>
      </c>
      <c r="T57" s="2">
        <f t="array" ref="T57">_xll.RssIndexMarket("NQUSMT", "前年最安値")</f>
        <v>2665.86</v>
      </c>
      <c r="U57" s="2">
        <f t="array" ref="U57">_xll.RssIndexMarket("NQUSMT", "前年終値")</f>
        <v>3456.7</v>
      </c>
      <c r="V57" s="2">
        <f t="array" ref="V57">_xll.RssIndexMarket("NQUSMT", "年初来高値")</f>
        <v>3696.66</v>
      </c>
      <c r="W57" s="2">
        <f t="array" ref="W57">_xll.RssIndexMarket("NQUSMT", "年初来安値")</f>
        <v>3456.74</v>
      </c>
      <c r="X57" s="2">
        <f t="array" ref="X57">_xll.RssIndexMarket("NQUSMT", "上場来高値")</f>
        <v>3696.66</v>
      </c>
      <c r="Y57" s="2">
        <f t="array" ref="Y57">_xll.RssIndexMarket("NQUSMT", "上場来安値")</f>
        <v>729.64</v>
      </c>
      <c r="Z57" s="1" t="str">
        <f t="array" ref="Z57">_xll.RssIndexMarket("NQUSMT", "上場来高値日付")</f>
        <v>2026/02/12</v>
      </c>
      <c r="AA57" s="1" t="str">
        <f t="array" ref="AA57">_xll.RssIndexMarket("NQUSMT", "上場来安値日付")</f>
        <v>2011/10/04</v>
      </c>
    </row>
    <row r="58" spans="1:27">
      <c r="A58" s="1" t="str">
        <f t="array" ref="A58">_xll.RssIndexMarket("NQUSST", "指標コード")</f>
        <v>NQUSST</v>
      </c>
      <c r="B58" s="1" t="str">
        <f t="array" ref="B58">_xll.RssIndexMarket("NQUSST", "指標名称")</f>
        <v>NASDAQ米国小型株トータルリターン指数</v>
      </c>
      <c r="C58" s="1" t="str">
        <f t="array" ref="C58">_xll.RssIndexMarket("NQUSST", "現在日付")</f>
        <v>2026/02/28</v>
      </c>
      <c r="D58" s="1" t="str">
        <f t="array" ref="D58">_xll.RssIndexMarket("NQUSST", "更新時刻")</f>
        <v>07:15</v>
      </c>
      <c r="E58" s="2">
        <f t="array" ref="E58">_xll.RssIndexMarket("NQUSST", "現在値")</f>
        <v>3421.21</v>
      </c>
      <c r="F58" s="1" t="str">
        <f t="array" ref="F58">_xll.RssIndexMarket("NQUSST", "現在値ティック")</f>
        <v>↓</v>
      </c>
      <c r="G58" s="2">
        <f t="array" ref="G58">_xll.RssIndexMarket("NQUSST", "前日比")</f>
        <v>-45.83</v>
      </c>
      <c r="H58" s="2">
        <f t="array" ref="H58">_xll.RssIndexMarket("NQUSST", "前日比率")</f>
        <v>-1.32</v>
      </c>
      <c r="I58" s="2">
        <f t="array" ref="I58">_xll.RssIndexMarket("NQUSST", "前日終値")</f>
        <v>3467.04</v>
      </c>
      <c r="J58" s="1" t="str">
        <f t="array" ref="J58">_xll.RssIndexMarket("NQUSST", "前日日付")</f>
        <v>2026/02/26</v>
      </c>
      <c r="K58" s="2">
        <f t="array" ref="K58">_xll.RssIndexMarket("NQUSST", "始値")</f>
        <v>3464.27</v>
      </c>
      <c r="L58" s="2">
        <f t="array" ref="L58">_xll.RssIndexMarket("NQUSST", "高値")</f>
        <v>3464.27</v>
      </c>
      <c r="M58" s="2">
        <f t="array" ref="M58">_xll.RssIndexMarket("NQUSST", "安値")</f>
        <v>3400.4</v>
      </c>
      <c r="N58" s="1" t="str">
        <f t="array" ref="N58">_xll.RssIndexMarket("NQUSST", "始値時刻")</f>
        <v>-</v>
      </c>
      <c r="O58" s="1" t="str">
        <f t="array" ref="O58">_xll.RssIndexMarket("NQUSST", "高値時刻")</f>
        <v>-</v>
      </c>
      <c r="P58" s="1" t="str">
        <f t="array" ref="P58">_xll.RssIndexMarket("NQUSST", "安値時刻")</f>
        <v>-</v>
      </c>
      <c r="Q58" s="2" t="str">
        <f t="array" ref="Q58">_xll.RssIndexMarket("NQUSST", "出来高")</f>
        <v>-</v>
      </c>
      <c r="R58" s="2" t="str">
        <f t="array" ref="R58">_xll.RssIndexMarket("NQUSST", "売買代金")</f>
        <v>-</v>
      </c>
      <c r="S58" s="2">
        <f t="array" ref="S58">_xll.RssIndexMarket("NQUSST", "前年最高値")</f>
        <v>3343.21</v>
      </c>
      <c r="T58" s="2">
        <f t="array" ref="T58">_xll.RssIndexMarket("NQUSST", "前年最安値")</f>
        <v>2256.6799999999998</v>
      </c>
      <c r="U58" s="2">
        <f t="array" ref="U58">_xll.RssIndexMarket("NQUSST", "前年終値")</f>
        <v>3214.87</v>
      </c>
      <c r="V58" s="2">
        <f t="array" ref="V58">_xll.RssIndexMarket("NQUSST", "年初来高値")</f>
        <v>3528.45</v>
      </c>
      <c r="W58" s="2">
        <f t="array" ref="W58">_xll.RssIndexMarket("NQUSST", "年初来安値")</f>
        <v>3215.57</v>
      </c>
      <c r="X58" s="2">
        <f t="array" ref="X58">_xll.RssIndexMarket("NQUSST", "上場来高値")</f>
        <v>3528.45</v>
      </c>
      <c r="Y58" s="2">
        <f t="array" ref="Y58">_xll.RssIndexMarket("NQUSST", "上場来安値")</f>
        <v>714.78</v>
      </c>
      <c r="Z58" s="1" t="str">
        <f t="array" ref="Z58">_xll.RssIndexMarket("NQUSST", "上場来高値日付")</f>
        <v>2026/01/22</v>
      </c>
      <c r="AA58" s="1" t="str">
        <f t="array" ref="AA58">_xll.RssIndexMarket("NQUSST", "上場来安値日付")</f>
        <v>2011/10/04</v>
      </c>
    </row>
    <row r="59" spans="1:27">
      <c r="A59" s="1" t="str">
        <f t="array" ref="A59">_xll.RssIndexMarket("NQCYBR", "指標コード")</f>
        <v>NQCYBR</v>
      </c>
      <c r="B59" s="1" t="str">
        <f t="array" ref="B59">_xll.RssIndexMarket("NQCYBR", "指標名称")</f>
        <v>NASDAQ CTAサイバーセキュリティ指数</v>
      </c>
      <c r="C59" s="1" t="str">
        <f t="array" ref="C59">_xll.RssIndexMarket("NQCYBR", "現在日付")</f>
        <v>2026/02/28</v>
      </c>
      <c r="D59" s="1" t="str">
        <f t="array" ref="D59">_xll.RssIndexMarket("NQCYBR", "更新時刻")</f>
        <v>07:15</v>
      </c>
      <c r="E59" s="2">
        <f t="array" ref="E59">_xll.RssIndexMarket("NQCYBR", "現在値")</f>
        <v>3017.06</v>
      </c>
      <c r="F59" s="1" t="str">
        <f t="array" ref="F59">_xll.RssIndexMarket("NQCYBR", "現在値ティック")</f>
        <v>↑</v>
      </c>
      <c r="G59" s="2">
        <f t="array" ref="G59">_xll.RssIndexMarket("NQCYBR", "前日比")</f>
        <v>-43.65</v>
      </c>
      <c r="H59" s="2">
        <f t="array" ref="H59">_xll.RssIndexMarket("NQCYBR", "前日比率")</f>
        <v>-1.43</v>
      </c>
      <c r="I59" s="2">
        <f t="array" ref="I59">_xll.RssIndexMarket("NQCYBR", "前日終値")</f>
        <v>3060.71</v>
      </c>
      <c r="J59" s="1" t="str">
        <f t="array" ref="J59">_xll.RssIndexMarket("NQCYBR", "前日日付")</f>
        <v>2026/02/26</v>
      </c>
      <c r="K59" s="2">
        <f t="array" ref="K59">_xll.RssIndexMarket("NQCYBR", "始値")</f>
        <v>3060.44</v>
      </c>
      <c r="L59" s="2">
        <f t="array" ref="L59">_xll.RssIndexMarket("NQCYBR", "高値")</f>
        <v>3063.42</v>
      </c>
      <c r="M59" s="2">
        <f t="array" ref="M59">_xll.RssIndexMarket("NQCYBR", "安値")</f>
        <v>2966.56</v>
      </c>
      <c r="N59" s="1" t="str">
        <f t="array" ref="N59">_xll.RssIndexMarket("NQCYBR", "始値時刻")</f>
        <v>-</v>
      </c>
      <c r="O59" s="1" t="str">
        <f t="array" ref="O59">_xll.RssIndexMarket("NQCYBR", "高値時刻")</f>
        <v>-</v>
      </c>
      <c r="P59" s="1" t="str">
        <f t="array" ref="P59">_xll.RssIndexMarket("NQCYBR", "安値時刻")</f>
        <v>-</v>
      </c>
      <c r="Q59" s="2" t="str">
        <f t="array" ref="Q59">_xll.RssIndexMarket("NQCYBR", "出来高")</f>
        <v>-</v>
      </c>
      <c r="R59" s="2" t="str">
        <f t="array" ref="R59">_xll.RssIndexMarket("NQCYBR", "売買代金")</f>
        <v>-</v>
      </c>
      <c r="S59" s="2">
        <f t="array" ref="S59">_xll.RssIndexMarket("NQCYBR", "前年最高値")</f>
        <v>3757.08</v>
      </c>
      <c r="T59" s="2">
        <f t="array" ref="T59">_xll.RssIndexMarket("NQCYBR", "前年最安値")</f>
        <v>2643.32</v>
      </c>
      <c r="U59" s="2">
        <f t="array" ref="U59">_xll.RssIndexMarket("NQCYBR", "前年終値")</f>
        <v>3428.52</v>
      </c>
      <c r="V59" s="2">
        <f t="array" ref="V59">_xll.RssIndexMarket("NQCYBR", "年初来高値")</f>
        <v>3543.35</v>
      </c>
      <c r="W59" s="2">
        <f t="array" ref="W59">_xll.RssIndexMarket("NQCYBR", "年初来安値")</f>
        <v>2906.13</v>
      </c>
      <c r="X59" s="2">
        <f t="array" ref="X59">_xll.RssIndexMarket("NQCYBR", "上場来高値")</f>
        <v>3757.08</v>
      </c>
      <c r="Y59" s="2">
        <f t="array" ref="Y59">_xll.RssIndexMarket("NQCYBR", "上場来安値")</f>
        <v>646.21</v>
      </c>
      <c r="Z59" s="1" t="str">
        <f t="array" ref="Z59">_xll.RssIndexMarket("NQCYBR", "上場来高値日付")</f>
        <v>2025/10/10</v>
      </c>
      <c r="AA59" s="1" t="str">
        <f t="array" ref="AA59">_xll.RssIndexMarket("NQCYBR", "上場来安値日付")</f>
        <v>2016/02/09</v>
      </c>
    </row>
    <row r="60" spans="1:27">
      <c r="A60" s="1" t="str">
        <f t="array" ref="A60">_xll.RssIndexMarket("CPQ", "指標コード")</f>
        <v>CPQ</v>
      </c>
      <c r="B60" s="1" t="str">
        <f t="array" ref="B60">_xll.RssIndexMarket("CPQ", "指標名称")</f>
        <v>ISE CTAクラウドコンピューティング指数</v>
      </c>
      <c r="C60" s="1" t="str">
        <f t="array" ref="C60">_xll.RssIndexMarket("CPQ", "現在日付")</f>
        <v>2026/02/28</v>
      </c>
      <c r="D60" s="1" t="str">
        <f t="array" ref="D60">_xll.RssIndexMarket("CPQ", "更新時刻")</f>
        <v>07:15</v>
      </c>
      <c r="E60" s="2">
        <f t="array" ref="E60">_xll.RssIndexMarket("CPQ", "現在値")</f>
        <v>1220.9421</v>
      </c>
      <c r="F60" s="1" t="str">
        <f t="array" ref="F60">_xll.RssIndexMarket("CPQ", "現在値ティック")</f>
        <v>↑</v>
      </c>
      <c r="G60" s="2">
        <f t="array" ref="G60">_xll.RssIndexMarket("CPQ", "前日比")</f>
        <v>-18.4739</v>
      </c>
      <c r="H60" s="2">
        <f t="array" ref="H60">_xll.RssIndexMarket("CPQ", "前日比率")</f>
        <v>-1.49</v>
      </c>
      <c r="I60" s="2">
        <f t="array" ref="I60">_xll.RssIndexMarket("CPQ", "前日終値")</f>
        <v>1239.4159999999999</v>
      </c>
      <c r="J60" s="1" t="str">
        <f t="array" ref="J60">_xll.RssIndexMarket("CPQ", "前日日付")</f>
        <v>2026/02/26</v>
      </c>
      <c r="K60" s="2">
        <f t="array" ref="K60">_xll.RssIndexMarket("CPQ", "始値")</f>
        <v>1206.2289000000001</v>
      </c>
      <c r="L60" s="2">
        <f t="array" ref="L60">_xll.RssIndexMarket("CPQ", "高値")</f>
        <v>1221.5428999999999</v>
      </c>
      <c r="M60" s="2">
        <f t="array" ref="M60">_xll.RssIndexMarket("CPQ", "安値")</f>
        <v>1194.9753000000001</v>
      </c>
      <c r="N60" s="1" t="str">
        <f t="array" ref="N60">_xll.RssIndexMarket("CPQ", "始値時刻")</f>
        <v>-</v>
      </c>
      <c r="O60" s="1" t="str">
        <f t="array" ref="O60">_xll.RssIndexMarket("CPQ", "高値時刻")</f>
        <v>-</v>
      </c>
      <c r="P60" s="1" t="str">
        <f t="array" ref="P60">_xll.RssIndexMarket("CPQ", "安値時刻")</f>
        <v>-</v>
      </c>
      <c r="Q60" s="2" t="str">
        <f t="array" ref="Q60">_xll.RssIndexMarket("CPQ", "出来高")</f>
        <v>-</v>
      </c>
      <c r="R60" s="2" t="str">
        <f t="array" ref="R60">_xll.RssIndexMarket("CPQ", "売買代金")</f>
        <v>-</v>
      </c>
      <c r="S60" s="2">
        <f t="array" ref="S60">_xll.RssIndexMarket("CPQ", "前年最高値")</f>
        <v>1598.0268000000001</v>
      </c>
      <c r="T60" s="2">
        <f t="array" ref="T60">_xll.RssIndexMarket("CPQ", "前年最安値")</f>
        <v>949.02380000000005</v>
      </c>
      <c r="U60" s="2">
        <f t="array" ref="U60">_xll.RssIndexMarket("CPQ", "前年終値")</f>
        <v>1448.3751</v>
      </c>
      <c r="V60" s="2">
        <f t="array" ref="V60">_xll.RssIndexMarket("CPQ", "年初来高値")</f>
        <v>1469.6732999999999</v>
      </c>
      <c r="W60" s="2">
        <f t="array" ref="W60">_xll.RssIndexMarket("CPQ", "年初来安値")</f>
        <v>1170.6243999999999</v>
      </c>
      <c r="X60" s="2">
        <f t="array" ref="X60">_xll.RssIndexMarket("CPQ", "上場来高値")</f>
        <v>1598.0268000000001</v>
      </c>
      <c r="Y60" s="2">
        <f t="array" ref="Y60">_xll.RssIndexMarket("CPQ", "上場来安値")</f>
        <v>165.26</v>
      </c>
      <c r="Z60" s="1" t="str">
        <f t="array" ref="Z60">_xll.RssIndexMarket("CPQ", "上場来高値日付")</f>
        <v>2025/11/03</v>
      </c>
      <c r="AA60" s="1" t="str">
        <f t="array" ref="AA60">_xll.RssIndexMarket("CPQ", "上場来安値日付")</f>
        <v>2011/08/19</v>
      </c>
    </row>
    <row r="61" spans="1:27">
      <c r="A61" s="1" t="str">
        <f t="array" ref="A61">_xll.RssIndexMarket("NQROBO", "指標コード")</f>
        <v>NQROBO</v>
      </c>
      <c r="B61" s="1" t="str">
        <f t="array" ref="B61">_xll.RssIndexMarket("NQROBO", "指標名称")</f>
        <v>NASDAQ CTA AI&amp;ロボティクス指数</v>
      </c>
      <c r="C61" s="1" t="str">
        <f t="array" ref="C61">_xll.RssIndexMarket("NQROBO", "現在日付")</f>
        <v>2026/02/28</v>
      </c>
      <c r="D61" s="1" t="str">
        <f t="array" ref="D61">_xll.RssIndexMarket("NQROBO", "更新時刻")</f>
        <v>07:15</v>
      </c>
      <c r="E61" s="2">
        <f t="array" ref="E61">_xll.RssIndexMarket("NQROBO", "現在値")</f>
        <v>1792.67</v>
      </c>
      <c r="F61" s="1" t="str">
        <f t="array" ref="F61">_xll.RssIndexMarket("NQROBO", "現在値ティック")</f>
        <v>↓</v>
      </c>
      <c r="G61" s="2">
        <f t="array" ref="G61">_xll.RssIndexMarket("NQROBO", "前日比")</f>
        <v>-25.28</v>
      </c>
      <c r="H61" s="2">
        <f t="array" ref="H61">_xll.RssIndexMarket("NQROBO", "前日比率")</f>
        <v>-1.39</v>
      </c>
      <c r="I61" s="2">
        <f t="array" ref="I61">_xll.RssIndexMarket("NQROBO", "前日終値")</f>
        <v>1817.95</v>
      </c>
      <c r="J61" s="1" t="str">
        <f t="array" ref="J61">_xll.RssIndexMarket("NQROBO", "前日日付")</f>
        <v>2026/02/26</v>
      </c>
      <c r="K61" s="2">
        <f t="array" ref="K61">_xll.RssIndexMarket("NQROBO", "始値")</f>
        <v>1819.86</v>
      </c>
      <c r="L61" s="2">
        <f t="array" ref="L61">_xll.RssIndexMarket("NQROBO", "高値")</f>
        <v>1823.64</v>
      </c>
      <c r="M61" s="2">
        <f t="array" ref="M61">_xll.RssIndexMarket("NQROBO", "安値")</f>
        <v>1781.09</v>
      </c>
      <c r="N61" s="1" t="str">
        <f t="array" ref="N61">_xll.RssIndexMarket("NQROBO", "始値時刻")</f>
        <v>-</v>
      </c>
      <c r="O61" s="1" t="str">
        <f t="array" ref="O61">_xll.RssIndexMarket("NQROBO", "高値時刻")</f>
        <v>-</v>
      </c>
      <c r="P61" s="1" t="str">
        <f t="array" ref="P61">_xll.RssIndexMarket("NQROBO", "安値時刻")</f>
        <v>-</v>
      </c>
      <c r="Q61" s="2" t="str">
        <f t="array" ref="Q61">_xll.RssIndexMarket("NQROBO", "出来高")</f>
        <v>-</v>
      </c>
      <c r="R61" s="2" t="str">
        <f t="array" ref="R61">_xll.RssIndexMarket("NQROBO", "売買代金")</f>
        <v>-</v>
      </c>
      <c r="S61" s="2">
        <f t="array" ref="S61">_xll.RssIndexMarket("NQROBO", "前年最高値")</f>
        <v>1989.05</v>
      </c>
      <c r="T61" s="2">
        <f t="array" ref="T61">_xll.RssIndexMarket("NQROBO", "前年最安値")</f>
        <v>1208.77</v>
      </c>
      <c r="U61" s="2">
        <f t="array" ref="U61">_xll.RssIndexMarket("NQROBO", "前年終値")</f>
        <v>1821.56</v>
      </c>
      <c r="V61" s="2">
        <f t="array" ref="V61">_xll.RssIndexMarket("NQROBO", "年初来高値")</f>
        <v>1958.15</v>
      </c>
      <c r="W61" s="2">
        <f t="array" ref="W61">_xll.RssIndexMarket("NQROBO", "年初来安値")</f>
        <v>1718.36</v>
      </c>
      <c r="X61" s="2">
        <f t="array" ref="X61">_xll.RssIndexMarket("NQROBO", "上場来高値")</f>
        <v>2082.08</v>
      </c>
      <c r="Y61" s="2">
        <f t="array" ref="Y61">_xll.RssIndexMarket("NQROBO", "上場来安値")</f>
        <v>791.34</v>
      </c>
      <c r="Z61" s="1" t="str">
        <f t="array" ref="Z61">_xll.RssIndexMarket("NQROBO", "上場来高値日付")</f>
        <v>2021/02/16</v>
      </c>
      <c r="AA61" s="1" t="str">
        <f t="array" ref="AA61">_xll.RssIndexMarket("NQROBO", "上場来安値日付")</f>
        <v>2020/03/19</v>
      </c>
    </row>
    <row r="62" spans="1:27">
      <c r="A62" s="1" t="str">
        <f t="array" ref="A62">_xll.RssIndexMarket("EMCLOUD", "指標コード")</f>
        <v>EMCLOUD</v>
      </c>
      <c r="B62" s="1" t="str">
        <f t="array" ref="B62">_xll.RssIndexMarket("EMCLOUD", "指標名称")</f>
        <v>BVP NASDAQエマージング・クラウド指数</v>
      </c>
      <c r="C62" s="1" t="str">
        <f t="array" ref="C62">_xll.RssIndexMarket("EMCLOUD", "現在日付")</f>
        <v>2026/02/28</v>
      </c>
      <c r="D62" s="1" t="str">
        <f t="array" ref="D62">_xll.RssIndexMarket("EMCLOUD", "更新時刻")</f>
        <v>07:15</v>
      </c>
      <c r="E62" s="2">
        <f t="array" ref="E62">_xll.RssIndexMarket("EMCLOUD", "現在値")</f>
        <v>1316.21</v>
      </c>
      <c r="F62" s="1" t="str">
        <f t="array" ref="F62">_xll.RssIndexMarket("EMCLOUD", "現在値ティック")</f>
        <v>↓</v>
      </c>
      <c r="G62" s="2">
        <f t="array" ref="G62">_xll.RssIndexMarket("EMCLOUD", "前日比")</f>
        <v>-27.27</v>
      </c>
      <c r="H62" s="2">
        <f t="array" ref="H62">_xll.RssIndexMarket("EMCLOUD", "前日比率")</f>
        <v>-2.0299999999999998</v>
      </c>
      <c r="I62" s="2">
        <f t="array" ref="I62">_xll.RssIndexMarket("EMCLOUD", "前日終値")</f>
        <v>1343.49</v>
      </c>
      <c r="J62" s="1" t="str">
        <f t="array" ref="J62">_xll.RssIndexMarket("EMCLOUD", "前日日付")</f>
        <v>2026/02/26</v>
      </c>
      <c r="K62" s="2">
        <f t="array" ref="K62">_xll.RssIndexMarket("EMCLOUD", "始値")</f>
        <v>1305.5999999999999</v>
      </c>
      <c r="L62" s="2">
        <f t="array" ref="L62">_xll.RssIndexMarket("EMCLOUD", "高値")</f>
        <v>1316.5</v>
      </c>
      <c r="M62" s="2">
        <f t="array" ref="M62">_xll.RssIndexMarket("EMCLOUD", "安値")</f>
        <v>1283.07</v>
      </c>
      <c r="N62" s="1" t="str">
        <f t="array" ref="N62">_xll.RssIndexMarket("EMCLOUD", "始値時刻")</f>
        <v>-</v>
      </c>
      <c r="O62" s="1" t="str">
        <f t="array" ref="O62">_xll.RssIndexMarket("EMCLOUD", "高値時刻")</f>
        <v>-</v>
      </c>
      <c r="P62" s="1" t="str">
        <f t="array" ref="P62">_xll.RssIndexMarket("EMCLOUD", "安値時刻")</f>
        <v>-</v>
      </c>
      <c r="Q62" s="2" t="str">
        <f t="array" ref="Q62">_xll.RssIndexMarket("EMCLOUD", "出来高")</f>
        <v>-</v>
      </c>
      <c r="R62" s="2" t="str">
        <f t="array" ref="R62">_xll.RssIndexMarket("EMCLOUD", "売買代金")</f>
        <v>-</v>
      </c>
      <c r="S62" s="2">
        <f t="array" ref="S62">_xll.RssIndexMarket("EMCLOUD", "前年最高値")</f>
        <v>2002.64</v>
      </c>
      <c r="T62" s="2">
        <f t="array" ref="T62">_xll.RssIndexMarket("EMCLOUD", "前年最安値")</f>
        <v>1304.72</v>
      </c>
      <c r="U62" s="2">
        <f t="array" ref="U62">_xll.RssIndexMarket("EMCLOUD", "前年終値")</f>
        <v>1689.21</v>
      </c>
      <c r="V62" s="2">
        <f t="array" ref="V62">_xll.RssIndexMarket("EMCLOUD", "年初来高値")</f>
        <v>1727.56</v>
      </c>
      <c r="W62" s="2">
        <f t="array" ref="W62">_xll.RssIndexMarket("EMCLOUD", "年初来安値")</f>
        <v>1216.22</v>
      </c>
      <c r="X62" s="2">
        <f t="array" ref="X62">_xll.RssIndexMarket("EMCLOUD", "上場来高値")</f>
        <v>3104.94</v>
      </c>
      <c r="Y62" s="2">
        <f t="array" ref="Y62">_xll.RssIndexMarket("EMCLOUD", "上場来安値")</f>
        <v>762.32</v>
      </c>
      <c r="Z62" s="1" t="str">
        <f t="array" ref="Z62">_xll.RssIndexMarket("EMCLOUD", "上場来高値日付")</f>
        <v>2021/11/09</v>
      </c>
      <c r="AA62" s="1" t="str">
        <f t="array" ref="AA62">_xll.RssIndexMarket("EMCLOUD", "上場来安値日付")</f>
        <v>2018/11/20</v>
      </c>
    </row>
    <row r="63" spans="1:27">
      <c r="A63" s="1" t="str">
        <f t="array" ref="A63">_xll.RssIndexMarket("NGX", "指標コード")</f>
        <v>NGX</v>
      </c>
      <c r="B63" s="1" t="str">
        <f t="array" ref="B63">_xll.RssIndexMarket("NGX", "指標名称")</f>
        <v>NASDAQネクスト・ジェネレーション100指数</v>
      </c>
      <c r="C63" s="1" t="str">
        <f t="array" ref="C63">_xll.RssIndexMarket("NGX", "現在日付")</f>
        <v>2026/02/28</v>
      </c>
      <c r="D63" s="1" t="str">
        <f t="array" ref="D63">_xll.RssIndexMarket("NGX", "更新時刻")</f>
        <v>07:15</v>
      </c>
      <c r="E63" s="2">
        <f t="array" ref="E63">_xll.RssIndexMarket("NGX", "現在値")</f>
        <v>1543.67</v>
      </c>
      <c r="F63" s="1" t="str">
        <f t="array" ref="F63">_xll.RssIndexMarket("NGX", "現在値ティック")</f>
        <v>↓</v>
      </c>
      <c r="G63" s="2">
        <f t="array" ref="G63">_xll.RssIndexMarket("NGX", "前日比")</f>
        <v>-17.13</v>
      </c>
      <c r="H63" s="2">
        <f t="array" ref="H63">_xll.RssIndexMarket("NGX", "前日比率")</f>
        <v>-1.1000000000000001</v>
      </c>
      <c r="I63" s="2">
        <f t="array" ref="I63">_xll.RssIndexMarket("NGX", "前日終値")</f>
        <v>1560.8</v>
      </c>
      <c r="J63" s="1" t="str">
        <f t="array" ref="J63">_xll.RssIndexMarket("NGX", "前日日付")</f>
        <v>2026/02/26</v>
      </c>
      <c r="K63" s="2">
        <f t="array" ref="K63">_xll.RssIndexMarket("NGX", "始値")</f>
        <v>1533.76</v>
      </c>
      <c r="L63" s="2">
        <f t="array" ref="L63">_xll.RssIndexMarket("NGX", "高値")</f>
        <v>1544.18</v>
      </c>
      <c r="M63" s="2">
        <f t="array" ref="M63">_xll.RssIndexMarket("NGX", "安値")</f>
        <v>1528.87</v>
      </c>
      <c r="N63" s="1" t="str">
        <f t="array" ref="N63">_xll.RssIndexMarket("NGX", "始値時刻")</f>
        <v>-</v>
      </c>
      <c r="O63" s="1" t="str">
        <f t="array" ref="O63">_xll.RssIndexMarket("NGX", "高値時刻")</f>
        <v>-</v>
      </c>
      <c r="P63" s="1" t="str">
        <f t="array" ref="P63">_xll.RssIndexMarket("NGX", "安値時刻")</f>
        <v>-</v>
      </c>
      <c r="Q63" s="2" t="str">
        <f t="array" ref="Q63">_xll.RssIndexMarket("NGX", "出来高")</f>
        <v>-</v>
      </c>
      <c r="R63" s="2" t="str">
        <f t="array" ref="R63">_xll.RssIndexMarket("NGX", "売買代金")</f>
        <v>-</v>
      </c>
      <c r="S63" s="2">
        <f t="array" ref="S63">_xll.RssIndexMarket("NGX", "前年最高値")</f>
        <v>1535.44</v>
      </c>
      <c r="T63" s="2">
        <f t="array" ref="T63">_xll.RssIndexMarket("NGX", "前年最安値")</f>
        <v>1006.14</v>
      </c>
      <c r="U63" s="2">
        <f t="array" ref="U63">_xll.RssIndexMarket("NGX", "前年終値")</f>
        <v>1492.01</v>
      </c>
      <c r="V63" s="2">
        <f t="array" ref="V63">_xll.RssIndexMarket("NGX", "年初来高値")</f>
        <v>1603.91</v>
      </c>
      <c r="W63" s="2">
        <f t="array" ref="W63">_xll.RssIndexMarket("NGX", "年初来安値")</f>
        <v>1497.77</v>
      </c>
      <c r="X63" s="2">
        <f t="array" ref="X63">_xll.RssIndexMarket("NGX", "上場来高値")</f>
        <v>1603.91</v>
      </c>
      <c r="Y63" s="2">
        <f t="array" ref="Y63">_xll.RssIndexMarket("NGX", "上場来安値")</f>
        <v>851.13</v>
      </c>
      <c r="Z63" s="1" t="str">
        <f t="array" ref="Z63">_xll.RssIndexMarket("NGX", "上場来高値日付")</f>
        <v>2026/01/22</v>
      </c>
      <c r="AA63" s="1" t="str">
        <f t="array" ref="AA63">_xll.RssIndexMarket("NGX", "上場来安値日付")</f>
        <v>2022/10/13</v>
      </c>
    </row>
    <row r="64" spans="1:27">
      <c r="A64" s="1" t="str">
        <f t="array" ref="A64">_xll.RssIndexMarket("VOLQ", "指標コード")</f>
        <v>VOLQ</v>
      </c>
      <c r="B64" s="1" t="str">
        <f t="array" ref="B64">_xll.RssIndexMarket("VOLQ", "指標名称")</f>
        <v>NASDAQ100ボラティリティ指数</v>
      </c>
      <c r="C64" s="1" t="str">
        <f t="array" ref="C64">_xll.RssIndexMarket("VOLQ", "現在日付")</f>
        <v/>
      </c>
      <c r="D64" s="1" t="str">
        <f t="array" ref="D64">_xll.RssIndexMarket("VOLQ", "更新時刻")</f>
        <v/>
      </c>
      <c r="E64" s="2">
        <f t="array" ref="E64">_xll.RssIndexMarket("VOLQ", "現在値")</f>
        <v>0</v>
      </c>
      <c r="F64" s="1" t="str">
        <f t="array" ref="F64">_xll.RssIndexMarket("VOLQ", "現在値ティック")</f>
        <v/>
      </c>
      <c r="G64" s="2">
        <f t="array" ref="G64">_xll.RssIndexMarket("VOLQ", "前日比")</f>
        <v>0</v>
      </c>
      <c r="H64" s="2">
        <f t="array" ref="H64">_xll.RssIndexMarket("VOLQ", "前日比率")</f>
        <v>0</v>
      </c>
      <c r="I64" s="2">
        <f t="array" ref="I64">_xll.RssIndexMarket("VOLQ", "前日終値")</f>
        <v>0</v>
      </c>
      <c r="J64" s="1" t="str">
        <f t="array" ref="J64">_xll.RssIndexMarket("VOLQ", "前日日付")</f>
        <v/>
      </c>
      <c r="K64" s="2">
        <f t="array" ref="K64">_xll.RssIndexMarket("VOLQ", "始値")</f>
        <v>0</v>
      </c>
      <c r="L64" s="2">
        <f t="array" ref="L64">_xll.RssIndexMarket("VOLQ", "高値")</f>
        <v>0</v>
      </c>
      <c r="M64" s="2">
        <f t="array" ref="M64">_xll.RssIndexMarket("VOLQ", "安値")</f>
        <v>0</v>
      </c>
      <c r="N64" s="1" t="str">
        <f t="array" ref="N64">_xll.RssIndexMarket("VOLQ", "始値時刻")</f>
        <v>-</v>
      </c>
      <c r="O64" s="1" t="str">
        <f t="array" ref="O64">_xll.RssIndexMarket("VOLQ", "高値時刻")</f>
        <v>-</v>
      </c>
      <c r="P64" s="1" t="str">
        <f t="array" ref="P64">_xll.RssIndexMarket("VOLQ", "安値時刻")</f>
        <v>-</v>
      </c>
      <c r="Q64" s="2" t="str">
        <f t="array" ref="Q64">_xll.RssIndexMarket("VOLQ", "出来高")</f>
        <v>-</v>
      </c>
      <c r="R64" s="2" t="str">
        <f t="array" ref="R64">_xll.RssIndexMarket("VOLQ", "売買代金")</f>
        <v>-</v>
      </c>
      <c r="S64" s="2">
        <f t="array" ref="S64">_xll.RssIndexMarket("VOLQ", "前年最高値")</f>
        <v>0</v>
      </c>
      <c r="T64" s="2">
        <f t="array" ref="T64">_xll.RssIndexMarket("VOLQ", "前年最安値")</f>
        <v>0</v>
      </c>
      <c r="U64" s="2">
        <f t="array" ref="U64">_xll.RssIndexMarket("VOLQ", "前年終値")</f>
        <v>0</v>
      </c>
      <c r="V64" s="2">
        <f t="array" ref="V64">_xll.RssIndexMarket("VOLQ", "年初来高値")</f>
        <v>0</v>
      </c>
      <c r="W64" s="2">
        <f t="array" ref="W64">_xll.RssIndexMarket("VOLQ", "年初来安値")</f>
        <v>0</v>
      </c>
      <c r="X64" s="2">
        <f t="array" ref="X64">_xll.RssIndexMarket("VOLQ", "上場来高値")</f>
        <v>0</v>
      </c>
      <c r="Y64" s="2">
        <f t="array" ref="Y64">_xll.RssIndexMarket("VOLQ", "上場来安値")</f>
        <v>0</v>
      </c>
      <c r="Z64" s="1" t="str">
        <f t="array" ref="Z64">_xll.RssIndexMarket("VOLQ", "上場来高値日付")</f>
        <v/>
      </c>
      <c r="AA64" s="1" t="str">
        <f t="array" ref="AA64">_xll.RssIndexMarket("VOLQ", "上場来安値日付")</f>
        <v/>
      </c>
    </row>
    <row r="65" spans="1:27">
      <c r="A65" s="1" t="str">
        <f t="array" ref="A65">_xll.RssIndexMarket("HSI", "指標コード")</f>
        <v>HSI</v>
      </c>
      <c r="B65" s="1" t="str">
        <f t="array" ref="B65">_xll.RssIndexMarket("HSI", "指標名称")</f>
        <v>香港ハンセン指数</v>
      </c>
      <c r="C65" s="1" t="str">
        <f t="array" ref="C65">_xll.RssIndexMarket("HSI", "現在日付")</f>
        <v>2026/02/27</v>
      </c>
      <c r="D65" s="1" t="str">
        <f t="array" ref="D65">_xll.RssIndexMarket("HSI", "更新時刻")</f>
        <v>17:08</v>
      </c>
      <c r="E65" s="2">
        <f t="array" ref="E65">_xll.RssIndexMarket("HSI", "現在値")</f>
        <v>26630.54</v>
      </c>
      <c r="F65" s="1" t="str">
        <f t="array" ref="F65">_xll.RssIndexMarket("HSI", "現在値ティック")</f>
        <v>↓</v>
      </c>
      <c r="G65" s="2">
        <f t="array" ref="G65">_xll.RssIndexMarket("HSI", "前日比")</f>
        <v>249.52</v>
      </c>
      <c r="H65" s="2">
        <f t="array" ref="H65">_xll.RssIndexMarket("HSI", "前日比率")</f>
        <v>0.95</v>
      </c>
      <c r="I65" s="2">
        <f t="array" ref="I65">_xll.RssIndexMarket("HSI", "前日終値")</f>
        <v>26381.02</v>
      </c>
      <c r="J65" s="1" t="str">
        <f t="array" ref="J65">_xll.RssIndexMarket("HSI", "前日日付")</f>
        <v>2026/02/26</v>
      </c>
      <c r="K65" s="2">
        <f t="array" ref="K65">_xll.RssIndexMarket("HSI", "始値")</f>
        <v>26447.05</v>
      </c>
      <c r="L65" s="2">
        <f t="array" ref="L65">_xll.RssIndexMarket("HSI", "高値")</f>
        <v>26701.5</v>
      </c>
      <c r="M65" s="2">
        <f t="array" ref="M65">_xll.RssIndexMarket("HSI", "安値")</f>
        <v>26375.7</v>
      </c>
      <c r="N65" s="1" t="str">
        <f t="array" ref="N65">_xll.RssIndexMarket("HSI", "始値時刻")</f>
        <v>-</v>
      </c>
      <c r="O65" s="1" t="str">
        <f t="array" ref="O65">_xll.RssIndexMarket("HSI", "高値時刻")</f>
        <v>-</v>
      </c>
      <c r="P65" s="1" t="str">
        <f t="array" ref="P65">_xll.RssIndexMarket("HSI", "安値時刻")</f>
        <v>-</v>
      </c>
      <c r="Q65" s="2" t="str">
        <f t="array" ref="Q65">_xll.RssIndexMarket("HSI", "出来高")</f>
        <v>-</v>
      </c>
      <c r="R65" s="2" t="str">
        <f t="array" ref="R65">_xll.RssIndexMarket("HSI", "売買代金")</f>
        <v>-</v>
      </c>
      <c r="S65" s="2">
        <f t="array" ref="S65">_xll.RssIndexMarket("HSI", "前年最高値")</f>
        <v>27381.84</v>
      </c>
      <c r="T65" s="2">
        <f t="array" ref="T65">_xll.RssIndexMarket("HSI", "前年最安値")</f>
        <v>18671.490000000002</v>
      </c>
      <c r="U65" s="2">
        <f t="array" ref="U65">_xll.RssIndexMarket("HSI", "前年終値")</f>
        <v>25630.54</v>
      </c>
      <c r="V65" s="2">
        <f t="array" ref="V65">_xll.RssIndexMarket("HSI", "年初来高値")</f>
        <v>28056.1</v>
      </c>
      <c r="W65" s="2">
        <f t="array" ref="W65">_xll.RssIndexMarket("HSI", "年初来安値")</f>
        <v>25717.42</v>
      </c>
      <c r="X65" s="2">
        <f t="array" ref="X65">_xll.RssIndexMarket("HSI", "上場来高値")</f>
        <v>33484.080000000002</v>
      </c>
      <c r="Y65" s="2">
        <f t="array" ref="Y65">_xll.RssIndexMarket("HSI", "上場来安値")</f>
        <v>58.61</v>
      </c>
      <c r="Z65" s="1" t="str">
        <f t="array" ref="Z65">_xll.RssIndexMarket("HSI", "上場来高値日付")</f>
        <v>2018/01/29</v>
      </c>
      <c r="AA65" s="1" t="str">
        <f t="array" ref="AA65">_xll.RssIndexMarket("HSI", "上場来安値日付")</f>
        <v>1967/08/31</v>
      </c>
    </row>
    <row r="66" spans="1:27">
      <c r="A66" s="1" t="str">
        <f t="array" ref="A66">_xll.RssIndexMarket("HSCEI", "指標コード")</f>
        <v>HSCEI</v>
      </c>
      <c r="B66" s="1" t="str">
        <f t="array" ref="B66">_xll.RssIndexMarket("HSCEI", "指標名称")</f>
        <v>ハンセンH株指数</v>
      </c>
      <c r="C66" s="1" t="str">
        <f t="array" ref="C66">_xll.RssIndexMarket("HSCEI", "現在日付")</f>
        <v>2026/02/27</v>
      </c>
      <c r="D66" s="1" t="str">
        <f t="array" ref="D66">_xll.RssIndexMarket("HSCEI", "更新時刻")</f>
        <v>17:08</v>
      </c>
      <c r="E66" s="2">
        <f t="array" ref="E66">_xll.RssIndexMarket("HSCEI", "現在値")</f>
        <v>8859.49</v>
      </c>
      <c r="F66" s="1" t="str">
        <f t="array" ref="F66">_xll.RssIndexMarket("HSCEI", "現在値ティック")</f>
        <v>↓</v>
      </c>
      <c r="G66" s="2">
        <f t="array" ref="G66">_xll.RssIndexMarket("HSCEI", "前日比")</f>
        <v>45.2</v>
      </c>
      <c r="H66" s="2">
        <f t="array" ref="H66">_xll.RssIndexMarket("HSCEI", "前日比率")</f>
        <v>0.51</v>
      </c>
      <c r="I66" s="2">
        <f t="array" ref="I66">_xll.RssIndexMarket("HSCEI", "前日終値")</f>
        <v>8814.2900000000009</v>
      </c>
      <c r="J66" s="1" t="str">
        <f t="array" ref="J66">_xll.RssIndexMarket("HSCEI", "前日日付")</f>
        <v>2026/02/26</v>
      </c>
      <c r="K66" s="2">
        <f t="array" ref="K66">_xll.RssIndexMarket("HSCEI", "始値")</f>
        <v>8817.5300000000007</v>
      </c>
      <c r="L66" s="2">
        <f t="array" ref="L66">_xll.RssIndexMarket("HSCEI", "高値")</f>
        <v>8892.2999999999993</v>
      </c>
      <c r="M66" s="2">
        <f t="array" ref="M66">_xll.RssIndexMarket("HSCEI", "安値")</f>
        <v>8790.7199999999993</v>
      </c>
      <c r="N66" s="1" t="str">
        <f t="array" ref="N66">_xll.RssIndexMarket("HSCEI", "始値時刻")</f>
        <v>-</v>
      </c>
      <c r="O66" s="1" t="str">
        <f t="array" ref="O66">_xll.RssIndexMarket("HSCEI", "高値時刻")</f>
        <v>-</v>
      </c>
      <c r="P66" s="1" t="str">
        <f t="array" ref="P66">_xll.RssIndexMarket("HSCEI", "安値時刻")</f>
        <v>-</v>
      </c>
      <c r="Q66" s="2" t="str">
        <f t="array" ref="Q66">_xll.RssIndexMarket("HSCEI", "出来高")</f>
        <v>-</v>
      </c>
      <c r="R66" s="2" t="str">
        <f t="array" ref="R66">_xll.RssIndexMarket("HSCEI", "売買代金")</f>
        <v>-</v>
      </c>
      <c r="S66" s="2">
        <f t="array" ref="S66">_xll.RssIndexMarket("HSCEI", "前年最高値")</f>
        <v>9770.2099999999991</v>
      </c>
      <c r="T66" s="2">
        <f t="array" ref="T66">_xll.RssIndexMarket("HSCEI", "前年最安値")</f>
        <v>6762.65</v>
      </c>
      <c r="U66" s="2">
        <f t="array" ref="U66">_xll.RssIndexMarket("HSCEI", "前年終値")</f>
        <v>8913.68</v>
      </c>
      <c r="V66" s="2">
        <f t="array" ref="V66">_xll.RssIndexMarket("HSCEI", "年初来高値")</f>
        <v>9585.82</v>
      </c>
      <c r="W66" s="2">
        <f t="array" ref="W66">_xll.RssIndexMarket("HSCEI", "年初来安値")</f>
        <v>8814.2900000000009</v>
      </c>
      <c r="X66" s="2">
        <f t="array" ref="X66">_xll.RssIndexMarket("HSCEI", "上場来高値")</f>
        <v>20609.099999999999</v>
      </c>
      <c r="Y66" s="2">
        <f t="array" ref="Y66">_xll.RssIndexMarket("HSCEI", "上場来安値")</f>
        <v>1677.41</v>
      </c>
      <c r="Z66" s="1" t="str">
        <f t="array" ref="Z66">_xll.RssIndexMarket("HSCEI", "上場来高値日付")</f>
        <v>2007/11/01</v>
      </c>
      <c r="AA66" s="1" t="str">
        <f t="array" ref="AA66">_xll.RssIndexMarket("HSCEI", "上場来安値日付")</f>
        <v>2001/10/19</v>
      </c>
    </row>
    <row r="67" spans="1:27">
      <c r="A67" s="1" t="str">
        <f t="array" ref="A67">_xll.RssIndexMarket("HSCCI", "指標コード")</f>
        <v>HSCCI</v>
      </c>
      <c r="B67" s="1" t="str">
        <f t="array" ref="B67">_xll.RssIndexMarket("HSCCI", "指標名称")</f>
        <v>ハンセンレッドチップ指数</v>
      </c>
      <c r="C67" s="1" t="str">
        <f t="array" ref="C67">_xll.RssIndexMarket("HSCCI", "現在日付")</f>
        <v>2026/02/27</v>
      </c>
      <c r="D67" s="1" t="str">
        <f t="array" ref="D67">_xll.RssIndexMarket("HSCCI", "更新時刻")</f>
        <v>17:08</v>
      </c>
      <c r="E67" s="2">
        <f t="array" ref="E67">_xll.RssIndexMarket("HSCCI", "現在値")</f>
        <v>4439.6499999999996</v>
      </c>
      <c r="F67" s="1" t="str">
        <f t="array" ref="F67">_xll.RssIndexMarket("HSCCI", "現在値ティック")</f>
        <v>↑</v>
      </c>
      <c r="G67" s="2">
        <f t="array" ref="G67">_xll.RssIndexMarket("HSCCI", "前日比")</f>
        <v>27.8</v>
      </c>
      <c r="H67" s="2">
        <f t="array" ref="H67">_xll.RssIndexMarket("HSCCI", "前日比率")</f>
        <v>0.63</v>
      </c>
      <c r="I67" s="2">
        <f t="array" ref="I67">_xll.RssIndexMarket("HSCCI", "前日終値")</f>
        <v>4411.8500000000004</v>
      </c>
      <c r="J67" s="1" t="str">
        <f t="array" ref="J67">_xll.RssIndexMarket("HSCCI", "前日日付")</f>
        <v>2026/02/26</v>
      </c>
      <c r="K67" s="2">
        <f t="array" ref="K67">_xll.RssIndexMarket("HSCCI", "始値")</f>
        <v>4409.07</v>
      </c>
      <c r="L67" s="2">
        <f t="array" ref="L67">_xll.RssIndexMarket("HSCCI", "高値")</f>
        <v>4439.6499999999996</v>
      </c>
      <c r="M67" s="2">
        <f t="array" ref="M67">_xll.RssIndexMarket("HSCCI", "安値")</f>
        <v>4391.8900000000003</v>
      </c>
      <c r="N67" s="1" t="str">
        <f t="array" ref="N67">_xll.RssIndexMarket("HSCCI", "始値時刻")</f>
        <v>-</v>
      </c>
      <c r="O67" s="1" t="str">
        <f t="array" ref="O67">_xll.RssIndexMarket("HSCCI", "高値時刻")</f>
        <v>-</v>
      </c>
      <c r="P67" s="1" t="str">
        <f t="array" ref="P67">_xll.RssIndexMarket("HSCCI", "安値時刻")</f>
        <v>-</v>
      </c>
      <c r="Q67" s="2" t="str">
        <f t="array" ref="Q67">_xll.RssIndexMarket("HSCCI", "出来高")</f>
        <v>-</v>
      </c>
      <c r="R67" s="2" t="str">
        <f t="array" ref="R67">_xll.RssIndexMarket("HSCCI", "売買代金")</f>
        <v>-</v>
      </c>
      <c r="S67" s="2">
        <f t="array" ref="S67">_xll.RssIndexMarket("HSCCI", "前年最高値")</f>
        <v>4432.6000000000004</v>
      </c>
      <c r="T67" s="2">
        <f t="array" ref="T67">_xll.RssIndexMarket("HSCCI", "前年最安値")</f>
        <v>3423.82</v>
      </c>
      <c r="U67" s="2">
        <f t="array" ref="U67">_xll.RssIndexMarket("HSCCI", "前年終値")</f>
        <v>4015.5</v>
      </c>
      <c r="V67" s="2">
        <f t="array" ref="V67">_xll.RssIndexMarket("HSCCI", "年初来高値")</f>
        <v>4511.88</v>
      </c>
      <c r="W67" s="2">
        <f t="array" ref="W67">_xll.RssIndexMarket("HSCCI", "年初来安値")</f>
        <v>4019.01</v>
      </c>
      <c r="X67" s="2">
        <f t="array" ref="X67">_xll.RssIndexMarket("HSCCI", "上場来高値")</f>
        <v>7107.94</v>
      </c>
      <c r="Y67" s="2">
        <f t="array" ref="Y67">_xll.RssIndexMarket("HSCCI", "上場来安値")</f>
        <v>836.74</v>
      </c>
      <c r="Z67" s="1" t="str">
        <f t="array" ref="Z67">_xll.RssIndexMarket("HSCCI", "上場来高値日付")</f>
        <v>2007/10/30</v>
      </c>
      <c r="AA67" s="1" t="str">
        <f t="array" ref="AA67">_xll.RssIndexMarket("HSCCI", "上場来安値日付")</f>
        <v>2003/04/25</v>
      </c>
    </row>
    <row r="68" spans="1:27">
      <c r="A68" s="1" t="str">
        <f t="array" ref="A68">_xll.RssIndexMarket("SSEC", "指標コード")</f>
        <v>SSEC</v>
      </c>
      <c r="B68" s="1" t="str">
        <f t="array" ref="B68">_xll.RssIndexMarket("SSEC", "指標名称")</f>
        <v>上海総合指数</v>
      </c>
      <c r="C68" s="1" t="str">
        <f t="array" ref="C68">_xll.RssIndexMarket("SSEC", "現在日付")</f>
        <v>2026/02/27</v>
      </c>
      <c r="D68" s="1" t="str">
        <f t="array" ref="D68">_xll.RssIndexMarket("SSEC", "更新時刻")</f>
        <v>16:00</v>
      </c>
      <c r="E68" s="2">
        <f t="array" ref="E68">_xll.RssIndexMarket("SSEC", "現在値")</f>
        <v>4162.8815000000004</v>
      </c>
      <c r="F68" s="1" t="str">
        <f t="array" ref="F68">_xll.RssIndexMarket("SSEC", "現在値ティック")</f>
        <v>↓</v>
      </c>
      <c r="G68" s="2">
        <f t="array" ref="G68">_xll.RssIndexMarket("SSEC", "前日比")</f>
        <v>16.250399999999999</v>
      </c>
      <c r="H68" s="2">
        <f t="array" ref="H68">_xll.RssIndexMarket("SSEC", "前日比率")</f>
        <v>0.39189400000000002</v>
      </c>
      <c r="I68" s="2">
        <f t="array" ref="I68">_xll.RssIndexMarket("SSEC", "前日終値")</f>
        <v>4146.6310999999996</v>
      </c>
      <c r="J68" s="1" t="str">
        <f t="array" ref="J68">_xll.RssIndexMarket("SSEC", "前日日付")</f>
        <v>2026/02/26</v>
      </c>
      <c r="K68" s="2">
        <f t="array" ref="K68">_xll.RssIndexMarket("SSEC", "始値")</f>
        <v>4128.8973999999998</v>
      </c>
      <c r="L68" s="2">
        <f t="array" ref="L68">_xll.RssIndexMarket("SSEC", "高値")</f>
        <v>4166.2344000000003</v>
      </c>
      <c r="M68" s="2">
        <f t="array" ref="M68">_xll.RssIndexMarket("SSEC", "安値")</f>
        <v>4128.3599999999997</v>
      </c>
      <c r="N68" s="1" t="str">
        <f t="array" ref="N68">_xll.RssIndexMarket("SSEC", "始値時刻")</f>
        <v>-</v>
      </c>
      <c r="O68" s="1" t="str">
        <f t="array" ref="O68">_xll.RssIndexMarket("SSEC", "高値時刻")</f>
        <v>-</v>
      </c>
      <c r="P68" s="1" t="str">
        <f t="array" ref="P68">_xll.RssIndexMarket("SSEC", "安値時刻")</f>
        <v>-</v>
      </c>
      <c r="Q68" s="2" t="str">
        <f t="array" ref="Q68">_xll.RssIndexMarket("SSEC", "出来高")</f>
        <v>-</v>
      </c>
      <c r="R68" s="2" t="str">
        <f t="array" ref="R68">_xll.RssIndexMarket("SSEC", "売買代金")</f>
        <v>-</v>
      </c>
      <c r="S68" s="2">
        <f t="array" ref="S68">_xll.RssIndexMarket("SSEC", "前年最高値")</f>
        <v>0</v>
      </c>
      <c r="T68" s="2">
        <f t="array" ref="T68">_xll.RssIndexMarket("SSEC", "前年最安値")</f>
        <v>0</v>
      </c>
      <c r="U68" s="2">
        <f t="array" ref="U68">_xll.RssIndexMarket("SSEC", "前年終値")</f>
        <v>3968.8400999999999</v>
      </c>
      <c r="V68" s="2">
        <f t="array" ref="V68">_xll.RssIndexMarket("SSEC", "年初来高値")</f>
        <v>4190.8662999999997</v>
      </c>
      <c r="W68" s="2">
        <f t="array" ref="W68">_xll.RssIndexMarket("SSEC", "年初来安値")</f>
        <v>3983.5758999999998</v>
      </c>
      <c r="X68" s="2">
        <f t="array" ref="X68">_xll.RssIndexMarket("SSEC", "上場来高値")</f>
        <v>6124.0439500000002</v>
      </c>
      <c r="Y68" s="2">
        <f t="array" ref="Y68">_xll.RssIndexMarket("SSEC", "上場来安値")</f>
        <v>325.92200000000003</v>
      </c>
      <c r="Z68" s="1" t="str">
        <f t="array" ref="Z68">_xll.RssIndexMarket("SSEC", "上場来高値日付")</f>
        <v>2007/10/16</v>
      </c>
      <c r="AA68" s="1" t="str">
        <f t="array" ref="AA68">_xll.RssIndexMarket("SSEC", "上場来安値日付")</f>
        <v>1994/07/29</v>
      </c>
    </row>
    <row r="69" spans="1:27">
      <c r="A69" s="1" t="str">
        <f t="array" ref="A69">_xll.RssIndexMarket("SSEA", "指標コード")</f>
        <v>SSEA</v>
      </c>
      <c r="B69" s="1" t="str">
        <f t="array" ref="B69">_xll.RssIndexMarket("SSEA", "指標名称")</f>
        <v>上海A株指数</v>
      </c>
      <c r="C69" s="1" t="str">
        <f t="array" ref="C69">_xll.RssIndexMarket("SSEA", "現在日付")</f>
        <v>2026/02/27</v>
      </c>
      <c r="D69" s="1" t="str">
        <f t="array" ref="D69">_xll.RssIndexMarket("SSEA", "更新時刻")</f>
        <v>17:29</v>
      </c>
      <c r="E69" s="2">
        <f t="array" ref="E69">_xll.RssIndexMarket("SSEA", "現在値")</f>
        <v>4365.1071000000002</v>
      </c>
      <c r="F69" s="1" t="str">
        <f t="array" ref="F69">_xll.RssIndexMarket("SSEA", "現在値ティック")</f>
        <v>↓</v>
      </c>
      <c r="G69" s="2">
        <f t="array" ref="G69">_xll.RssIndexMarket("SSEA", "前日比")</f>
        <v>17.0608</v>
      </c>
      <c r="H69" s="2">
        <f t="array" ref="H69">_xll.RssIndexMarket("SSEA", "前日比率")</f>
        <v>0.39</v>
      </c>
      <c r="I69" s="2">
        <f t="array" ref="I69">_xll.RssIndexMarket("SSEA", "前日終値")</f>
        <v>4348.0463</v>
      </c>
      <c r="J69" s="1" t="str">
        <f t="array" ref="J69">_xll.RssIndexMarket("SSEA", "前日日付")</f>
        <v>2026/02/26</v>
      </c>
      <c r="K69" s="2">
        <f t="array" ref="K69">_xll.RssIndexMarket("SSEA", "始値")</f>
        <v>4329.4197999999997</v>
      </c>
      <c r="L69" s="2">
        <f t="array" ref="L69">_xll.RssIndexMarket("SSEA", "高値")</f>
        <v>4368.6268</v>
      </c>
      <c r="M69" s="2">
        <f t="array" ref="M69">_xll.RssIndexMarket("SSEA", "安値")</f>
        <v>4328.8689000000004</v>
      </c>
      <c r="N69" s="1" t="str">
        <f t="array" ref="N69">_xll.RssIndexMarket("SSEA", "始値時刻")</f>
        <v>-</v>
      </c>
      <c r="O69" s="1" t="str">
        <f t="array" ref="O69">_xll.RssIndexMarket("SSEA", "高値時刻")</f>
        <v>-</v>
      </c>
      <c r="P69" s="1" t="str">
        <f t="array" ref="P69">_xll.RssIndexMarket("SSEA", "安値時刻")</f>
        <v>-</v>
      </c>
      <c r="Q69" s="2" t="str">
        <f t="array" ref="Q69">_xll.RssIndexMarket("SSEA", "出来高")</f>
        <v>-</v>
      </c>
      <c r="R69" s="2" t="str">
        <f t="array" ref="R69">_xll.RssIndexMarket("SSEA", "売買代金")</f>
        <v>-</v>
      </c>
      <c r="S69" s="2">
        <f t="array" ref="S69">_xll.RssIndexMarket("SSEA", "前年最高値")</f>
        <v>4229.5582999999997</v>
      </c>
      <c r="T69" s="2">
        <f t="array" ref="T69">_xll.RssIndexMarket("SSEA", "前年最安値")</f>
        <v>3186.8797</v>
      </c>
      <c r="U69" s="2">
        <f t="array" ref="U69">_xll.RssIndexMarket("SSEA", "前年終値")</f>
        <v>4161.3558999999996</v>
      </c>
      <c r="V69" s="2">
        <f t="array" ref="V69">_xll.RssIndexMarket("SSEA", "年初来高値")</f>
        <v>4394.4501</v>
      </c>
      <c r="W69" s="2">
        <f t="array" ref="W69">_xll.RssIndexMarket("SSEA", "年初来安値")</f>
        <v>4176.8195999999998</v>
      </c>
      <c r="X69" s="2">
        <f t="array" ref="X69">_xll.RssIndexMarket("SSEA", "上場来高値")</f>
        <v>5423.2479000000003</v>
      </c>
      <c r="Y69" s="2">
        <f t="array" ref="Y69">_xll.RssIndexMarket("SSEA", "上場来安値")</f>
        <v>1935.5909999999999</v>
      </c>
      <c r="Z69" s="1" t="str">
        <f t="array" ref="Z69">_xll.RssIndexMarket("SSEA", "上場来高値日付")</f>
        <v>2015/06/12</v>
      </c>
      <c r="AA69" s="1" t="str">
        <f t="array" ref="AA69">_xll.RssIndexMarket("SSEA", "上場来安値日付")</f>
        <v>2013/06/25</v>
      </c>
    </row>
    <row r="70" spans="1:27">
      <c r="A70" s="1" t="str">
        <f t="array" ref="A70">_xll.RssIndexMarket("SHKSC", "指標コード")</f>
        <v>SHKSC</v>
      </c>
      <c r="B70" s="1" t="str">
        <f t="array" ref="B70">_xll.RssIndexMarket("SHKSC", "指標名称")</f>
        <v>上海・香港ストックコネクト</v>
      </c>
      <c r="C70" s="1" t="str">
        <f t="array" ref="C70">_xll.RssIndexMarket("SHKSC", "現在日付")</f>
        <v>2026/02/27</v>
      </c>
      <c r="D70" s="1" t="str">
        <f t="array" ref="D70">_xll.RssIndexMarket("SHKSC", "更新時刻")</f>
        <v>17:29</v>
      </c>
      <c r="E70" s="2">
        <f t="array" ref="E70">_xll.RssIndexMarket("SHKSC", "現在値")</f>
        <v>3933.9857999999999</v>
      </c>
      <c r="F70" s="1" t="str">
        <f t="array" ref="F70">_xll.RssIndexMarket("SHKSC", "現在値ティック")</f>
        <v>↓</v>
      </c>
      <c r="G70" s="2">
        <f t="array" ref="G70">_xll.RssIndexMarket("SHKSC", "前日比")</f>
        <v>19.7727</v>
      </c>
      <c r="H70" s="2">
        <f t="array" ref="H70">_xll.RssIndexMarket("SHKSC", "前日比率")</f>
        <v>0.5</v>
      </c>
      <c r="I70" s="2">
        <f t="array" ref="I70">_xll.RssIndexMarket("SHKSC", "前日終値")</f>
        <v>3914.2130999999999</v>
      </c>
      <c r="J70" s="1" t="str">
        <f t="array" ref="J70">_xll.RssIndexMarket("SHKSC", "前日日付")</f>
        <v>2026/02/26</v>
      </c>
      <c r="K70" s="2">
        <f t="array" ref="K70">_xll.RssIndexMarket("SHKSC", "始値")</f>
        <v>3894.8481999999999</v>
      </c>
      <c r="L70" s="2">
        <f t="array" ref="L70">_xll.RssIndexMarket("SHKSC", "高値")</f>
        <v>3936.4173000000001</v>
      </c>
      <c r="M70" s="2">
        <f t="array" ref="M70">_xll.RssIndexMarket("SHKSC", "安値")</f>
        <v>3894.8481999999999</v>
      </c>
      <c r="N70" s="1" t="str">
        <f t="array" ref="N70">_xll.RssIndexMarket("SHKSC", "始値時刻")</f>
        <v>-</v>
      </c>
      <c r="O70" s="1" t="str">
        <f t="array" ref="O70">_xll.RssIndexMarket("SHKSC", "高値時刻")</f>
        <v>-</v>
      </c>
      <c r="P70" s="1" t="str">
        <f t="array" ref="P70">_xll.RssIndexMarket("SHKSC", "安値時刻")</f>
        <v>-</v>
      </c>
      <c r="Q70" s="2" t="str">
        <f t="array" ref="Q70">_xll.RssIndexMarket("SHKSC", "出来高")</f>
        <v>-</v>
      </c>
      <c r="R70" s="2" t="str">
        <f t="array" ref="R70">_xll.RssIndexMarket("SHKSC", "売買代金")</f>
        <v>-</v>
      </c>
      <c r="S70" s="2">
        <f t="array" ref="S70">_xll.RssIndexMarket("SHKSC", "前年最高値")</f>
        <v>3717.0509999999999</v>
      </c>
      <c r="T70" s="2">
        <f t="array" ref="T70">_xll.RssIndexMarket("SHKSC", "前年最安値")</f>
        <v>2807.4407999999999</v>
      </c>
      <c r="U70" s="2">
        <f t="array" ref="U70">_xll.RssIndexMarket("SHKSC", "前年終値")</f>
        <v>3669.9095000000002</v>
      </c>
      <c r="V70" s="2">
        <f t="array" ref="V70">_xll.RssIndexMarket("SHKSC", "年初来高値")</f>
        <v>3935.4241999999999</v>
      </c>
      <c r="W70" s="2">
        <f t="array" ref="W70">_xll.RssIndexMarket("SHKSC", "年初来安値")</f>
        <v>3691.4823000000001</v>
      </c>
      <c r="X70" s="2">
        <f t="array" ref="X70">_xll.RssIndexMarket("SHKSC", "上場来高値")</f>
        <v>4640.0555999999997</v>
      </c>
      <c r="Y70" s="2">
        <f t="array" ref="Y70">_xll.RssIndexMarket("SHKSC", "上場来安値")</f>
        <v>2122.0810000000001</v>
      </c>
      <c r="Z70" s="1" t="str">
        <f t="array" ref="Z70">_xll.RssIndexMarket("SHKSC", "上場来高値日付")</f>
        <v>2015/06/15</v>
      </c>
      <c r="AA70" s="1" t="str">
        <f t="array" ref="AA70">_xll.RssIndexMarket("SHKSC", "上場来安値日付")</f>
        <v>2014/11/20</v>
      </c>
    </row>
    <row r="71" spans="1:27">
      <c r="A71" s="1" t="str">
        <f t="array" ref="A71">_xll.RssIndexMarket("CSI300", "指標コード")</f>
        <v>CSI300</v>
      </c>
      <c r="B71" s="1" t="str">
        <f t="array" ref="B71">_xll.RssIndexMarket("CSI300", "指標名称")</f>
        <v>CSI300</v>
      </c>
      <c r="C71" s="1" t="str">
        <f t="array" ref="C71">_xll.RssIndexMarket("CSI300", "現在日付")</f>
        <v>2026/02/27</v>
      </c>
      <c r="D71" s="1" t="str">
        <f t="array" ref="D71">_xll.RssIndexMarket("CSI300", "更新時刻")</f>
        <v>16:00</v>
      </c>
      <c r="E71" s="2">
        <f t="array" ref="E71">_xll.RssIndexMarket("CSI300", "現在値")</f>
        <v>4710.6468999999997</v>
      </c>
      <c r="F71" s="1" t="str">
        <f t="array" ref="F71">_xll.RssIndexMarket("CSI300", "現在値ティック")</f>
        <v>↓</v>
      </c>
      <c r="G71" s="2">
        <f t="array" ref="G71">_xll.RssIndexMarket("CSI300", "前日比")</f>
        <v>-16.227</v>
      </c>
      <c r="H71" s="2">
        <f t="array" ref="H71">_xll.RssIndexMarket("CSI300", "前日比率")</f>
        <v>-0.34329199999999999</v>
      </c>
      <c r="I71" s="2">
        <f t="array" ref="I71">_xll.RssIndexMarket("CSI300", "前日終値")</f>
        <v>4726.8738999999996</v>
      </c>
      <c r="J71" s="1" t="str">
        <f t="array" ref="J71">_xll.RssIndexMarket("CSI300", "前日日付")</f>
        <v>2026/02/26</v>
      </c>
      <c r="K71" s="2">
        <f t="array" ref="K71">_xll.RssIndexMarket("CSI300", "始値")</f>
        <v>4698.3</v>
      </c>
      <c r="L71" s="2">
        <f t="array" ref="L71">_xll.RssIndexMarket("CSI300", "高値")</f>
        <v>4721.0141000000003</v>
      </c>
      <c r="M71" s="2">
        <f t="array" ref="M71">_xll.RssIndexMarket("CSI300", "安値")</f>
        <v>4692.8909999999996</v>
      </c>
      <c r="N71" s="1" t="str">
        <f t="array" ref="N71">_xll.RssIndexMarket("CSI300", "始値時刻")</f>
        <v>-</v>
      </c>
      <c r="O71" s="1" t="str">
        <f t="array" ref="O71">_xll.RssIndexMarket("CSI300", "高値時刻")</f>
        <v>-</v>
      </c>
      <c r="P71" s="1" t="str">
        <f t="array" ref="P71">_xll.RssIndexMarket("CSI300", "安値時刻")</f>
        <v>-</v>
      </c>
      <c r="Q71" s="2" t="str">
        <f t="array" ref="Q71">_xll.RssIndexMarket("CSI300", "出来高")</f>
        <v>-</v>
      </c>
      <c r="R71" s="2" t="str">
        <f t="array" ref="R71">_xll.RssIndexMarket("CSI300", "売買代金")</f>
        <v>-</v>
      </c>
      <c r="S71" s="2">
        <f t="array" ref="S71">_xll.RssIndexMarket("CSI300", "前年最高値")</f>
        <v>0</v>
      </c>
      <c r="T71" s="2">
        <f t="array" ref="T71">_xll.RssIndexMarket("CSI300", "前年最安値")</f>
        <v>0</v>
      </c>
      <c r="U71" s="2">
        <f t="array" ref="U71">_xll.RssIndexMarket("CSI300", "前年終値")</f>
        <v>4629.9395000000004</v>
      </c>
      <c r="V71" s="2">
        <f t="array" ref="V71">_xll.RssIndexMarket("CSI300", "年初来高値")</f>
        <v>4836.9548999999997</v>
      </c>
      <c r="W71" s="2">
        <f t="array" ref="W71">_xll.RssIndexMarket("CSI300", "年初来安値")</f>
        <v>4578.2087000000001</v>
      </c>
      <c r="X71" s="2">
        <f t="array" ref="X71">_xll.RssIndexMarket("CSI300", "上場来高値")</f>
        <v>5930.9121999999998</v>
      </c>
      <c r="Y71" s="2">
        <f t="array" ref="Y71">_xll.RssIndexMarket("CSI300", "上場来安値")</f>
        <v>807.78399999999999</v>
      </c>
      <c r="Z71" s="1" t="str">
        <f t="array" ref="Z71">_xll.RssIndexMarket("CSI300", "上場来高値日付")</f>
        <v>2021/02/18</v>
      </c>
      <c r="AA71" s="1" t="str">
        <f t="array" ref="AA71">_xll.RssIndexMarket("CSI300", "上場来安値日付")</f>
        <v>2005/06/06</v>
      </c>
    </row>
    <row r="72" spans="1:27">
      <c r="A72" s="1" t="str" cm="1">
        <f t="array" ref="A72">_xll.RssIndexMarket("N225.FUT01.OS", "指標コード")</f>
        <v/>
      </c>
      <c r="B72" s="1" t="str">
        <f t="array" ref="B72">_xll.RssIndexMarket("N225.FUT01.OS", "指標名称")</f>
        <v/>
      </c>
      <c r="C72" s="1" t="str">
        <f t="array" ref="C72">_xll.RssIndexMarket("N225.FUT01.OS", "現在日付")</f>
        <v>2026/02/28</v>
      </c>
      <c r="D72" s="1" t="str">
        <f t="array" ref="D72">_xll.RssIndexMarket("N225.FUT01.OS", "更新時刻")</f>
        <v/>
      </c>
      <c r="E72" s="2">
        <f t="array" ref="E72">_xll.RssIndexMarket("N225.FUT01.OS", "現在値")</f>
        <v>58640</v>
      </c>
      <c r="F72" s="1" t="str">
        <f t="array" ref="F72">_xll.RssIndexMarket("N225.FUT01.OS", "現在値ティック")</f>
        <v>↑</v>
      </c>
      <c r="G72" s="2">
        <f t="array" ref="G72">_xll.RssIndexMarket("N225.FUT01.OS", "前日比")</f>
        <v>-460</v>
      </c>
      <c r="H72" s="2">
        <f t="array" ref="H72">_xll.RssIndexMarket("N225.FUT01.OS", "前日比率")</f>
        <v>-0.78</v>
      </c>
      <c r="I72" s="2">
        <f t="array" ref="I72">_xll.RssIndexMarket("N225.FUT01.OS", "前日終値")</f>
        <v>59100</v>
      </c>
      <c r="J72" s="1" t="str">
        <f t="array" ref="J72">_xll.RssIndexMarket("N225.FUT01.OS", "前日日付")</f>
        <v>2026/02/27</v>
      </c>
      <c r="K72" s="2">
        <f t="array" ref="K72">_xll.RssIndexMarket("N225.FUT01.OS", "始値")</f>
        <v>59220</v>
      </c>
      <c r="L72" s="2">
        <f t="array" ref="L72">_xll.RssIndexMarket("N225.FUT01.OS", "高値")</f>
        <v>59420</v>
      </c>
      <c r="M72" s="2">
        <f t="array" ref="M72">_xll.RssIndexMarket("N225.FUT01.OS", "安値")</f>
        <v>58390</v>
      </c>
      <c r="N72" s="1" t="str">
        <f t="array" ref="N72">_xll.RssIndexMarket("N225.FUT01.OS", "始値時刻")</f>
        <v>17:00</v>
      </c>
      <c r="O72" s="1" t="str">
        <f t="array" ref="O72">_xll.RssIndexMarket("N225.FUT01.OS", "高値時刻")</f>
        <v>18:22</v>
      </c>
      <c r="P72" s="1" t="str">
        <f t="array" ref="P72">_xll.RssIndexMarket("N225.FUT01.OS", "安値時刻")</f>
        <v>23:42</v>
      </c>
      <c r="Q72" s="2">
        <f t="array" ref="Q72">_xll.RssIndexMarket("N225.FUT01.OS", "出来高")</f>
        <v>11746</v>
      </c>
      <c r="R72" s="2">
        <f t="array" ref="R72">_xll.RssIndexMarket("N225.FUT01.OS", "売買代金")</f>
        <v>691689250</v>
      </c>
      <c r="S72" s="2" t="str">
        <f t="array" ref="S72">_xll.RssIndexMarket("N225.FUT01.OS", "前年最高値")</f>
        <v/>
      </c>
      <c r="T72" s="2" t="str">
        <f t="array" ref="T72">_xll.RssIndexMarket("N225.FUT01.OS", "前年最安値")</f>
        <v/>
      </c>
      <c r="U72" s="2" t="str">
        <f t="array" ref="U72">_xll.RssIndexMarket("N225.FUT01.OS", "前年終値")</f>
        <v/>
      </c>
      <c r="V72" s="2" t="str">
        <f t="array" ref="V72">_xll.RssIndexMarket("N225.FUT01.OS", "年初来高値")</f>
        <v/>
      </c>
      <c r="W72" s="2" t="str">
        <f t="array" ref="W72">_xll.RssIndexMarket("N225.FUT01.OS", "年初来安値")</f>
        <v/>
      </c>
      <c r="X72" s="2" t="str">
        <f t="array" ref="X72">_xll.RssIndexMarket("N225.FUT01.OS", "上場来高値")</f>
        <v/>
      </c>
      <c r="Y72" s="2" t="str">
        <f t="array" ref="Y72">_xll.RssIndexMarket("N225.FUT01.OS", "上場来安値")</f>
        <v/>
      </c>
      <c r="Z72" s="1" t="str">
        <f t="array" ref="Z72">_xll.RssIndexMarket("N225.FUT01.OS", "上場来高値日付")</f>
        <v/>
      </c>
      <c r="AA72" s="1" t="str">
        <f t="array" ref="AA72">_xll.RssIndexMarket("N225.FUT01.OS", "上場来安値日付")</f>
        <v/>
      </c>
    </row>
    <row r="73" spans="1:27">
      <c r="A73" s="1" t="str">
        <f t="array" ref="A73">_xll.RssIndexMarket("N225.FUT02.OS", "指標コード")</f>
        <v/>
      </c>
      <c r="B73" s="1" t="str">
        <f t="array" ref="B73">_xll.RssIndexMarket("N225.FUT02.OS", "指標名称")</f>
        <v/>
      </c>
      <c r="C73" s="1" t="str">
        <f t="array" ref="C73">_xll.RssIndexMarket("N225.FUT02.OS", "現在日付")</f>
        <v>2026/02/28</v>
      </c>
      <c r="D73" s="1" t="str">
        <f t="array" ref="D73">_xll.RssIndexMarket("N225.FUT02.OS", "更新時刻")</f>
        <v/>
      </c>
      <c r="E73" s="2">
        <f t="array" ref="E73">_xll.RssIndexMarket("N225.FUT02.OS", "現在値")</f>
        <v>58440</v>
      </c>
      <c r="F73" s="1" t="str">
        <f t="array" ref="F73">_xll.RssIndexMarket("N225.FUT02.OS", "現在値ティック")</f>
        <v>↑</v>
      </c>
      <c r="G73" s="2">
        <f t="array" ref="G73">_xll.RssIndexMarket("N225.FUT02.OS", "前日比")</f>
        <v>-460</v>
      </c>
      <c r="H73" s="2">
        <f t="array" ref="H73">_xll.RssIndexMarket("N225.FUT02.OS", "前日比率")</f>
        <v>-0.78</v>
      </c>
      <c r="I73" s="2">
        <f t="array" ref="I73">_xll.RssIndexMarket("N225.FUT02.OS", "前日終値")</f>
        <v>58900</v>
      </c>
      <c r="J73" s="1" t="str">
        <f t="array" ref="J73">_xll.RssIndexMarket("N225.FUT02.OS", "前日日付")</f>
        <v>2026/02/27</v>
      </c>
      <c r="K73" s="2">
        <f t="array" ref="K73">_xll.RssIndexMarket("N225.FUT02.OS", "始値")</f>
        <v>59020</v>
      </c>
      <c r="L73" s="2">
        <f t="array" ref="L73">_xll.RssIndexMarket("N225.FUT02.OS", "高値")</f>
        <v>59210</v>
      </c>
      <c r="M73" s="2">
        <f t="array" ref="M73">_xll.RssIndexMarket("N225.FUT02.OS", "安値")</f>
        <v>58200</v>
      </c>
      <c r="N73" s="1" t="str">
        <f t="array" ref="N73">_xll.RssIndexMarket("N225.FUT02.OS", "始値時刻")</f>
        <v>17:00</v>
      </c>
      <c r="O73" s="1" t="str">
        <f t="array" ref="O73">_xll.RssIndexMarket("N225.FUT02.OS", "高値時刻")</f>
        <v>18:21</v>
      </c>
      <c r="P73" s="1" t="str">
        <f t="array" ref="P73">_xll.RssIndexMarket("N225.FUT02.OS", "安値時刻")</f>
        <v>23:42</v>
      </c>
      <c r="Q73" s="2">
        <f t="array" ref="Q73">_xll.RssIndexMarket("N225.FUT02.OS", "出来高")</f>
        <v>365</v>
      </c>
      <c r="R73" s="2">
        <f t="array" ref="R73">_xll.RssIndexMarket("N225.FUT02.OS", "売買代金")</f>
        <v>21460540</v>
      </c>
      <c r="S73" s="2" t="str">
        <f t="array" ref="S73">_xll.RssIndexMarket("N225.FUT02.OS", "前年最高値")</f>
        <v/>
      </c>
      <c r="T73" s="2" t="str">
        <f t="array" ref="T73">_xll.RssIndexMarket("N225.FUT02.OS", "前年最安値")</f>
        <v/>
      </c>
      <c r="U73" s="2" t="str">
        <f t="array" ref="U73">_xll.RssIndexMarket("N225.FUT02.OS", "前年終値")</f>
        <v/>
      </c>
      <c r="V73" s="2" t="str">
        <f t="array" ref="V73">_xll.RssIndexMarket("N225.FUT02.OS", "年初来高値")</f>
        <v/>
      </c>
      <c r="W73" s="2" t="str">
        <f t="array" ref="W73">_xll.RssIndexMarket("N225.FUT02.OS", "年初来安値")</f>
        <v/>
      </c>
      <c r="X73" s="2" t="str">
        <f t="array" ref="X73">_xll.RssIndexMarket("N225.FUT02.OS", "上場来高値")</f>
        <v/>
      </c>
      <c r="Y73" s="2" t="str">
        <f t="array" ref="Y73">_xll.RssIndexMarket("N225.FUT02.OS", "上場来安値")</f>
        <v/>
      </c>
      <c r="Z73" s="1" t="str">
        <f t="array" ref="Z73">_xll.RssIndexMarket("N225.FUT02.OS", "上場来高値日付")</f>
        <v/>
      </c>
      <c r="AA73" s="1" t="str">
        <f t="array" ref="AA73">_xll.RssIndexMarket("N225.FUT02.OS", "上場来安値日付")</f>
        <v/>
      </c>
    </row>
    <row r="74" spans="1:27">
      <c r="A74" s="1" t="str">
        <f t="array" ref="A74">_xll.RssIndexMarket("N225.FUT03.OS", "指標コード")</f>
        <v/>
      </c>
      <c r="B74" s="1" t="str">
        <f t="array" ref="B74">_xll.RssIndexMarket("N225.FUT03.OS", "指標名称")</f>
        <v/>
      </c>
      <c r="C74" s="1" t="str">
        <f t="array" ref="C74">_xll.RssIndexMarket("N225.FUT03.OS", "現在日付")</f>
        <v>2026/02/27</v>
      </c>
      <c r="D74" s="1" t="str">
        <f t="array" ref="D74">_xll.RssIndexMarket("N225.FUT03.OS", "更新時刻")</f>
        <v/>
      </c>
      <c r="E74" s="2">
        <f t="array" ref="E74">_xll.RssIndexMarket("N225.FUT03.OS", "現在値")</f>
        <v>58490</v>
      </c>
      <c r="F74" s="1" t="str">
        <f t="array" ref="F74">_xll.RssIndexMarket("N225.FUT03.OS", "現在値ティック")</f>
        <v>↓</v>
      </c>
      <c r="G74" s="2">
        <f t="array" ref="G74">_xll.RssIndexMarket("N225.FUT03.OS", "前日比")</f>
        <v>-560</v>
      </c>
      <c r="H74" s="2">
        <f t="array" ref="H74">_xll.RssIndexMarket("N225.FUT03.OS", "前日比率")</f>
        <v>-0.95</v>
      </c>
      <c r="I74" s="2">
        <f t="array" ref="I74">_xll.RssIndexMarket("N225.FUT03.OS", "前日終値")</f>
        <v>59050</v>
      </c>
      <c r="J74" s="1" t="str">
        <f t="array" ref="J74">_xll.RssIndexMarket("N225.FUT03.OS", "前日日付")</f>
        <v>2026/02/27</v>
      </c>
      <c r="K74" s="2">
        <f t="array" ref="K74">_xll.RssIndexMarket("N225.FUT03.OS", "始値")</f>
        <v>59180</v>
      </c>
      <c r="L74" s="2">
        <f t="array" ref="L74">_xll.RssIndexMarket("N225.FUT03.OS", "高値")</f>
        <v>59180</v>
      </c>
      <c r="M74" s="2">
        <f t="array" ref="M74">_xll.RssIndexMarket("N225.FUT03.OS", "安値")</f>
        <v>58490</v>
      </c>
      <c r="N74" s="1" t="str">
        <f t="array" ref="N74">_xll.RssIndexMarket("N225.FUT03.OS", "始値時刻")</f>
        <v>17:02</v>
      </c>
      <c r="O74" s="1" t="str">
        <f t="array" ref="O74">_xll.RssIndexMarket("N225.FUT03.OS", "高値時刻")</f>
        <v>17:02</v>
      </c>
      <c r="P74" s="1" t="str">
        <f t="array" ref="P74">_xll.RssIndexMarket("N225.FUT03.OS", "安値時刻")</f>
        <v>22:34</v>
      </c>
      <c r="Q74" s="2">
        <f t="array" ref="Q74">_xll.RssIndexMarket("N225.FUT03.OS", "出来高")</f>
        <v>2</v>
      </c>
      <c r="R74" s="2">
        <f t="array" ref="R74">_xll.RssIndexMarket("N225.FUT03.OS", "売買代金")</f>
        <v>117670</v>
      </c>
      <c r="S74" s="2" t="str">
        <f t="array" ref="S74">_xll.RssIndexMarket("N225.FUT03.OS", "前年最高値")</f>
        <v/>
      </c>
      <c r="T74" s="2" t="str">
        <f t="array" ref="T74">_xll.RssIndexMarket("N225.FUT03.OS", "前年最安値")</f>
        <v/>
      </c>
      <c r="U74" s="2" t="str">
        <f t="array" ref="U74">_xll.RssIndexMarket("N225.FUT03.OS", "前年終値")</f>
        <v/>
      </c>
      <c r="V74" s="2" t="str">
        <f t="array" ref="V74">_xll.RssIndexMarket("N225.FUT03.OS", "年初来高値")</f>
        <v/>
      </c>
      <c r="W74" s="2" t="str">
        <f t="array" ref="W74">_xll.RssIndexMarket("N225.FUT03.OS", "年初来安値")</f>
        <v/>
      </c>
      <c r="X74" s="2" t="str">
        <f t="array" ref="X74">_xll.RssIndexMarket("N225.FUT03.OS", "上場来高値")</f>
        <v/>
      </c>
      <c r="Y74" s="2" t="str">
        <f t="array" ref="Y74">_xll.RssIndexMarket("N225.FUT03.OS", "上場来安値")</f>
        <v/>
      </c>
      <c r="Z74" s="1" t="str">
        <f t="array" ref="Z74">_xll.RssIndexMarket("N225.FUT03.OS", "上場来高値日付")</f>
        <v/>
      </c>
      <c r="AA74" s="1" t="str">
        <f t="array" ref="AA74">_xll.RssIndexMarket("N225.FUT03.OS", "上場来安値日付")</f>
        <v/>
      </c>
    </row>
    <row r="75" spans="1:27">
      <c r="A75" s="1" t="str">
        <f t="array" ref="A75">_xll.RssIndexMarket("N225.FUT04.OS", "指標コード")</f>
        <v/>
      </c>
      <c r="B75" s="1" t="str">
        <f t="array" ref="B75">_xll.RssIndexMarket("N225.FUT04.OS", "指標名称")</f>
        <v/>
      </c>
      <c r="C75" s="1" t="str">
        <f t="array" ref="C75">_xll.RssIndexMarket("N225.FUT04.OS", "現在日付")</f>
        <v>2026/02/28</v>
      </c>
      <c r="D75" s="1" t="str">
        <f t="array" ref="D75">_xll.RssIndexMarket("N225.FUT04.OS", "更新時刻")</f>
        <v/>
      </c>
      <c r="E75" s="2">
        <f t="array" ref="E75">_xll.RssIndexMarket("N225.FUT04.OS", "現在値")</f>
        <v>58280</v>
      </c>
      <c r="F75" s="1" t="str">
        <f t="array" ref="F75">_xll.RssIndexMarket("N225.FUT04.OS", "現在値ティック")</f>
        <v>↑</v>
      </c>
      <c r="G75" s="2">
        <f t="array" ref="G75">_xll.RssIndexMarket("N225.FUT04.OS", "前日比")</f>
        <v>-320</v>
      </c>
      <c r="H75" s="2">
        <f t="array" ref="H75">_xll.RssIndexMarket("N225.FUT04.OS", "前日比率")</f>
        <v>-0.55000000000000004</v>
      </c>
      <c r="I75" s="2">
        <f t="array" ref="I75">_xll.RssIndexMarket("N225.FUT04.OS", "前日終値")</f>
        <v>58600</v>
      </c>
      <c r="J75" s="1" t="str">
        <f t="array" ref="J75">_xll.RssIndexMarket("N225.FUT04.OS", "前日日付")</f>
        <v>2026/02/27</v>
      </c>
      <c r="K75" s="2">
        <f t="array" ref="K75">_xll.RssIndexMarket("N225.FUT04.OS", "始値")</f>
        <v>59100</v>
      </c>
      <c r="L75" s="2">
        <f t="array" ref="L75">_xll.RssIndexMarket("N225.FUT04.OS", "高値")</f>
        <v>59100</v>
      </c>
      <c r="M75" s="2">
        <f t="array" ref="M75">_xll.RssIndexMarket("N225.FUT04.OS", "安値")</f>
        <v>58210</v>
      </c>
      <c r="N75" s="1" t="str">
        <f t="array" ref="N75">_xll.RssIndexMarket("N225.FUT04.OS", "始値時刻")</f>
        <v>17:30</v>
      </c>
      <c r="O75" s="1" t="str">
        <f t="array" ref="O75">_xll.RssIndexMarket("N225.FUT04.OS", "高値時刻")</f>
        <v>17:30</v>
      </c>
      <c r="P75" s="1" t="str">
        <f t="array" ref="P75">_xll.RssIndexMarket("N225.FUT04.OS", "安値時刻")</f>
        <v>23:58</v>
      </c>
      <c r="Q75" s="2">
        <f t="array" ref="Q75">_xll.RssIndexMarket("N225.FUT04.OS", "出来高")</f>
        <v>6</v>
      </c>
      <c r="R75" s="2">
        <f t="array" ref="R75">_xll.RssIndexMarket("N225.FUT04.OS", "売買代金")</f>
        <v>350770</v>
      </c>
      <c r="S75" s="2" t="str">
        <f t="array" ref="S75">_xll.RssIndexMarket("N225.FUT04.OS", "前年最高値")</f>
        <v/>
      </c>
      <c r="T75" s="2" t="str">
        <f t="array" ref="T75">_xll.RssIndexMarket("N225.FUT04.OS", "前年最安値")</f>
        <v/>
      </c>
      <c r="U75" s="2" t="str">
        <f t="array" ref="U75">_xll.RssIndexMarket("N225.FUT04.OS", "前年終値")</f>
        <v/>
      </c>
      <c r="V75" s="2" t="str">
        <f t="array" ref="V75">_xll.RssIndexMarket("N225.FUT04.OS", "年初来高値")</f>
        <v/>
      </c>
      <c r="W75" s="2" t="str">
        <f t="array" ref="W75">_xll.RssIndexMarket("N225.FUT04.OS", "年初来安値")</f>
        <v/>
      </c>
      <c r="X75" s="2" t="str">
        <f t="array" ref="X75">_xll.RssIndexMarket("N225.FUT04.OS", "上場来高値")</f>
        <v/>
      </c>
      <c r="Y75" s="2" t="str">
        <f t="array" ref="Y75">_xll.RssIndexMarket("N225.FUT04.OS", "上場来安値")</f>
        <v/>
      </c>
      <c r="Z75" s="1" t="str">
        <f t="array" ref="Z75">_xll.RssIndexMarket("N225.FUT04.OS", "上場来高値日付")</f>
        <v/>
      </c>
      <c r="AA75" s="1" t="str">
        <f t="array" ref="AA75">_xll.RssIndexMarket("N225.FUT04.OS", "上場来安値日付")</f>
        <v/>
      </c>
    </row>
    <row r="76" spans="1:27">
      <c r="A76" s="1" t="str">
        <f t="array" ref="A76">_xll.RssIndexMarket("N225.FUT05.OS", "指標コード")</f>
        <v/>
      </c>
      <c r="B76" s="1" t="str">
        <f t="array" ref="B76">_xll.RssIndexMarket("N225.FUT05.OS", "指標名称")</f>
        <v/>
      </c>
      <c r="C76" s="1" t="str">
        <f t="array" ref="C76">_xll.RssIndexMarket("N225.FUT05.OS", "現在日付")</f>
        <v>2026/02/27</v>
      </c>
      <c r="D76" s="1" t="str">
        <f t="array" ref="D76">_xll.RssIndexMarket("N225.FUT05.OS", "更新時刻")</f>
        <v/>
      </c>
      <c r="E76" s="2">
        <f t="array" ref="E76">_xll.RssIndexMarket("N225.FUT05.OS", "現在値")</f>
        <v>59000</v>
      </c>
      <c r="F76" s="1" t="str">
        <f t="array" ref="F76">_xll.RssIndexMarket("N225.FUT05.OS", "現在値ティック")</f>
        <v>↑</v>
      </c>
      <c r="G76" s="2">
        <f t="array" ref="G76">_xll.RssIndexMarket("N225.FUT05.OS", "前日比")</f>
        <v>240</v>
      </c>
      <c r="H76" s="2">
        <f t="array" ref="H76">_xll.RssIndexMarket("N225.FUT05.OS", "前日比率")</f>
        <v>0.41</v>
      </c>
      <c r="I76" s="2">
        <f t="array" ref="I76">_xll.RssIndexMarket("N225.FUT05.OS", "前日終値")</f>
        <v>58760</v>
      </c>
      <c r="J76" s="1" t="str">
        <f t="array" ref="J76">_xll.RssIndexMarket("N225.FUT05.OS", "前日日付")</f>
        <v>2026/02/27</v>
      </c>
      <c r="K76" s="2">
        <f t="array" ref="K76">_xll.RssIndexMarket("N225.FUT05.OS", "始値")</f>
        <v>59000</v>
      </c>
      <c r="L76" s="2">
        <f t="array" ref="L76">_xll.RssIndexMarket("N225.FUT05.OS", "高値")</f>
        <v>59000</v>
      </c>
      <c r="M76" s="2">
        <f t="array" ref="M76">_xll.RssIndexMarket("N225.FUT05.OS", "安値")</f>
        <v>59000</v>
      </c>
      <c r="N76" s="1" t="str">
        <f t="array" ref="N76">_xll.RssIndexMarket("N225.FUT05.OS", "始値時刻")</f>
        <v>17:00</v>
      </c>
      <c r="O76" s="1" t="str">
        <f t="array" ref="O76">_xll.RssIndexMarket("N225.FUT05.OS", "高値時刻")</f>
        <v>17:00</v>
      </c>
      <c r="P76" s="1" t="str">
        <f t="array" ref="P76">_xll.RssIndexMarket("N225.FUT05.OS", "安値時刻")</f>
        <v>17:00</v>
      </c>
      <c r="Q76" s="2">
        <f t="array" ref="Q76">_xll.RssIndexMarket("N225.FUT05.OS", "出来高")</f>
        <v>2</v>
      </c>
      <c r="R76" s="2">
        <f t="array" ref="R76">_xll.RssIndexMarket("N225.FUT05.OS", "売買代金")</f>
        <v>118000</v>
      </c>
      <c r="S76" s="2" t="str">
        <f t="array" ref="S76">_xll.RssIndexMarket("N225.FUT05.OS", "前年最高値")</f>
        <v/>
      </c>
      <c r="T76" s="2" t="str">
        <f t="array" ref="T76">_xll.RssIndexMarket("N225.FUT05.OS", "前年最安値")</f>
        <v/>
      </c>
      <c r="U76" s="2" t="str">
        <f t="array" ref="U76">_xll.RssIndexMarket("N225.FUT05.OS", "前年終値")</f>
        <v/>
      </c>
      <c r="V76" s="2" t="str">
        <f t="array" ref="V76">_xll.RssIndexMarket("N225.FUT05.OS", "年初来高値")</f>
        <v/>
      </c>
      <c r="W76" s="2" t="str">
        <f t="array" ref="W76">_xll.RssIndexMarket("N225.FUT05.OS", "年初来安値")</f>
        <v/>
      </c>
      <c r="X76" s="2" t="str">
        <f t="array" ref="X76">_xll.RssIndexMarket("N225.FUT05.OS", "上場来高値")</f>
        <v/>
      </c>
      <c r="Y76" s="2" t="str">
        <f t="array" ref="Y76">_xll.RssIndexMarket("N225.FUT05.OS", "上場来安値")</f>
        <v/>
      </c>
      <c r="Z76" s="1" t="str">
        <f t="array" ref="Z76">_xll.RssIndexMarket("N225.FUT05.OS", "上場来高値日付")</f>
        <v/>
      </c>
      <c r="AA76" s="1" t="str">
        <f t="array" ref="AA76">_xll.RssIndexMarket("N225.FUT05.OS", "上場来安値日付")</f>
        <v/>
      </c>
    </row>
    <row r="77" spans="1:27">
      <c r="A77" s="1" t="str">
        <f t="array" ref="A77">_xll.RssIndexMarket("N225M.FUT01.OS", "指標コード")</f>
        <v/>
      </c>
      <c r="B77" s="1" t="str">
        <f t="array" ref="B77">_xll.RssIndexMarket("N225M.FUT01.OS", "指標名称")</f>
        <v/>
      </c>
      <c r="C77" s="1" t="str">
        <f t="array" ref="C77">_xll.RssIndexMarket("N225M.FUT01.OS", "現在日付")</f>
        <v>2026/02/28</v>
      </c>
      <c r="D77" s="1" t="str">
        <f t="array" ref="D77">_xll.RssIndexMarket("N225M.FUT01.OS", "更新時刻")</f>
        <v/>
      </c>
      <c r="E77" s="2">
        <f t="array" ref="E77">_xll.RssIndexMarket("N225M.FUT01.OS", "現在値")</f>
        <v>58685</v>
      </c>
      <c r="F77" s="1" t="str">
        <f t="array" ref="F77">_xll.RssIndexMarket("N225M.FUT01.OS", "現在値ティック")</f>
        <v>↑</v>
      </c>
      <c r="G77" s="2">
        <f t="array" ref="G77">_xll.RssIndexMarket("N225M.FUT01.OS", "前日比")</f>
        <v>-415</v>
      </c>
      <c r="H77" s="2">
        <f t="array" ref="H77">_xll.RssIndexMarket("N225M.FUT01.OS", "前日比率")</f>
        <v>-0.7</v>
      </c>
      <c r="I77" s="2">
        <f t="array" ref="I77">_xll.RssIndexMarket("N225M.FUT01.OS", "前日終値")</f>
        <v>59100</v>
      </c>
      <c r="J77" s="1" t="str">
        <f t="array" ref="J77">_xll.RssIndexMarket("N225M.FUT01.OS", "前日日付")</f>
        <v>2026/02/27</v>
      </c>
      <c r="K77" s="2">
        <f t="array" ref="K77">_xll.RssIndexMarket("N225M.FUT01.OS", "始値")</f>
        <v>59220</v>
      </c>
      <c r="L77" s="2">
        <f t="array" ref="L77">_xll.RssIndexMarket("N225M.FUT01.OS", "高値")</f>
        <v>59425</v>
      </c>
      <c r="M77" s="2">
        <f t="array" ref="M77">_xll.RssIndexMarket("N225M.FUT01.OS", "安値")</f>
        <v>58355</v>
      </c>
      <c r="N77" s="1" t="str">
        <f t="array" ref="N77">_xll.RssIndexMarket("N225M.FUT01.OS", "始値時刻")</f>
        <v>17:00</v>
      </c>
      <c r="O77" s="1" t="str">
        <f t="array" ref="O77">_xll.RssIndexMarket("N225M.FUT01.OS", "高値時刻")</f>
        <v>18:22</v>
      </c>
      <c r="P77" s="1" t="str">
        <f t="array" ref="P77">_xll.RssIndexMarket("N225M.FUT01.OS", "安値時刻")</f>
        <v>23:42</v>
      </c>
      <c r="Q77" s="2">
        <f t="array" ref="Q77">_xll.RssIndexMarket("N225M.FUT01.OS", "出来高")</f>
        <v>257046</v>
      </c>
      <c r="R77" s="2">
        <f t="array" ref="R77">_xll.RssIndexMarket("N225M.FUT01.OS", "売買代金")</f>
        <v>1512733860</v>
      </c>
      <c r="S77" s="2" t="str">
        <f t="array" ref="S77">_xll.RssIndexMarket("N225M.FUT01.OS", "前年最高値")</f>
        <v/>
      </c>
      <c r="T77" s="2" t="str">
        <f t="array" ref="T77">_xll.RssIndexMarket("N225M.FUT01.OS", "前年最安値")</f>
        <v/>
      </c>
      <c r="U77" s="2" t="str">
        <f t="array" ref="U77">_xll.RssIndexMarket("N225M.FUT01.OS", "前年終値")</f>
        <v/>
      </c>
      <c r="V77" s="2" t="str">
        <f t="array" ref="V77">_xll.RssIndexMarket("N225M.FUT01.OS", "年初来高値")</f>
        <v/>
      </c>
      <c r="W77" s="2" t="str">
        <f t="array" ref="W77">_xll.RssIndexMarket("N225M.FUT01.OS", "年初来安値")</f>
        <v/>
      </c>
      <c r="X77" s="2" t="str">
        <f t="array" ref="X77">_xll.RssIndexMarket("N225M.FUT01.OS", "上場来高値")</f>
        <v/>
      </c>
      <c r="Y77" s="2" t="str">
        <f t="array" ref="Y77">_xll.RssIndexMarket("N225M.FUT01.OS", "上場来安値")</f>
        <v/>
      </c>
      <c r="Z77" s="1" t="str">
        <f t="array" ref="Z77">_xll.RssIndexMarket("N225M.FUT01.OS", "上場来高値日付")</f>
        <v/>
      </c>
      <c r="AA77" s="1" t="str">
        <f t="array" ref="AA77">_xll.RssIndexMarket("N225M.FUT01.OS", "上場来安値日付")</f>
        <v/>
      </c>
    </row>
    <row r="78" spans="1:27">
      <c r="A78" s="1" t="str">
        <f t="array" ref="A78">_xll.RssIndexMarket("N225M.FUT02.OS", "指標コード")</f>
        <v/>
      </c>
      <c r="B78" s="1" t="str">
        <f t="array" ref="B78">_xll.RssIndexMarket("N225M.FUT02.OS", "指標名称")</f>
        <v/>
      </c>
      <c r="C78" s="1" t="str">
        <f t="array" ref="C78">_xll.RssIndexMarket("N225M.FUT02.OS", "現在日付")</f>
        <v>2026/02/28</v>
      </c>
      <c r="D78" s="1" t="str">
        <f t="array" ref="D78">_xll.RssIndexMarket("N225M.FUT02.OS", "更新時刻")</f>
        <v/>
      </c>
      <c r="E78" s="2">
        <f t="array" ref="E78">_xll.RssIndexMarket("N225M.FUT02.OS", "現在値")</f>
        <v>58315</v>
      </c>
      <c r="F78" s="1" t="str">
        <f t="array" ref="F78">_xll.RssIndexMarket("N225M.FUT02.OS", "現在値ティック")</f>
        <v>↓</v>
      </c>
      <c r="G78" s="2">
        <f t="array" ref="G78">_xll.RssIndexMarket("N225M.FUT02.OS", "前日比")</f>
        <v>-480</v>
      </c>
      <c r="H78" s="2">
        <f t="array" ref="H78">_xll.RssIndexMarket("N225M.FUT02.OS", "前日比率")</f>
        <v>-0.82</v>
      </c>
      <c r="I78" s="2">
        <f t="array" ref="I78">_xll.RssIndexMarket("N225M.FUT02.OS", "前日終値")</f>
        <v>58795</v>
      </c>
      <c r="J78" s="1" t="str">
        <f t="array" ref="J78">_xll.RssIndexMarket("N225M.FUT02.OS", "前日日付")</f>
        <v>2026/02/27</v>
      </c>
      <c r="K78" s="2">
        <f t="array" ref="K78">_xll.RssIndexMarket("N225M.FUT02.OS", "始値")</f>
        <v>58860</v>
      </c>
      <c r="L78" s="2">
        <f t="array" ref="L78">_xll.RssIndexMarket("N225M.FUT02.OS", "高値")</f>
        <v>59110</v>
      </c>
      <c r="M78" s="2">
        <f t="array" ref="M78">_xll.RssIndexMarket("N225M.FUT02.OS", "安値")</f>
        <v>58075</v>
      </c>
      <c r="N78" s="1" t="str">
        <f t="array" ref="N78">_xll.RssIndexMarket("N225M.FUT02.OS", "始値時刻")</f>
        <v>17:00</v>
      </c>
      <c r="O78" s="1" t="str">
        <f t="array" ref="O78">_xll.RssIndexMarket("N225M.FUT02.OS", "高値時刻")</f>
        <v>18:21</v>
      </c>
      <c r="P78" s="1" t="str">
        <f t="array" ref="P78">_xll.RssIndexMarket("N225M.FUT02.OS", "安値時刻")</f>
        <v>23:43</v>
      </c>
      <c r="Q78" s="2">
        <f t="array" ref="Q78">_xll.RssIndexMarket("N225M.FUT02.OS", "出来高")</f>
        <v>2427</v>
      </c>
      <c r="R78" s="2">
        <f t="array" ref="R78">_xll.RssIndexMarket("N225M.FUT02.OS", "売買代金")</f>
        <v>14219335</v>
      </c>
      <c r="S78" s="2" t="str">
        <f t="array" ref="S78">_xll.RssIndexMarket("N225M.FUT02.OS", "前年最高値")</f>
        <v/>
      </c>
      <c r="T78" s="2" t="str">
        <f t="array" ref="T78">_xll.RssIndexMarket("N225M.FUT02.OS", "前年最安値")</f>
        <v/>
      </c>
      <c r="U78" s="2" t="str">
        <f t="array" ref="U78">_xll.RssIndexMarket("N225M.FUT02.OS", "前年終値")</f>
        <v/>
      </c>
      <c r="V78" s="2" t="str">
        <f t="array" ref="V78">_xll.RssIndexMarket("N225M.FUT02.OS", "年初来高値")</f>
        <v/>
      </c>
      <c r="W78" s="2" t="str">
        <f t="array" ref="W78">_xll.RssIndexMarket("N225M.FUT02.OS", "年初来安値")</f>
        <v/>
      </c>
      <c r="X78" s="2" t="str">
        <f t="array" ref="X78">_xll.RssIndexMarket("N225M.FUT02.OS", "上場来高値")</f>
        <v/>
      </c>
      <c r="Y78" s="2" t="str">
        <f t="array" ref="Y78">_xll.RssIndexMarket("N225M.FUT02.OS", "上場来安値")</f>
        <v/>
      </c>
      <c r="Z78" s="1" t="str">
        <f t="array" ref="Z78">_xll.RssIndexMarket("N225M.FUT02.OS", "上場来高値日付")</f>
        <v/>
      </c>
      <c r="AA78" s="1" t="str">
        <f t="array" ref="AA78">_xll.RssIndexMarket("N225M.FUT02.OS", "上場来安値日付")</f>
        <v/>
      </c>
    </row>
    <row r="79" spans="1:27">
      <c r="A79" s="1" t="str">
        <f t="array" ref="A79">_xll.RssIndexMarket("N225M.FUT03.OS", "指標コード")</f>
        <v/>
      </c>
      <c r="B79" s="1" t="str">
        <f t="array" ref="B79">_xll.RssIndexMarket("N225M.FUT03.OS", "指標名称")</f>
        <v/>
      </c>
      <c r="C79" s="1" t="str">
        <f t="array" ref="C79">_xll.RssIndexMarket("N225M.FUT03.OS", "現在日付")</f>
        <v>2026/02/28</v>
      </c>
      <c r="D79" s="1" t="str">
        <f t="array" ref="D79">_xll.RssIndexMarket("N225M.FUT03.OS", "更新時刻")</f>
        <v/>
      </c>
      <c r="E79" s="2">
        <f t="array" ref="E79">_xll.RssIndexMarket("N225M.FUT03.OS", "現在値")</f>
        <v>58345</v>
      </c>
      <c r="F79" s="1" t="str">
        <f t="array" ref="F79">_xll.RssIndexMarket("N225M.FUT03.OS", "現在値ティック")</f>
        <v>↓</v>
      </c>
      <c r="G79" s="2">
        <f t="array" ref="G79">_xll.RssIndexMarket("N225M.FUT03.OS", "前日比")</f>
        <v>-255</v>
      </c>
      <c r="H79" s="2">
        <f t="array" ref="H79">_xll.RssIndexMarket("N225M.FUT03.OS", "前日比率")</f>
        <v>-0.44</v>
      </c>
      <c r="I79" s="2">
        <f t="array" ref="I79">_xll.RssIndexMarket("N225M.FUT03.OS", "前日終値")</f>
        <v>58600</v>
      </c>
      <c r="J79" s="1" t="str">
        <f t="array" ref="J79">_xll.RssIndexMarket("N225M.FUT03.OS", "前日日付")</f>
        <v>2026/02/27</v>
      </c>
      <c r="K79" s="2">
        <f t="array" ref="K79">_xll.RssIndexMarket("N225M.FUT03.OS", "始値")</f>
        <v>59005</v>
      </c>
      <c r="L79" s="2">
        <f t="array" ref="L79">_xll.RssIndexMarket("N225M.FUT03.OS", "高値")</f>
        <v>59150</v>
      </c>
      <c r="M79" s="2">
        <f t="array" ref="M79">_xll.RssIndexMarket("N225M.FUT03.OS", "安値")</f>
        <v>58210</v>
      </c>
      <c r="N79" s="1" t="str">
        <f t="array" ref="N79">_xll.RssIndexMarket("N225M.FUT03.OS", "始値時刻")</f>
        <v>17:00</v>
      </c>
      <c r="O79" s="1" t="str">
        <f t="array" ref="O79">_xll.RssIndexMarket("N225M.FUT03.OS", "高値時刻")</f>
        <v>18:22</v>
      </c>
      <c r="P79" s="1" t="str">
        <f t="array" ref="P79">_xll.RssIndexMarket("N225M.FUT03.OS", "安値時刻")</f>
        <v>23:55</v>
      </c>
      <c r="Q79" s="2">
        <f t="array" ref="Q79">_xll.RssIndexMarket("N225M.FUT03.OS", "出来高")</f>
        <v>137</v>
      </c>
      <c r="R79" s="2">
        <f t="array" ref="R79">_xll.RssIndexMarket("N225M.FUT03.OS", "売買代金")</f>
        <v>805205</v>
      </c>
      <c r="S79" s="2" t="str">
        <f t="array" ref="S79">_xll.RssIndexMarket("N225M.FUT03.OS", "前年最高値")</f>
        <v/>
      </c>
      <c r="T79" s="2" t="str">
        <f t="array" ref="T79">_xll.RssIndexMarket("N225M.FUT03.OS", "前年最安値")</f>
        <v/>
      </c>
      <c r="U79" s="2" t="str">
        <f t="array" ref="U79">_xll.RssIndexMarket("N225M.FUT03.OS", "前年終値")</f>
        <v/>
      </c>
      <c r="V79" s="2" t="str">
        <f t="array" ref="V79">_xll.RssIndexMarket("N225M.FUT03.OS", "年初来高値")</f>
        <v/>
      </c>
      <c r="W79" s="2" t="str">
        <f t="array" ref="W79">_xll.RssIndexMarket("N225M.FUT03.OS", "年初来安値")</f>
        <v/>
      </c>
      <c r="X79" s="2" t="str">
        <f t="array" ref="X79">_xll.RssIndexMarket("N225M.FUT03.OS", "上場来高値")</f>
        <v/>
      </c>
      <c r="Y79" s="2" t="str">
        <f t="array" ref="Y79">_xll.RssIndexMarket("N225M.FUT03.OS", "上場来安値")</f>
        <v/>
      </c>
      <c r="Z79" s="1" t="str">
        <f t="array" ref="Z79">_xll.RssIndexMarket("N225M.FUT03.OS", "上場来高値日付")</f>
        <v/>
      </c>
      <c r="AA79" s="1" t="str">
        <f t="array" ref="AA79">_xll.RssIndexMarket("N225M.FUT03.OS", "上場来安値日付")</f>
        <v/>
      </c>
    </row>
    <row r="80" spans="1:27">
      <c r="A80" s="1" t="str">
        <f t="array" ref="A80">_xll.RssIndexMarket("N225M.FUT04.OS", "指標コード")</f>
        <v/>
      </c>
      <c r="B80" s="1" t="str">
        <f t="array" ref="B80">_xll.RssIndexMarket("N225M.FUT04.OS", "指標名称")</f>
        <v/>
      </c>
      <c r="C80" s="1" t="str">
        <f t="array" ref="C80">_xll.RssIndexMarket("N225M.FUT04.OS", "現在日付")</f>
        <v>2026/02/28</v>
      </c>
      <c r="D80" s="1" t="str">
        <f t="array" ref="D80">_xll.RssIndexMarket("N225M.FUT04.OS", "更新時刻")</f>
        <v/>
      </c>
      <c r="E80" s="2">
        <f t="array" ref="E80">_xll.RssIndexMarket("N225M.FUT04.OS", "現在値")</f>
        <v>58485</v>
      </c>
      <c r="F80" s="1" t="str">
        <f t="array" ref="F80">_xll.RssIndexMarket("N225M.FUT04.OS", "現在値ティック")</f>
        <v>↑</v>
      </c>
      <c r="G80" s="2">
        <f t="array" ref="G80">_xll.RssIndexMarket("N225M.FUT04.OS", "前日比")</f>
        <v>-410</v>
      </c>
      <c r="H80" s="2">
        <f t="array" ref="H80">_xll.RssIndexMarket("N225M.FUT04.OS", "前日比率")</f>
        <v>-0.7</v>
      </c>
      <c r="I80" s="2">
        <f t="array" ref="I80">_xll.RssIndexMarket("N225M.FUT04.OS", "前日終値")</f>
        <v>58895</v>
      </c>
      <c r="J80" s="1" t="str">
        <f t="array" ref="J80">_xll.RssIndexMarket("N225M.FUT04.OS", "前日日付")</f>
        <v>2026/02/27</v>
      </c>
      <c r="K80" s="2">
        <f t="array" ref="K80">_xll.RssIndexMarket("N225M.FUT04.OS", "始値")</f>
        <v>59005</v>
      </c>
      <c r="L80" s="2">
        <f t="array" ref="L80">_xll.RssIndexMarket("N225M.FUT04.OS", "高値")</f>
        <v>59220</v>
      </c>
      <c r="M80" s="2">
        <f t="array" ref="M80">_xll.RssIndexMarket("N225M.FUT04.OS", "安値")</f>
        <v>58190</v>
      </c>
      <c r="N80" s="1" t="str">
        <f t="array" ref="N80">_xll.RssIndexMarket("N225M.FUT04.OS", "始値時刻")</f>
        <v>17:00</v>
      </c>
      <c r="O80" s="1" t="str">
        <f t="array" ref="O80">_xll.RssIndexMarket("N225M.FUT04.OS", "高値時刻")</f>
        <v>18:22</v>
      </c>
      <c r="P80" s="1" t="str">
        <f t="array" ref="P80">_xll.RssIndexMarket("N225M.FUT04.OS", "安値時刻")</f>
        <v>23:43</v>
      </c>
      <c r="Q80" s="2">
        <f t="array" ref="Q80">_xll.RssIndexMarket("N225M.FUT04.OS", "出来高")</f>
        <v>14576</v>
      </c>
      <c r="R80" s="2">
        <f t="array" ref="R80">_xll.RssIndexMarket("N225M.FUT04.OS", "売買代金")</f>
        <v>85605181</v>
      </c>
      <c r="S80" s="2" t="str">
        <f t="array" ref="S80">_xll.RssIndexMarket("N225M.FUT04.OS", "前年最高値")</f>
        <v/>
      </c>
      <c r="T80" s="2" t="str">
        <f t="array" ref="T80">_xll.RssIndexMarket("N225M.FUT04.OS", "前年最安値")</f>
        <v/>
      </c>
      <c r="U80" s="2" t="str">
        <f t="array" ref="U80">_xll.RssIndexMarket("N225M.FUT04.OS", "前年終値")</f>
        <v/>
      </c>
      <c r="V80" s="2" t="str">
        <f t="array" ref="V80">_xll.RssIndexMarket("N225M.FUT04.OS", "年初来高値")</f>
        <v/>
      </c>
      <c r="W80" s="2" t="str">
        <f t="array" ref="W80">_xll.RssIndexMarket("N225M.FUT04.OS", "年初来安値")</f>
        <v/>
      </c>
      <c r="X80" s="2" t="str">
        <f t="array" ref="X80">_xll.RssIndexMarket("N225M.FUT04.OS", "上場来高値")</f>
        <v/>
      </c>
      <c r="Y80" s="2" t="str">
        <f t="array" ref="Y80">_xll.RssIndexMarket("N225M.FUT04.OS", "上場来安値")</f>
        <v/>
      </c>
      <c r="Z80" s="1" t="str">
        <f t="array" ref="Z80">_xll.RssIndexMarket("N225M.FUT04.OS", "上場来高値日付")</f>
        <v/>
      </c>
      <c r="AA80" s="1" t="str">
        <f t="array" ref="AA80">_xll.RssIndexMarket("N225M.FUT04.OS", "上場来安値日付")</f>
        <v/>
      </c>
    </row>
    <row r="81" spans="1:27">
      <c r="A81" s="1" t="str">
        <f t="array" ref="A81">_xll.RssIndexMarket("N225M.FUT05.OS", "指標コード")</f>
        <v/>
      </c>
      <c r="B81" s="1" t="str">
        <f t="array" ref="B81">_xll.RssIndexMarket("N225M.FUT05.OS", "指標名称")</f>
        <v/>
      </c>
      <c r="C81" s="1" t="str">
        <f t="array" ref="C81">_xll.RssIndexMarket("N225M.FUT05.OS", "現在日付")</f>
        <v>2026/02/28</v>
      </c>
      <c r="D81" s="1" t="str">
        <f t="array" ref="D81">_xll.RssIndexMarket("N225M.FUT05.OS", "更新時刻")</f>
        <v/>
      </c>
      <c r="E81" s="2">
        <f t="array" ref="E81">_xll.RssIndexMarket("N225M.FUT05.OS", "現在値")</f>
        <v>58580</v>
      </c>
      <c r="F81" s="1" t="str">
        <f t="array" ref="F81">_xll.RssIndexMarket("N225M.FUT05.OS", "現在値ティック")</f>
        <v>↑</v>
      </c>
      <c r="G81" s="2">
        <f t="array" ref="G81">_xll.RssIndexMarket("N225M.FUT05.OS", "前日比")</f>
        <v>-165</v>
      </c>
      <c r="H81" s="2">
        <f t="array" ref="H81">_xll.RssIndexMarket("N225M.FUT05.OS", "前日比率")</f>
        <v>-0.28000000000000003</v>
      </c>
      <c r="I81" s="2">
        <f t="array" ref="I81">_xll.RssIndexMarket("N225M.FUT05.OS", "前日終値")</f>
        <v>58745</v>
      </c>
      <c r="J81" s="1" t="str">
        <f t="array" ref="J81">_xll.RssIndexMarket("N225M.FUT05.OS", "前日日付")</f>
        <v>2026/02/27</v>
      </c>
      <c r="K81" s="2">
        <f t="array" ref="K81">_xll.RssIndexMarket("N225M.FUT05.OS", "始値")</f>
        <v>58950</v>
      </c>
      <c r="L81" s="2">
        <f t="array" ref="L81">_xll.RssIndexMarket("N225M.FUT05.OS", "高値")</f>
        <v>59075</v>
      </c>
      <c r="M81" s="2">
        <f t="array" ref="M81">_xll.RssIndexMarket("N225M.FUT05.OS", "安値")</f>
        <v>58455</v>
      </c>
      <c r="N81" s="1" t="str">
        <f t="array" ref="N81">_xll.RssIndexMarket("N225M.FUT05.OS", "始値時刻")</f>
        <v>19:05</v>
      </c>
      <c r="O81" s="1" t="str">
        <f t="array" ref="O81">_xll.RssIndexMarket("N225M.FUT05.OS", "高値時刻")</f>
        <v>19:20</v>
      </c>
      <c r="P81" s="1" t="str">
        <f t="array" ref="P81">_xll.RssIndexMarket("N225M.FUT05.OS", "安値時刻")</f>
        <v>22:30</v>
      </c>
      <c r="Q81" s="2">
        <f t="array" ref="Q81">_xll.RssIndexMarket("N225M.FUT05.OS", "出来高")</f>
        <v>13</v>
      </c>
      <c r="R81" s="2">
        <f t="array" ref="R81">_xll.RssIndexMarket("N225M.FUT05.OS", "売買代金")</f>
        <v>76510</v>
      </c>
      <c r="S81" s="2" t="str">
        <f t="array" ref="S81">_xll.RssIndexMarket("N225M.FUT05.OS", "前年最高値")</f>
        <v/>
      </c>
      <c r="T81" s="2" t="str">
        <f t="array" ref="T81">_xll.RssIndexMarket("N225M.FUT05.OS", "前年最安値")</f>
        <v/>
      </c>
      <c r="U81" s="2" t="str">
        <f t="array" ref="U81">_xll.RssIndexMarket("N225M.FUT05.OS", "前年終値")</f>
        <v/>
      </c>
      <c r="V81" s="2" t="str">
        <f t="array" ref="V81">_xll.RssIndexMarket("N225M.FUT05.OS", "年初来高値")</f>
        <v/>
      </c>
      <c r="W81" s="2" t="str">
        <f t="array" ref="W81">_xll.RssIndexMarket("N225M.FUT05.OS", "年初来安値")</f>
        <v/>
      </c>
      <c r="X81" s="2" t="str">
        <f t="array" ref="X81">_xll.RssIndexMarket("N225M.FUT05.OS", "上場来高値")</f>
        <v/>
      </c>
      <c r="Y81" s="2" t="str">
        <f t="array" ref="Y81">_xll.RssIndexMarket("N225M.FUT05.OS", "上場来安値")</f>
        <v/>
      </c>
      <c r="Z81" s="1" t="str">
        <f t="array" ref="Z81">_xll.RssIndexMarket("N225M.FUT05.OS", "上場来高値日付")</f>
        <v/>
      </c>
      <c r="AA81" s="1" t="str">
        <f t="array" ref="AA81">_xll.RssIndexMarket("N225M.FUT05.OS", "上場来安値日付")</f>
        <v/>
      </c>
    </row>
    <row r="82" spans="1:27">
      <c r="A82" s="1" t="str">
        <f t="array" ref="A82">_xll.RssIndexMarket("N225U.FUT01.OS", "指標コード")</f>
        <v/>
      </c>
      <c r="B82" s="1" t="str">
        <f t="array" ref="B82">_xll.RssIndexMarket("N225U.FUT01.OS", "指標名称")</f>
        <v/>
      </c>
      <c r="C82" s="1" t="str">
        <f t="array" ref="C82">_xll.RssIndexMarket("N225U.FUT01.OS", "現在日付")</f>
        <v>2026/02/28</v>
      </c>
      <c r="D82" s="1" t="str">
        <f t="array" ref="D82">_xll.RssIndexMarket("N225U.FUT01.OS", "更新時刻")</f>
        <v/>
      </c>
      <c r="E82" s="2">
        <f t="array" ref="E82">_xll.RssIndexMarket("N225U.FUT01.OS", "現在値")</f>
        <v>58630</v>
      </c>
      <c r="F82" s="1" t="str">
        <f t="array" ref="F82">_xll.RssIndexMarket("N225U.FUT01.OS", "現在値ティック")</f>
        <v>↑</v>
      </c>
      <c r="G82" s="2">
        <f t="array" ref="G82">_xll.RssIndexMarket("N225U.FUT01.OS", "前日比")</f>
        <v>-465</v>
      </c>
      <c r="H82" s="2">
        <f t="array" ref="H82">_xll.RssIndexMarket("N225U.FUT01.OS", "前日比率")</f>
        <v>-0.79</v>
      </c>
      <c r="I82" s="2">
        <f t="array" ref="I82">_xll.RssIndexMarket("N225U.FUT01.OS", "前日終値")</f>
        <v>59095</v>
      </c>
      <c r="J82" s="1" t="str">
        <f t="array" ref="J82">_xll.RssIndexMarket("N225U.FUT01.OS", "前日日付")</f>
        <v>2026/02/27</v>
      </c>
      <c r="K82" s="2">
        <f t="array" ref="K82">_xll.RssIndexMarket("N225U.FUT01.OS", "始値")</f>
        <v>59210</v>
      </c>
      <c r="L82" s="2">
        <f t="array" ref="L82">_xll.RssIndexMarket("N225U.FUT01.OS", "高値")</f>
        <v>59425</v>
      </c>
      <c r="M82" s="2">
        <f t="array" ref="M82">_xll.RssIndexMarket("N225U.FUT01.OS", "安値")</f>
        <v>58385</v>
      </c>
      <c r="N82" s="1" t="str">
        <f t="array" ref="N82">_xll.RssIndexMarket("N225U.FUT01.OS", "始値時刻")</f>
        <v>17:00</v>
      </c>
      <c r="O82" s="1" t="str">
        <f t="array" ref="O82">_xll.RssIndexMarket("N225U.FUT01.OS", "高値時刻")</f>
        <v>18:22</v>
      </c>
      <c r="P82" s="1" t="str">
        <f t="array" ref="P82">_xll.RssIndexMarket("N225U.FUT01.OS", "安値時刻")</f>
        <v>23:43</v>
      </c>
      <c r="Q82" s="2">
        <f t="array" ref="Q82">_xll.RssIndexMarket("N225U.FUT01.OS", "出来高")</f>
        <v>434849</v>
      </c>
      <c r="R82" s="2">
        <f t="array" ref="R82">_xll.RssIndexMarket("N225U.FUT01.OS", "売買代金")</f>
        <v>255952098</v>
      </c>
      <c r="S82" s="2" t="str">
        <f t="array" ref="S82">_xll.RssIndexMarket("N225U.FUT01.OS", "前年最高値")</f>
        <v/>
      </c>
      <c r="T82" s="2" t="str">
        <f t="array" ref="T82">_xll.RssIndexMarket("N225U.FUT01.OS", "前年最安値")</f>
        <v/>
      </c>
      <c r="U82" s="2" t="str">
        <f t="array" ref="U82">_xll.RssIndexMarket("N225U.FUT01.OS", "前年終値")</f>
        <v/>
      </c>
      <c r="V82" s="2" t="str">
        <f t="array" ref="V82">_xll.RssIndexMarket("N225U.FUT01.OS", "年初来高値")</f>
        <v/>
      </c>
      <c r="W82" s="2" t="str">
        <f t="array" ref="W82">_xll.RssIndexMarket("N225U.FUT01.OS", "年初来安値")</f>
        <v/>
      </c>
      <c r="X82" s="2" t="str">
        <f t="array" ref="X82">_xll.RssIndexMarket("N225U.FUT01.OS", "上場来高値")</f>
        <v/>
      </c>
      <c r="Y82" s="2" t="str">
        <f t="array" ref="Y82">_xll.RssIndexMarket("N225U.FUT01.OS", "上場来安値")</f>
        <v/>
      </c>
      <c r="Z82" s="1" t="str">
        <f t="array" ref="Z82">_xll.RssIndexMarket("N225U.FUT01.OS", "上場来高値日付")</f>
        <v/>
      </c>
      <c r="AA82" s="1" t="str">
        <f t="array" ref="AA82">_xll.RssIndexMarket("N225U.FUT01.OS", "上場来安値日付")</f>
        <v/>
      </c>
    </row>
    <row r="83" spans="1:27">
      <c r="A83" s="1" t="str">
        <f t="array" ref="A83">_xll.RssIndexMarket("N225U.FUT02.OS", "指標コード")</f>
        <v/>
      </c>
      <c r="B83" s="1" t="str">
        <f t="array" ref="B83">_xll.RssIndexMarket("N225U.FUT02.OS", "指標名称")</f>
        <v/>
      </c>
      <c r="C83" s="1" t="str">
        <f t="array" ref="C83">_xll.RssIndexMarket("N225U.FUT02.OS", "現在日付")</f>
        <v>2026/02/28</v>
      </c>
      <c r="D83" s="1" t="str">
        <f t="array" ref="D83">_xll.RssIndexMarket("N225U.FUT02.OS", "更新時刻")</f>
        <v/>
      </c>
      <c r="E83" s="2">
        <f t="array" ref="E83">_xll.RssIndexMarket("N225U.FUT02.OS", "現在値")</f>
        <v>58350</v>
      </c>
      <c r="F83" s="1" t="str">
        <f t="array" ref="F83">_xll.RssIndexMarket("N225U.FUT02.OS", "現在値ティック")</f>
        <v>↑</v>
      </c>
      <c r="G83" s="2">
        <f t="array" ref="G83">_xll.RssIndexMarket("N225U.FUT02.OS", "前日比")</f>
        <v>-415</v>
      </c>
      <c r="H83" s="2">
        <f t="array" ref="H83">_xll.RssIndexMarket("N225U.FUT02.OS", "前日比率")</f>
        <v>-0.71</v>
      </c>
      <c r="I83" s="2">
        <f t="array" ref="I83">_xll.RssIndexMarket("N225U.FUT02.OS", "前日終値")</f>
        <v>58765</v>
      </c>
      <c r="J83" s="1" t="str">
        <f t="array" ref="J83">_xll.RssIndexMarket("N225U.FUT02.OS", "前日日付")</f>
        <v>2026/02/27</v>
      </c>
      <c r="K83" s="2">
        <f t="array" ref="K83">_xll.RssIndexMarket("N225U.FUT02.OS", "始値")</f>
        <v>58880</v>
      </c>
      <c r="L83" s="2">
        <f t="array" ref="L83">_xll.RssIndexMarket("N225U.FUT02.OS", "高値")</f>
        <v>59110</v>
      </c>
      <c r="M83" s="2">
        <f t="array" ref="M83">_xll.RssIndexMarket("N225U.FUT02.OS", "安値")</f>
        <v>58075</v>
      </c>
      <c r="N83" s="1" t="str">
        <f t="array" ref="N83">_xll.RssIndexMarket("N225U.FUT02.OS", "始値時刻")</f>
        <v>17:00</v>
      </c>
      <c r="O83" s="1" t="str">
        <f t="array" ref="O83">_xll.RssIndexMarket("N225U.FUT02.OS", "高値時刻")</f>
        <v>18:22</v>
      </c>
      <c r="P83" s="1" t="str">
        <f t="array" ref="P83">_xll.RssIndexMarket("N225U.FUT02.OS", "安値時刻")</f>
        <v>23:43</v>
      </c>
      <c r="Q83" s="2">
        <f t="array" ref="Q83">_xll.RssIndexMarket("N225U.FUT02.OS", "出来高")</f>
        <v>3010</v>
      </c>
      <c r="R83" s="2">
        <f t="array" ref="R83">_xll.RssIndexMarket("N225U.FUT02.OS", "売買代金")</f>
        <v>1766154</v>
      </c>
      <c r="S83" s="2" t="str">
        <f t="array" ref="S83">_xll.RssIndexMarket("N225U.FUT02.OS", "前年最高値")</f>
        <v/>
      </c>
      <c r="T83" s="2" t="str">
        <f t="array" ref="T83">_xll.RssIndexMarket("N225U.FUT02.OS", "前年最安値")</f>
        <v/>
      </c>
      <c r="U83" s="2" t="str">
        <f t="array" ref="U83">_xll.RssIndexMarket("N225U.FUT02.OS", "前年終値")</f>
        <v/>
      </c>
      <c r="V83" s="2" t="str">
        <f t="array" ref="V83">_xll.RssIndexMarket("N225U.FUT02.OS", "年初来高値")</f>
        <v/>
      </c>
      <c r="W83" s="2" t="str">
        <f t="array" ref="W83">_xll.RssIndexMarket("N225U.FUT02.OS", "年初来安値")</f>
        <v/>
      </c>
      <c r="X83" s="2" t="str">
        <f t="array" ref="X83">_xll.RssIndexMarket("N225U.FUT02.OS", "上場来高値")</f>
        <v/>
      </c>
      <c r="Y83" s="2" t="str">
        <f t="array" ref="Y83">_xll.RssIndexMarket("N225U.FUT02.OS", "上場来安値")</f>
        <v/>
      </c>
      <c r="Z83" s="1" t="str">
        <f t="array" ref="Z83">_xll.RssIndexMarket("N225U.FUT02.OS", "上場来高値日付")</f>
        <v/>
      </c>
      <c r="AA83" s="1" t="str">
        <f t="array" ref="AA83">_xll.RssIndexMarket("N225U.FUT02.OS", "上場来安値日付")</f>
        <v/>
      </c>
    </row>
    <row r="84" spans="1:27">
      <c r="A84" s="1" t="str">
        <f t="array" ref="A84">_xll.RssIndexMarket("N225U.FUT03.OS", "指標コード")</f>
        <v/>
      </c>
      <c r="B84" s="1" t="str">
        <f t="array" ref="B84">_xll.RssIndexMarket("N225U.FUT03.OS", "指標名称")</f>
        <v/>
      </c>
      <c r="C84" s="1" t="str">
        <f t="array" ref="C84">_xll.RssIndexMarket("N225U.FUT03.OS", "現在日付")</f>
        <v>2026/02/28</v>
      </c>
      <c r="D84" s="1" t="str">
        <f t="array" ref="D84">_xll.RssIndexMarket("N225U.FUT03.OS", "更新時刻")</f>
        <v/>
      </c>
      <c r="E84" s="2">
        <f t="array" ref="E84">_xll.RssIndexMarket("N225U.FUT03.OS", "現在値")</f>
        <v>58500</v>
      </c>
      <c r="F84" s="1" t="str">
        <f t="array" ref="F84">_xll.RssIndexMarket("N225U.FUT03.OS", "現在値ティック")</f>
        <v>↑</v>
      </c>
      <c r="G84" s="2">
        <f t="array" ref="G84">_xll.RssIndexMarket("N225U.FUT03.OS", "前日比")</f>
        <v>-205</v>
      </c>
      <c r="H84" s="2">
        <f t="array" ref="H84">_xll.RssIndexMarket("N225U.FUT03.OS", "前日比率")</f>
        <v>-0.35</v>
      </c>
      <c r="I84" s="2">
        <f t="array" ref="I84">_xll.RssIndexMarket("N225U.FUT03.OS", "前日終値")</f>
        <v>58705</v>
      </c>
      <c r="J84" s="1" t="str">
        <f t="array" ref="J84">_xll.RssIndexMarket("N225U.FUT03.OS", "前日日付")</f>
        <v>2026/02/27</v>
      </c>
      <c r="K84" s="2">
        <f t="array" ref="K84">_xll.RssIndexMarket("N225U.FUT03.OS", "始値")</f>
        <v>58920</v>
      </c>
      <c r="L84" s="2">
        <f t="array" ref="L84">_xll.RssIndexMarket("N225U.FUT03.OS", "高値")</f>
        <v>59130</v>
      </c>
      <c r="M84" s="2">
        <f t="array" ref="M84">_xll.RssIndexMarket("N225U.FUT03.OS", "安値")</f>
        <v>58195</v>
      </c>
      <c r="N84" s="1" t="str">
        <f t="array" ref="N84">_xll.RssIndexMarket("N225U.FUT03.OS", "始値時刻")</f>
        <v>17:00</v>
      </c>
      <c r="O84" s="1" t="str">
        <f t="array" ref="O84">_xll.RssIndexMarket("N225U.FUT03.OS", "高値時刻")</f>
        <v>18:21</v>
      </c>
      <c r="P84" s="1" t="str">
        <f t="array" ref="P84">_xll.RssIndexMarket("N225U.FUT03.OS", "安値時刻")</f>
        <v>00:00</v>
      </c>
      <c r="Q84" s="2">
        <f t="array" ref="Q84">_xll.RssIndexMarket("N225U.FUT03.OS", "出来高")</f>
        <v>211</v>
      </c>
      <c r="R84" s="2">
        <f t="array" ref="R84">_xll.RssIndexMarket("N225U.FUT03.OS", "売買代金")</f>
        <v>123911</v>
      </c>
      <c r="S84" s="2" t="str">
        <f t="array" ref="S84">_xll.RssIndexMarket("N225U.FUT03.OS", "前年最高値")</f>
        <v/>
      </c>
      <c r="T84" s="2" t="str">
        <f t="array" ref="T84">_xll.RssIndexMarket("N225U.FUT03.OS", "前年最安値")</f>
        <v/>
      </c>
      <c r="U84" s="2" t="str">
        <f t="array" ref="U84">_xll.RssIndexMarket("N225U.FUT03.OS", "前年終値")</f>
        <v/>
      </c>
      <c r="V84" s="2" t="str">
        <f t="array" ref="V84">_xll.RssIndexMarket("N225U.FUT03.OS", "年初来高値")</f>
        <v/>
      </c>
      <c r="W84" s="2" t="str">
        <f t="array" ref="W84">_xll.RssIndexMarket("N225U.FUT03.OS", "年初来安値")</f>
        <v/>
      </c>
      <c r="X84" s="2" t="str">
        <f t="array" ref="X84">_xll.RssIndexMarket("N225U.FUT03.OS", "上場来高値")</f>
        <v/>
      </c>
      <c r="Y84" s="2" t="str">
        <f t="array" ref="Y84">_xll.RssIndexMarket("N225U.FUT03.OS", "上場来安値")</f>
        <v/>
      </c>
      <c r="Z84" s="1" t="str">
        <f t="array" ref="Z84">_xll.RssIndexMarket("N225U.FUT03.OS", "上場来高値日付")</f>
        <v/>
      </c>
      <c r="AA84" s="1" t="str">
        <f t="array" ref="AA84">_xll.RssIndexMarket("N225U.FUT03.OS", "上場来安値日付")</f>
        <v/>
      </c>
    </row>
    <row r="85" spans="1:27">
      <c r="A85" s="1" t="str">
        <f t="array" ref="A85">_xll.RssIndexMarket("N225U.FUT04.OS", "指標コード")</f>
        <v/>
      </c>
      <c r="B85" s="1" t="str">
        <f t="array" ref="B85">_xll.RssIndexMarket("N225U.FUT04.OS", "指標名称")</f>
        <v/>
      </c>
      <c r="C85" s="1" t="str">
        <f t="array" ref="C85">_xll.RssIndexMarket("N225U.FUT04.OS", "現在日付")</f>
        <v>2026/02/28</v>
      </c>
      <c r="D85" s="1" t="str">
        <f t="array" ref="D85">_xll.RssIndexMarket("N225U.FUT04.OS", "更新時刻")</f>
        <v/>
      </c>
      <c r="E85" s="2">
        <f t="array" ref="E85">_xll.RssIndexMarket("N225U.FUT04.OS", "現在値")</f>
        <v>58435</v>
      </c>
      <c r="F85" s="1" t="str">
        <f t="array" ref="F85">_xll.RssIndexMarket("N225U.FUT04.OS", "現在値ティック")</f>
        <v>↓</v>
      </c>
      <c r="G85" s="2">
        <f t="array" ref="G85">_xll.RssIndexMarket("N225U.FUT04.OS", "前日比")</f>
        <v>-465</v>
      </c>
      <c r="H85" s="2">
        <f t="array" ref="H85">_xll.RssIndexMarket("N225U.FUT04.OS", "前日比率")</f>
        <v>-0.79</v>
      </c>
      <c r="I85" s="2">
        <f t="array" ref="I85">_xll.RssIndexMarket("N225U.FUT04.OS", "前日終値")</f>
        <v>58900</v>
      </c>
      <c r="J85" s="1" t="str">
        <f t="array" ref="J85">_xll.RssIndexMarket("N225U.FUT04.OS", "前日日付")</f>
        <v>2026/02/27</v>
      </c>
      <c r="K85" s="2">
        <f t="array" ref="K85">_xll.RssIndexMarket("N225U.FUT04.OS", "始値")</f>
        <v>59000</v>
      </c>
      <c r="L85" s="2">
        <f t="array" ref="L85">_xll.RssIndexMarket("N225U.FUT04.OS", "高値")</f>
        <v>59225</v>
      </c>
      <c r="M85" s="2">
        <f t="array" ref="M85">_xll.RssIndexMarket("N225U.FUT04.OS", "安値")</f>
        <v>58190</v>
      </c>
      <c r="N85" s="1" t="str">
        <f t="array" ref="N85">_xll.RssIndexMarket("N225U.FUT04.OS", "始値時刻")</f>
        <v>17:00</v>
      </c>
      <c r="O85" s="1" t="str">
        <f t="array" ref="O85">_xll.RssIndexMarket("N225U.FUT04.OS", "高値時刻")</f>
        <v>18:22</v>
      </c>
      <c r="P85" s="1" t="str">
        <f t="array" ref="P85">_xll.RssIndexMarket("N225U.FUT04.OS", "安値時刻")</f>
        <v>23:42</v>
      </c>
      <c r="Q85" s="2">
        <f t="array" ref="Q85">_xll.RssIndexMarket("N225U.FUT04.OS", "出来高")</f>
        <v>25576</v>
      </c>
      <c r="R85" s="2">
        <f t="array" ref="R85">_xll.RssIndexMarket("N225U.FUT04.OS", "売買代金")</f>
        <v>15011517</v>
      </c>
      <c r="S85" s="2" t="str">
        <f t="array" ref="S85">_xll.RssIndexMarket("N225U.FUT04.OS", "前年最高値")</f>
        <v/>
      </c>
      <c r="T85" s="2" t="str">
        <f t="array" ref="T85">_xll.RssIndexMarket("N225U.FUT04.OS", "前年最安値")</f>
        <v/>
      </c>
      <c r="U85" s="2" t="str">
        <f t="array" ref="U85">_xll.RssIndexMarket("N225U.FUT04.OS", "前年終値")</f>
        <v/>
      </c>
      <c r="V85" s="2" t="str">
        <f t="array" ref="V85">_xll.RssIndexMarket("N225U.FUT04.OS", "年初来高値")</f>
        <v/>
      </c>
      <c r="W85" s="2" t="str">
        <f t="array" ref="W85">_xll.RssIndexMarket("N225U.FUT04.OS", "年初来安値")</f>
        <v/>
      </c>
      <c r="X85" s="2" t="str">
        <f t="array" ref="X85">_xll.RssIndexMarket("N225U.FUT04.OS", "上場来高値")</f>
        <v/>
      </c>
      <c r="Y85" s="2" t="str">
        <f t="array" ref="Y85">_xll.RssIndexMarket("N225U.FUT04.OS", "上場来安値")</f>
        <v/>
      </c>
      <c r="Z85" s="1" t="str">
        <f t="array" ref="Z85">_xll.RssIndexMarket("N225U.FUT04.OS", "上場来高値日付")</f>
        <v/>
      </c>
      <c r="AA85" s="1" t="str">
        <f t="array" ref="AA85">_xll.RssIndexMarket("N225U.FUT04.OS", "上場来安値日付")</f>
        <v/>
      </c>
    </row>
    <row r="86" spans="1:27">
      <c r="A86" s="1" t="str">
        <f t="array" ref="A86">_xll.RssIndexMarket("TOPX.FUT01.OS", "指標コード")</f>
        <v/>
      </c>
      <c r="B86" s="1" t="str">
        <f t="array" ref="B86">_xll.RssIndexMarket("TOPX.FUT01.OS", "指標名称")</f>
        <v/>
      </c>
      <c r="C86" s="1" t="str">
        <f t="array" ref="C86">_xll.RssIndexMarket("TOPX.FUT01.OS", "現在日付")</f>
        <v>2026/02/28</v>
      </c>
      <c r="D86" s="1" t="str">
        <f t="array" ref="D86">_xll.RssIndexMarket("TOPX.FUT01.OS", "更新時刻")</f>
        <v/>
      </c>
      <c r="E86" s="2">
        <f t="array" ref="E86">_xll.RssIndexMarket("TOPX.FUT01.OS", "現在値")</f>
        <v>3907.5</v>
      </c>
      <c r="F86" s="1" t="str">
        <f t="array" ref="F86">_xll.RssIndexMarket("TOPX.FUT01.OS", "現在値ティック")</f>
        <v>↑</v>
      </c>
      <c r="G86" s="2">
        <f t="array" ref="G86">_xll.RssIndexMarket("TOPX.FUT01.OS", "前日比")</f>
        <v>-47</v>
      </c>
      <c r="H86" s="2">
        <f t="array" ref="H86">_xll.RssIndexMarket("TOPX.FUT01.OS", "前日比率")</f>
        <v>-1.19</v>
      </c>
      <c r="I86" s="2">
        <f t="array" ref="I86">_xll.RssIndexMarket("TOPX.FUT01.OS", "前日終値")</f>
        <v>3954.5</v>
      </c>
      <c r="J86" s="1" t="str">
        <f t="array" ref="J86">_xll.RssIndexMarket("TOPX.FUT01.OS", "前日日付")</f>
        <v>2026/02/27</v>
      </c>
      <c r="K86" s="2">
        <f t="array" ref="K86">_xll.RssIndexMarket("TOPX.FUT01.OS", "始値")</f>
        <v>3963.5</v>
      </c>
      <c r="L86" s="2">
        <f t="array" ref="L86">_xll.RssIndexMarket("TOPX.FUT01.OS", "高値")</f>
        <v>3969.5</v>
      </c>
      <c r="M86" s="2">
        <f t="array" ref="M86">_xll.RssIndexMarket("TOPX.FUT01.OS", "安値")</f>
        <v>3903</v>
      </c>
      <c r="N86" s="1" t="str">
        <f t="array" ref="N86">_xll.RssIndexMarket("TOPX.FUT01.OS", "始値時刻")</f>
        <v>17:00</v>
      </c>
      <c r="O86" s="1" t="str">
        <f t="array" ref="O86">_xll.RssIndexMarket("TOPX.FUT01.OS", "高値時刻")</f>
        <v>17:07</v>
      </c>
      <c r="P86" s="1" t="str">
        <f t="array" ref="P86">_xll.RssIndexMarket("TOPX.FUT01.OS", "安値時刻")</f>
        <v>04:55</v>
      </c>
      <c r="Q86" s="2">
        <f t="array" ref="Q86">_xll.RssIndexMarket("TOPX.FUT01.OS", "出来高")</f>
        <v>19657</v>
      </c>
      <c r="R86" s="2">
        <f t="array" ref="R86">_xll.RssIndexMarket("TOPX.FUT01.OS", "売買代金")</f>
        <v>773138115</v>
      </c>
      <c r="S86" s="2" t="str">
        <f t="array" ref="S86">_xll.RssIndexMarket("TOPX.FUT01.OS", "前年最高値")</f>
        <v/>
      </c>
      <c r="T86" s="2" t="str">
        <f t="array" ref="T86">_xll.RssIndexMarket("TOPX.FUT01.OS", "前年最安値")</f>
        <v/>
      </c>
      <c r="U86" s="2" t="str">
        <f t="array" ref="U86">_xll.RssIndexMarket("TOPX.FUT01.OS", "前年終値")</f>
        <v/>
      </c>
      <c r="V86" s="2" t="str">
        <f t="array" ref="V86">_xll.RssIndexMarket("TOPX.FUT01.OS", "年初来高値")</f>
        <v/>
      </c>
      <c r="W86" s="2" t="str">
        <f t="array" ref="W86">_xll.RssIndexMarket("TOPX.FUT01.OS", "年初来安値")</f>
        <v/>
      </c>
      <c r="X86" s="2" t="str">
        <f t="array" ref="X86">_xll.RssIndexMarket("TOPX.FUT01.OS", "上場来高値")</f>
        <v/>
      </c>
      <c r="Y86" s="2" t="str">
        <f t="array" ref="Y86">_xll.RssIndexMarket("TOPX.FUT01.OS", "上場来安値")</f>
        <v/>
      </c>
      <c r="Z86" s="1" t="str">
        <f t="array" ref="Z86">_xll.RssIndexMarket("TOPX.FUT01.OS", "上場来高値日付")</f>
        <v/>
      </c>
      <c r="AA86" s="1" t="str">
        <f t="array" ref="AA86">_xll.RssIndexMarket("TOPX.FUT01.OS", "上場来安値日付")</f>
        <v/>
      </c>
    </row>
    <row r="87" spans="1:27">
      <c r="A87" s="1" t="str">
        <f t="array" ref="A87">_xll.RssIndexMarket("TOPX.FUT02.OS", "指標コード")</f>
        <v/>
      </c>
      <c r="B87" s="1" t="str">
        <f t="array" ref="B87">_xll.RssIndexMarket("TOPX.FUT02.OS", "指標名称")</f>
        <v/>
      </c>
      <c r="C87" s="1" t="str">
        <f t="array" ref="C87">_xll.RssIndexMarket("TOPX.FUT02.OS", "現在日付")</f>
        <v>2026/02/27</v>
      </c>
      <c r="D87" s="1" t="str">
        <f t="array" ref="D87">_xll.RssIndexMarket("TOPX.FUT02.OS", "更新時刻")</f>
        <v/>
      </c>
      <c r="E87" s="2">
        <f t="array" ref="E87">_xll.RssIndexMarket("TOPX.FUT02.OS", "現在値")</f>
        <v>3943</v>
      </c>
      <c r="F87" s="1" t="str">
        <f t="array" ref="F87">_xll.RssIndexMarket("TOPX.FUT02.OS", "現在値ティック")</f>
        <v>↑</v>
      </c>
      <c r="G87" s="2">
        <f t="array" ref="G87">_xll.RssIndexMarket("TOPX.FUT02.OS", "前日比")</f>
        <v>70</v>
      </c>
      <c r="H87" s="2">
        <f t="array" ref="H87">_xll.RssIndexMarket("TOPX.FUT02.OS", "前日比率")</f>
        <v>1.81</v>
      </c>
      <c r="I87" s="2">
        <f t="array" ref="I87">_xll.RssIndexMarket("TOPX.FUT02.OS", "前日終値")</f>
        <v>3873</v>
      </c>
      <c r="J87" s="1" t="str">
        <f t="array" ref="J87">_xll.RssIndexMarket("TOPX.FUT02.OS", "前日日付")</f>
        <v>2026/02/27</v>
      </c>
      <c r="K87" s="2">
        <f t="array" ref="K87">_xll.RssIndexMarket("TOPX.FUT02.OS", "始値")</f>
        <v>3937</v>
      </c>
      <c r="L87" s="2">
        <f t="array" ref="L87">_xll.RssIndexMarket("TOPX.FUT02.OS", "高値")</f>
        <v>3943</v>
      </c>
      <c r="M87" s="2">
        <f t="array" ref="M87">_xll.RssIndexMarket("TOPX.FUT02.OS", "安値")</f>
        <v>3935</v>
      </c>
      <c r="N87" s="1" t="str">
        <f t="array" ref="N87">_xll.RssIndexMarket("TOPX.FUT02.OS", "始値時刻")</f>
        <v>18:02</v>
      </c>
      <c r="O87" s="1" t="str">
        <f t="array" ref="O87">_xll.RssIndexMarket("TOPX.FUT02.OS", "高値時刻")</f>
        <v>18:23</v>
      </c>
      <c r="P87" s="1" t="str">
        <f t="array" ref="P87">_xll.RssIndexMarket("TOPX.FUT02.OS", "安値時刻")</f>
        <v>18:02</v>
      </c>
      <c r="Q87" s="2">
        <f t="array" ref="Q87">_xll.RssIndexMarket("TOPX.FUT02.OS", "出来高")</f>
        <v>5</v>
      </c>
      <c r="R87" s="2">
        <f t="array" ref="R87">_xll.RssIndexMarket("TOPX.FUT02.OS", "売買代金")</f>
        <v>196915</v>
      </c>
      <c r="S87" s="2" t="str">
        <f t="array" ref="S87">_xll.RssIndexMarket("TOPX.FUT02.OS", "前年最高値")</f>
        <v/>
      </c>
      <c r="T87" s="2" t="str">
        <f t="array" ref="T87">_xll.RssIndexMarket("TOPX.FUT02.OS", "前年最安値")</f>
        <v/>
      </c>
      <c r="U87" s="2" t="str">
        <f t="array" ref="U87">_xll.RssIndexMarket("TOPX.FUT02.OS", "前年終値")</f>
        <v/>
      </c>
      <c r="V87" s="2" t="str">
        <f t="array" ref="V87">_xll.RssIndexMarket("TOPX.FUT02.OS", "年初来高値")</f>
        <v/>
      </c>
      <c r="W87" s="2" t="str">
        <f t="array" ref="W87">_xll.RssIndexMarket("TOPX.FUT02.OS", "年初来安値")</f>
        <v/>
      </c>
      <c r="X87" s="2" t="str">
        <f t="array" ref="X87">_xll.RssIndexMarket("TOPX.FUT02.OS", "上場来高値")</f>
        <v/>
      </c>
      <c r="Y87" s="2" t="str">
        <f t="array" ref="Y87">_xll.RssIndexMarket("TOPX.FUT02.OS", "上場来安値")</f>
        <v/>
      </c>
      <c r="Z87" s="1" t="str">
        <f t="array" ref="Z87">_xll.RssIndexMarket("TOPX.FUT02.OS", "上場来高値日付")</f>
        <v/>
      </c>
      <c r="AA87" s="1" t="str">
        <f t="array" ref="AA87">_xll.RssIndexMarket("TOPX.FUT02.OS", "上場来安値日付")</f>
        <v/>
      </c>
    </row>
    <row r="88" spans="1:27">
      <c r="A88" s="1" t="str">
        <f t="array" ref="A88">_xll.RssIndexMarket("TOPX.FUT03.OS", "指標コード")</f>
        <v/>
      </c>
      <c r="B88" s="1" t="str">
        <f t="array" ref="B88">_xll.RssIndexMarket("TOPX.FUT03.OS", "指標名称")</f>
        <v/>
      </c>
      <c r="C88" s="1" t="str">
        <f t="array" ref="C88">_xll.RssIndexMarket("TOPX.FUT03.OS", "現在日付")</f>
        <v/>
      </c>
      <c r="D88" s="1" t="str">
        <f t="array" ref="D88">_xll.RssIndexMarket("TOPX.FUT03.OS", "更新時刻")</f>
        <v/>
      </c>
      <c r="E88" s="2">
        <f t="array" ref="E88">_xll.RssIndexMarket("TOPX.FUT03.OS", "現在値")</f>
        <v>0</v>
      </c>
      <c r="F88" s="1" t="str">
        <f t="array" ref="F88">_xll.RssIndexMarket("TOPX.FUT03.OS", "現在値ティック")</f>
        <v/>
      </c>
      <c r="G88" s="2">
        <f t="array" ref="G88">_xll.RssIndexMarket("TOPX.FUT03.OS", "前日比")</f>
        <v>0</v>
      </c>
      <c r="H88" s="2">
        <f t="array" ref="H88">_xll.RssIndexMarket("TOPX.FUT03.OS", "前日比率")</f>
        <v>0</v>
      </c>
      <c r="I88" s="2">
        <f t="array" ref="I88">_xll.RssIndexMarket("TOPX.FUT03.OS", "前日終値")</f>
        <v>0</v>
      </c>
      <c r="J88" s="1" t="str">
        <f t="array" ref="J88">_xll.RssIndexMarket("TOPX.FUT03.OS", "前日日付")</f>
        <v/>
      </c>
      <c r="K88" s="2">
        <f t="array" ref="K88">_xll.RssIndexMarket("TOPX.FUT03.OS", "始値")</f>
        <v>0</v>
      </c>
      <c r="L88" s="2">
        <f t="array" ref="L88">_xll.RssIndexMarket("TOPX.FUT03.OS", "高値")</f>
        <v>0</v>
      </c>
      <c r="M88" s="2">
        <f t="array" ref="M88">_xll.RssIndexMarket("TOPX.FUT03.OS", "安値")</f>
        <v>0</v>
      </c>
      <c r="N88" s="1" t="str">
        <f t="array" ref="N88">_xll.RssIndexMarket("TOPX.FUT03.OS", "始値時刻")</f>
        <v xml:space="preserve">  :  </v>
      </c>
      <c r="O88" s="1" t="str">
        <f t="array" ref="O88">_xll.RssIndexMarket("TOPX.FUT03.OS", "高値時刻")</f>
        <v xml:space="preserve">  :  </v>
      </c>
      <c r="P88" s="1" t="str">
        <f t="array" ref="P88">_xll.RssIndexMarket("TOPX.FUT03.OS", "安値時刻")</f>
        <v xml:space="preserve">  :  </v>
      </c>
      <c r="Q88" s="2">
        <f t="array" ref="Q88">_xll.RssIndexMarket("TOPX.FUT03.OS", "出来高")</f>
        <v>0</v>
      </c>
      <c r="R88" s="2">
        <f t="array" ref="R88">_xll.RssIndexMarket("TOPX.FUT03.OS", "売買代金")</f>
        <v>0</v>
      </c>
      <c r="S88" s="2" t="str">
        <f t="array" ref="S88">_xll.RssIndexMarket("TOPX.FUT03.OS", "前年最高値")</f>
        <v/>
      </c>
      <c r="T88" s="2" t="str">
        <f t="array" ref="T88">_xll.RssIndexMarket("TOPX.FUT03.OS", "前年最安値")</f>
        <v/>
      </c>
      <c r="U88" s="2" t="str">
        <f t="array" ref="U88">_xll.RssIndexMarket("TOPX.FUT03.OS", "前年終値")</f>
        <v/>
      </c>
      <c r="V88" s="2" t="str">
        <f t="array" ref="V88">_xll.RssIndexMarket("TOPX.FUT03.OS", "年初来高値")</f>
        <v/>
      </c>
      <c r="W88" s="2" t="str">
        <f t="array" ref="W88">_xll.RssIndexMarket("TOPX.FUT03.OS", "年初来安値")</f>
        <v/>
      </c>
      <c r="X88" s="2" t="str">
        <f t="array" ref="X88">_xll.RssIndexMarket("TOPX.FUT03.OS", "上場来高値")</f>
        <v/>
      </c>
      <c r="Y88" s="2" t="str">
        <f t="array" ref="Y88">_xll.RssIndexMarket("TOPX.FUT03.OS", "上場来安値")</f>
        <v/>
      </c>
      <c r="Z88" s="1" t="str">
        <f t="array" ref="Z88">_xll.RssIndexMarket("TOPX.FUT03.OS", "上場来高値日付")</f>
        <v/>
      </c>
      <c r="AA88" s="1" t="str">
        <f t="array" ref="AA88">_xll.RssIndexMarket("TOPX.FUT03.OS", "上場来安値日付")</f>
        <v/>
      </c>
    </row>
    <row r="89" spans="1:27">
      <c r="A89" s="1" t="str">
        <f t="array" ref="A89">_xll.RssIndexMarket("TOPX.FUT04.OS", "指標コード")</f>
        <v/>
      </c>
      <c r="B89" s="1" t="str">
        <f t="array" ref="B89">_xll.RssIndexMarket("TOPX.FUT04.OS", "指標名称")</f>
        <v/>
      </c>
      <c r="C89" s="1" t="str">
        <f t="array" ref="C89">_xll.RssIndexMarket("TOPX.FUT04.OS", "現在日付")</f>
        <v/>
      </c>
      <c r="D89" s="1" t="str">
        <f t="array" ref="D89">_xll.RssIndexMarket("TOPX.FUT04.OS", "更新時刻")</f>
        <v/>
      </c>
      <c r="E89" s="2">
        <f t="array" ref="E89">_xll.RssIndexMarket("TOPX.FUT04.OS", "現在値")</f>
        <v>0</v>
      </c>
      <c r="F89" s="1" t="str">
        <f t="array" ref="F89">_xll.RssIndexMarket("TOPX.FUT04.OS", "現在値ティック")</f>
        <v/>
      </c>
      <c r="G89" s="2">
        <f t="array" ref="G89">_xll.RssIndexMarket("TOPX.FUT04.OS", "前日比")</f>
        <v>0</v>
      </c>
      <c r="H89" s="2">
        <f t="array" ref="H89">_xll.RssIndexMarket("TOPX.FUT04.OS", "前日比率")</f>
        <v>0</v>
      </c>
      <c r="I89" s="2">
        <f t="array" ref="I89">_xll.RssIndexMarket("TOPX.FUT04.OS", "前日終値")</f>
        <v>0</v>
      </c>
      <c r="J89" s="1" t="str">
        <f t="array" ref="J89">_xll.RssIndexMarket("TOPX.FUT04.OS", "前日日付")</f>
        <v/>
      </c>
      <c r="K89" s="2">
        <f t="array" ref="K89">_xll.RssIndexMarket("TOPX.FUT04.OS", "始値")</f>
        <v>0</v>
      </c>
      <c r="L89" s="2">
        <f t="array" ref="L89">_xll.RssIndexMarket("TOPX.FUT04.OS", "高値")</f>
        <v>0</v>
      </c>
      <c r="M89" s="2">
        <f t="array" ref="M89">_xll.RssIndexMarket("TOPX.FUT04.OS", "安値")</f>
        <v>0</v>
      </c>
      <c r="N89" s="1" t="str">
        <f t="array" ref="N89">_xll.RssIndexMarket("TOPX.FUT04.OS", "始値時刻")</f>
        <v xml:space="preserve">  :  </v>
      </c>
      <c r="O89" s="1" t="str">
        <f t="array" ref="O89">_xll.RssIndexMarket("TOPX.FUT04.OS", "高値時刻")</f>
        <v xml:space="preserve">  :  </v>
      </c>
      <c r="P89" s="1" t="str">
        <f t="array" ref="P89">_xll.RssIndexMarket("TOPX.FUT04.OS", "安値時刻")</f>
        <v xml:space="preserve">  :  </v>
      </c>
      <c r="Q89" s="2">
        <f t="array" ref="Q89">_xll.RssIndexMarket("TOPX.FUT04.OS", "出来高")</f>
        <v>0</v>
      </c>
      <c r="R89" s="2">
        <f t="array" ref="R89">_xll.RssIndexMarket("TOPX.FUT04.OS", "売買代金")</f>
        <v>0</v>
      </c>
      <c r="S89" s="2" t="str">
        <f t="array" ref="S89">_xll.RssIndexMarket("TOPX.FUT04.OS", "前年最高値")</f>
        <v/>
      </c>
      <c r="T89" s="2" t="str">
        <f t="array" ref="T89">_xll.RssIndexMarket("TOPX.FUT04.OS", "前年最安値")</f>
        <v/>
      </c>
      <c r="U89" s="2" t="str">
        <f t="array" ref="U89">_xll.RssIndexMarket("TOPX.FUT04.OS", "前年終値")</f>
        <v/>
      </c>
      <c r="V89" s="2" t="str">
        <f t="array" ref="V89">_xll.RssIndexMarket("TOPX.FUT04.OS", "年初来高値")</f>
        <v/>
      </c>
      <c r="W89" s="2" t="str">
        <f t="array" ref="W89">_xll.RssIndexMarket("TOPX.FUT04.OS", "年初来安値")</f>
        <v/>
      </c>
      <c r="X89" s="2" t="str">
        <f t="array" ref="X89">_xll.RssIndexMarket("TOPX.FUT04.OS", "上場来高値")</f>
        <v/>
      </c>
      <c r="Y89" s="2" t="str">
        <f t="array" ref="Y89">_xll.RssIndexMarket("TOPX.FUT04.OS", "上場来安値")</f>
        <v/>
      </c>
      <c r="Z89" s="1" t="str">
        <f t="array" ref="Z89">_xll.RssIndexMarket("TOPX.FUT04.OS", "上場来高値日付")</f>
        <v/>
      </c>
      <c r="AA89" s="1" t="str">
        <f t="array" ref="AA89">_xll.RssIndexMarket("TOPX.FUT04.OS", "上場来安値日付")</f>
        <v/>
      </c>
    </row>
    <row r="90" spans="1:27">
      <c r="A90" s="1" t="str">
        <f t="array" ref="A90">_xll.RssIndexMarket("TOPX.FUT05.OS", "指標コード")</f>
        <v/>
      </c>
      <c r="B90" s="1" t="str">
        <f t="array" ref="B90">_xll.RssIndexMarket("TOPX.FUT05.OS", "指標名称")</f>
        <v/>
      </c>
      <c r="C90" s="1" t="str">
        <f t="array" ref="C90">_xll.RssIndexMarket("TOPX.FUT05.OS", "現在日付")</f>
        <v/>
      </c>
      <c r="D90" s="1" t="str">
        <f t="array" ref="D90">_xll.RssIndexMarket("TOPX.FUT05.OS", "更新時刻")</f>
        <v/>
      </c>
      <c r="E90" s="2">
        <f t="array" ref="E90">_xll.RssIndexMarket("TOPX.FUT05.OS", "現在値")</f>
        <v>0</v>
      </c>
      <c r="F90" s="1" t="str">
        <f t="array" ref="F90">_xll.RssIndexMarket("TOPX.FUT05.OS", "現在値ティック")</f>
        <v/>
      </c>
      <c r="G90" s="2">
        <f t="array" ref="G90">_xll.RssIndexMarket("TOPX.FUT05.OS", "前日比")</f>
        <v>0</v>
      </c>
      <c r="H90" s="2">
        <f t="array" ref="H90">_xll.RssIndexMarket("TOPX.FUT05.OS", "前日比率")</f>
        <v>0</v>
      </c>
      <c r="I90" s="2">
        <f t="array" ref="I90">_xll.RssIndexMarket("TOPX.FUT05.OS", "前日終値")</f>
        <v>0</v>
      </c>
      <c r="J90" s="1" t="str">
        <f t="array" ref="J90">_xll.RssIndexMarket("TOPX.FUT05.OS", "前日日付")</f>
        <v/>
      </c>
      <c r="K90" s="2">
        <f t="array" ref="K90">_xll.RssIndexMarket("TOPX.FUT05.OS", "始値")</f>
        <v>0</v>
      </c>
      <c r="L90" s="2">
        <f t="array" ref="L90">_xll.RssIndexMarket("TOPX.FUT05.OS", "高値")</f>
        <v>0</v>
      </c>
      <c r="M90" s="2">
        <f t="array" ref="M90">_xll.RssIndexMarket("TOPX.FUT05.OS", "安値")</f>
        <v>0</v>
      </c>
      <c r="N90" s="1" t="str">
        <f t="array" ref="N90">_xll.RssIndexMarket("TOPX.FUT05.OS", "始値時刻")</f>
        <v xml:space="preserve">  :  </v>
      </c>
      <c r="O90" s="1" t="str">
        <f t="array" ref="O90">_xll.RssIndexMarket("TOPX.FUT05.OS", "高値時刻")</f>
        <v xml:space="preserve">  :  </v>
      </c>
      <c r="P90" s="1" t="str">
        <f t="array" ref="P90">_xll.RssIndexMarket("TOPX.FUT05.OS", "安値時刻")</f>
        <v xml:space="preserve">  :  </v>
      </c>
      <c r="Q90" s="2">
        <f t="array" ref="Q90">_xll.RssIndexMarket("TOPX.FUT05.OS", "出来高")</f>
        <v>0</v>
      </c>
      <c r="R90" s="2">
        <f t="array" ref="R90">_xll.RssIndexMarket("TOPX.FUT05.OS", "売買代金")</f>
        <v>0</v>
      </c>
      <c r="S90" s="2" t="str">
        <f t="array" ref="S90">_xll.RssIndexMarket("TOPX.FUT05.OS", "前年最高値")</f>
        <v/>
      </c>
      <c r="T90" s="2" t="str">
        <f t="array" ref="T90">_xll.RssIndexMarket("TOPX.FUT05.OS", "前年最安値")</f>
        <v/>
      </c>
      <c r="U90" s="2" t="str">
        <f t="array" ref="U90">_xll.RssIndexMarket("TOPX.FUT05.OS", "前年終値")</f>
        <v/>
      </c>
      <c r="V90" s="2" t="str">
        <f t="array" ref="V90">_xll.RssIndexMarket("TOPX.FUT05.OS", "年初来高値")</f>
        <v/>
      </c>
      <c r="W90" s="2" t="str">
        <f t="array" ref="W90">_xll.RssIndexMarket("TOPX.FUT05.OS", "年初来安値")</f>
        <v/>
      </c>
      <c r="X90" s="2" t="str">
        <f t="array" ref="X90">_xll.RssIndexMarket("TOPX.FUT05.OS", "上場来高値")</f>
        <v/>
      </c>
      <c r="Y90" s="2" t="str">
        <f t="array" ref="Y90">_xll.RssIndexMarket("TOPX.FUT05.OS", "上場来安値")</f>
        <v/>
      </c>
      <c r="Z90" s="1" t="str">
        <f t="array" ref="Z90">_xll.RssIndexMarket("TOPX.FUT05.OS", "上場来高値日付")</f>
        <v/>
      </c>
      <c r="AA90" s="1" t="str">
        <f t="array" ref="AA90">_xll.RssIndexMarket("TOPX.FUT05.OS", "上場来安値日付")</f>
        <v/>
      </c>
    </row>
    <row r="91" spans="1:27">
      <c r="A91" s="1" t="str">
        <f t="array" ref="A91">_xll.RssIndexMarket("MOT.FUT01.OS", "指標コード")</f>
        <v/>
      </c>
      <c r="B91" s="1" t="str">
        <f t="array" ref="B91">_xll.RssIndexMarket("MOT.FUT01.OS", "指標名称")</f>
        <v/>
      </c>
      <c r="C91" s="1" t="str">
        <f t="array" ref="C91">_xll.RssIndexMarket("MOT.FUT01.OS", "現在日付")</f>
        <v>2026/02/28</v>
      </c>
      <c r="D91" s="1" t="str">
        <f t="array" ref="D91">_xll.RssIndexMarket("MOT.FUT01.OS", "更新時刻")</f>
        <v/>
      </c>
      <c r="E91" s="2">
        <f t="array" ref="E91">_xll.RssIndexMarket("MOT.FUT01.OS", "現在値")</f>
        <v>756</v>
      </c>
      <c r="F91" s="1" t="str">
        <f t="array" ref="F91">_xll.RssIndexMarket("MOT.FUT01.OS", "現在値ティック")</f>
        <v>↑</v>
      </c>
      <c r="G91" s="2">
        <f t="array" ref="G91">_xll.RssIndexMarket("MOT.FUT01.OS", "前日比")</f>
        <v>-11</v>
      </c>
      <c r="H91" s="2">
        <f t="array" ref="H91">_xll.RssIndexMarket("MOT.FUT01.OS", "前日比率")</f>
        <v>-1.43</v>
      </c>
      <c r="I91" s="2">
        <f t="array" ref="I91">_xll.RssIndexMarket("MOT.FUT01.OS", "前日終値")</f>
        <v>767</v>
      </c>
      <c r="J91" s="1" t="str">
        <f t="array" ref="J91">_xll.RssIndexMarket("MOT.FUT01.OS", "前日日付")</f>
        <v>2026/02/27</v>
      </c>
      <c r="K91" s="2">
        <f t="array" ref="K91">_xll.RssIndexMarket("MOT.FUT01.OS", "始値")</f>
        <v>767</v>
      </c>
      <c r="L91" s="2">
        <f t="array" ref="L91">_xll.RssIndexMarket("MOT.FUT01.OS", "高値")</f>
        <v>769</v>
      </c>
      <c r="M91" s="2">
        <f t="array" ref="M91">_xll.RssIndexMarket("MOT.FUT01.OS", "安値")</f>
        <v>755</v>
      </c>
      <c r="N91" s="1" t="str">
        <f t="array" ref="N91">_xll.RssIndexMarket("MOT.FUT01.OS", "始値時刻")</f>
        <v>17:00</v>
      </c>
      <c r="O91" s="1" t="str">
        <f t="array" ref="O91">_xll.RssIndexMarket("MOT.FUT01.OS", "高値時刻")</f>
        <v>18:08</v>
      </c>
      <c r="P91" s="1" t="str">
        <f t="array" ref="P91">_xll.RssIndexMarket("MOT.FUT01.OS", "安値時刻")</f>
        <v>05:54</v>
      </c>
      <c r="Q91" s="2">
        <f t="array" ref="Q91">_xll.RssIndexMarket("MOT.FUT01.OS", "出来高")</f>
        <v>984</v>
      </c>
      <c r="R91" s="2">
        <f t="array" ref="R91">_xll.RssIndexMarket("MOT.FUT01.OS", "売買代金")</f>
        <v>750819</v>
      </c>
      <c r="S91" s="2" t="str">
        <f t="array" ref="S91">_xll.RssIndexMarket("MOT.FUT01.OS", "前年最高値")</f>
        <v/>
      </c>
      <c r="T91" s="2" t="str">
        <f t="array" ref="T91">_xll.RssIndexMarket("MOT.FUT01.OS", "前年最安値")</f>
        <v/>
      </c>
      <c r="U91" s="2" t="str">
        <f t="array" ref="U91">_xll.RssIndexMarket("MOT.FUT01.OS", "前年終値")</f>
        <v/>
      </c>
      <c r="V91" s="2" t="str">
        <f t="array" ref="V91">_xll.RssIndexMarket("MOT.FUT01.OS", "年初来高値")</f>
        <v/>
      </c>
      <c r="W91" s="2" t="str">
        <f t="array" ref="W91">_xll.RssIndexMarket("MOT.FUT01.OS", "年初来安値")</f>
        <v/>
      </c>
      <c r="X91" s="2" t="str">
        <f t="array" ref="X91">_xll.RssIndexMarket("MOT.FUT01.OS", "上場来高値")</f>
        <v/>
      </c>
      <c r="Y91" s="2" t="str">
        <f t="array" ref="Y91">_xll.RssIndexMarket("MOT.FUT01.OS", "上場来安値")</f>
        <v/>
      </c>
      <c r="Z91" s="1" t="str">
        <f t="array" ref="Z91">_xll.RssIndexMarket("MOT.FUT01.OS", "上場来高値日付")</f>
        <v/>
      </c>
      <c r="AA91" s="1" t="str">
        <f t="array" ref="AA91">_xll.RssIndexMarket("MOT.FUT01.OS", "上場来安値日付")</f>
        <v/>
      </c>
    </row>
    <row r="92" spans="1:27">
      <c r="A92" s="1" t="str">
        <f t="array" ref="A92">_xll.RssIndexMarket("MOT.FUT02.OS", "指標コード")</f>
        <v/>
      </c>
      <c r="B92" s="1" t="str">
        <f t="array" ref="B92">_xll.RssIndexMarket("MOT.FUT02.OS", "指標名称")</f>
        <v/>
      </c>
      <c r="C92" s="1" t="str">
        <f t="array" ref="C92">_xll.RssIndexMarket("MOT.FUT02.OS", "現在日付")</f>
        <v>2026/02/28</v>
      </c>
      <c r="D92" s="1" t="str">
        <f t="array" ref="D92">_xll.RssIndexMarket("MOT.FUT02.OS", "更新時刻")</f>
        <v/>
      </c>
      <c r="E92" s="2">
        <f t="array" ref="E92">_xll.RssIndexMarket("MOT.FUT02.OS", "現在値")</f>
        <v>746</v>
      </c>
      <c r="F92" s="1" t="str">
        <f t="array" ref="F92">_xll.RssIndexMarket("MOT.FUT02.OS", "現在値ティック")</f>
        <v>↓</v>
      </c>
      <c r="G92" s="2">
        <f t="array" ref="G92">_xll.RssIndexMarket("MOT.FUT02.OS", "前日比")</f>
        <v>-10</v>
      </c>
      <c r="H92" s="2">
        <f t="array" ref="H92">_xll.RssIndexMarket("MOT.FUT02.OS", "前日比率")</f>
        <v>-1.32</v>
      </c>
      <c r="I92" s="2">
        <f t="array" ref="I92">_xll.RssIndexMarket("MOT.FUT02.OS", "前日終値")</f>
        <v>756</v>
      </c>
      <c r="J92" s="1" t="str">
        <f t="array" ref="J92">_xll.RssIndexMarket("MOT.FUT02.OS", "前日日付")</f>
        <v>2026/02/27</v>
      </c>
      <c r="K92" s="2">
        <f t="array" ref="K92">_xll.RssIndexMarket("MOT.FUT02.OS", "始値")</f>
        <v>757</v>
      </c>
      <c r="L92" s="2">
        <f t="array" ref="L92">_xll.RssIndexMarket("MOT.FUT02.OS", "高値")</f>
        <v>758</v>
      </c>
      <c r="M92" s="2">
        <f t="array" ref="M92">_xll.RssIndexMarket("MOT.FUT02.OS", "安値")</f>
        <v>746</v>
      </c>
      <c r="N92" s="1" t="str">
        <f t="array" ref="N92">_xll.RssIndexMarket("MOT.FUT02.OS", "始値時刻")</f>
        <v>17:01</v>
      </c>
      <c r="O92" s="1" t="str">
        <f t="array" ref="O92">_xll.RssIndexMarket("MOT.FUT02.OS", "高値時刻")</f>
        <v>18:27</v>
      </c>
      <c r="P92" s="1" t="str">
        <f t="array" ref="P92">_xll.RssIndexMarket("MOT.FUT02.OS", "安値時刻")</f>
        <v>05:41</v>
      </c>
      <c r="Q92" s="2">
        <f t="array" ref="Q92">_xll.RssIndexMarket("MOT.FUT02.OS", "出来高")</f>
        <v>57</v>
      </c>
      <c r="R92" s="2">
        <f t="array" ref="R92">_xll.RssIndexMarket("MOT.FUT02.OS", "売買代金")</f>
        <v>42893</v>
      </c>
      <c r="S92" s="2" t="str">
        <f t="array" ref="S92">_xll.RssIndexMarket("MOT.FUT02.OS", "前年最高値")</f>
        <v/>
      </c>
      <c r="T92" s="2" t="str">
        <f t="array" ref="T92">_xll.RssIndexMarket("MOT.FUT02.OS", "前年最安値")</f>
        <v/>
      </c>
      <c r="U92" s="2" t="str">
        <f t="array" ref="U92">_xll.RssIndexMarket("MOT.FUT02.OS", "前年終値")</f>
        <v/>
      </c>
      <c r="V92" s="2" t="str">
        <f t="array" ref="V92">_xll.RssIndexMarket("MOT.FUT02.OS", "年初来高値")</f>
        <v/>
      </c>
      <c r="W92" s="2" t="str">
        <f t="array" ref="W92">_xll.RssIndexMarket("MOT.FUT02.OS", "年初来安値")</f>
        <v/>
      </c>
      <c r="X92" s="2" t="str">
        <f t="array" ref="X92">_xll.RssIndexMarket("MOT.FUT02.OS", "上場来高値")</f>
        <v/>
      </c>
      <c r="Y92" s="2" t="str">
        <f t="array" ref="Y92">_xll.RssIndexMarket("MOT.FUT02.OS", "上場来安値")</f>
        <v/>
      </c>
      <c r="Z92" s="1" t="str">
        <f t="array" ref="Z92">_xll.RssIndexMarket("MOT.FUT02.OS", "上場来高値日付")</f>
        <v/>
      </c>
      <c r="AA92" s="1" t="str">
        <f t="array" ref="AA92">_xll.RssIndexMarket("MOT.FUT02.OS", "上場来安値日付")</f>
        <v/>
      </c>
    </row>
    <row r="93" spans="1:27">
      <c r="A93" s="1" t="str">
        <f t="array" ref="A93">_xll.RssIndexMarket("MOT.FUT03.OS", "指標コード")</f>
        <v/>
      </c>
      <c r="B93" s="1" t="str">
        <f t="array" ref="B93">_xll.RssIndexMarket("MOT.FUT03.OS", "指標名称")</f>
        <v/>
      </c>
      <c r="C93" s="1" t="str">
        <f t="array" ref="C93">_xll.RssIndexMarket("MOT.FUT03.OS", "現在日付")</f>
        <v>2026/02/27</v>
      </c>
      <c r="D93" s="1" t="str">
        <f t="array" ref="D93">_xll.RssIndexMarket("MOT.FUT03.OS", "更新時刻")</f>
        <v/>
      </c>
      <c r="E93" s="2">
        <f t="array" ref="E93">_xll.RssIndexMarket("MOT.FUT03.OS", "現在値")</f>
        <v>740</v>
      </c>
      <c r="F93" s="1" t="str">
        <f t="array" ref="F93">_xll.RssIndexMarket("MOT.FUT03.OS", "現在値ティック")</f>
        <v>↓</v>
      </c>
      <c r="G93" s="2">
        <f t="array" ref="G93">_xll.RssIndexMarket("MOT.FUT03.OS", "前日比")</f>
        <v>24</v>
      </c>
      <c r="H93" s="2">
        <f t="array" ref="H93">_xll.RssIndexMarket("MOT.FUT03.OS", "前日比率")</f>
        <v>3.35</v>
      </c>
      <c r="I93" s="2">
        <f t="array" ref="I93">_xll.RssIndexMarket("MOT.FUT03.OS", "前日終値")</f>
        <v>716</v>
      </c>
      <c r="J93" s="1" t="str">
        <f t="array" ref="J93">_xll.RssIndexMarket("MOT.FUT03.OS", "前日日付")</f>
        <v>2026/02/26</v>
      </c>
      <c r="K93" s="2">
        <f t="array" ref="K93">_xll.RssIndexMarket("MOT.FUT03.OS", "始値")</f>
        <v>747</v>
      </c>
      <c r="L93" s="2">
        <f t="array" ref="L93">_xll.RssIndexMarket("MOT.FUT03.OS", "高値")</f>
        <v>747</v>
      </c>
      <c r="M93" s="2">
        <f t="array" ref="M93">_xll.RssIndexMarket("MOT.FUT03.OS", "安値")</f>
        <v>740</v>
      </c>
      <c r="N93" s="1" t="str">
        <f t="array" ref="N93">_xll.RssIndexMarket("MOT.FUT03.OS", "始値時刻")</f>
        <v>20:18</v>
      </c>
      <c r="O93" s="1" t="str">
        <f t="array" ref="O93">_xll.RssIndexMarket("MOT.FUT03.OS", "高値時刻")</f>
        <v>20:18</v>
      </c>
      <c r="P93" s="1" t="str">
        <f t="array" ref="P93">_xll.RssIndexMarket("MOT.FUT03.OS", "安値時刻")</f>
        <v>23:15</v>
      </c>
      <c r="Q93" s="2">
        <f t="array" ref="Q93">_xll.RssIndexMarket("MOT.FUT03.OS", "出来高")</f>
        <v>3</v>
      </c>
      <c r="R93" s="2">
        <f t="array" ref="R93">_xll.RssIndexMarket("MOT.FUT03.OS", "売買代金")</f>
        <v>2234</v>
      </c>
      <c r="S93" s="2" t="str">
        <f t="array" ref="S93">_xll.RssIndexMarket("MOT.FUT03.OS", "前年最高値")</f>
        <v/>
      </c>
      <c r="T93" s="2" t="str">
        <f t="array" ref="T93">_xll.RssIndexMarket("MOT.FUT03.OS", "前年最安値")</f>
        <v/>
      </c>
      <c r="U93" s="2" t="str">
        <f t="array" ref="U93">_xll.RssIndexMarket("MOT.FUT03.OS", "前年終値")</f>
        <v/>
      </c>
      <c r="V93" s="2" t="str">
        <f t="array" ref="V93">_xll.RssIndexMarket("MOT.FUT03.OS", "年初来高値")</f>
        <v/>
      </c>
      <c r="W93" s="2" t="str">
        <f t="array" ref="W93">_xll.RssIndexMarket("MOT.FUT03.OS", "年初来安値")</f>
        <v/>
      </c>
      <c r="X93" s="2" t="str">
        <f t="array" ref="X93">_xll.RssIndexMarket("MOT.FUT03.OS", "上場来高値")</f>
        <v/>
      </c>
      <c r="Y93" s="2" t="str">
        <f t="array" ref="Y93">_xll.RssIndexMarket("MOT.FUT03.OS", "上場来安値")</f>
        <v/>
      </c>
      <c r="Z93" s="1" t="str">
        <f t="array" ref="Z93">_xll.RssIndexMarket("MOT.FUT03.OS", "上場来高値日付")</f>
        <v/>
      </c>
      <c r="AA93" s="1" t="str">
        <f t="array" ref="AA93">_xll.RssIndexMarket("MOT.FUT03.OS", "上場来安値日付")</f>
        <v/>
      </c>
    </row>
    <row r="94" spans="1:27">
      <c r="A94" s="1" t="str">
        <f t="array" ref="A94">_xll.RssIndexMarket("MOT.FUT04.OS", "指標コード")</f>
        <v/>
      </c>
      <c r="B94" s="1" t="str">
        <f t="array" ref="B94">_xll.RssIndexMarket("MOT.FUT04.OS", "指標名称")</f>
        <v/>
      </c>
      <c r="C94" s="1" t="str">
        <f t="array" ref="C94">_xll.RssIndexMarket("MOT.FUT04.OS", "現在日付")</f>
        <v>2026/02/27</v>
      </c>
      <c r="D94" s="1" t="str">
        <f t="array" ref="D94">_xll.RssIndexMarket("MOT.FUT04.OS", "更新時刻")</f>
        <v/>
      </c>
      <c r="E94" s="2">
        <f t="array" ref="E94">_xll.RssIndexMarket("MOT.FUT04.OS", "現在値")</f>
        <v>0</v>
      </c>
      <c r="F94" s="1" t="str">
        <f t="array" ref="F94">_xll.RssIndexMarket("MOT.FUT04.OS", "現在値ティック")</f>
        <v/>
      </c>
      <c r="G94" s="2">
        <f t="array" ref="G94">_xll.RssIndexMarket("MOT.FUT04.OS", "前日比")</f>
        <v>0</v>
      </c>
      <c r="H94" s="2">
        <f t="array" ref="H94">_xll.RssIndexMarket("MOT.FUT04.OS", "前日比率")</f>
        <v>0</v>
      </c>
      <c r="I94" s="2">
        <f t="array" ref="I94">_xll.RssIndexMarket("MOT.FUT04.OS", "前日終値")</f>
        <v>737</v>
      </c>
      <c r="J94" s="1" t="str">
        <f t="array" ref="J94">_xll.RssIndexMarket("MOT.FUT04.OS", "前日日付")</f>
        <v>2026/02/27</v>
      </c>
      <c r="K94" s="2">
        <f t="array" ref="K94">_xll.RssIndexMarket("MOT.FUT04.OS", "始値")</f>
        <v>0</v>
      </c>
      <c r="L94" s="2">
        <f t="array" ref="L94">_xll.RssIndexMarket("MOT.FUT04.OS", "高値")</f>
        <v>0</v>
      </c>
      <c r="M94" s="2">
        <f t="array" ref="M94">_xll.RssIndexMarket("MOT.FUT04.OS", "安値")</f>
        <v>0</v>
      </c>
      <c r="N94" s="1" t="str">
        <f t="array" ref="N94">_xll.RssIndexMarket("MOT.FUT04.OS", "始値時刻")</f>
        <v xml:space="preserve">  :  </v>
      </c>
      <c r="O94" s="1" t="str">
        <f t="array" ref="O94">_xll.RssIndexMarket("MOT.FUT04.OS", "高値時刻")</f>
        <v xml:space="preserve">  :  </v>
      </c>
      <c r="P94" s="1" t="str">
        <f t="array" ref="P94">_xll.RssIndexMarket("MOT.FUT04.OS", "安値時刻")</f>
        <v xml:space="preserve">  :  </v>
      </c>
      <c r="Q94" s="2">
        <f t="array" ref="Q94">_xll.RssIndexMarket("MOT.FUT04.OS", "出来高")</f>
        <v>0</v>
      </c>
      <c r="R94" s="2">
        <f t="array" ref="R94">_xll.RssIndexMarket("MOT.FUT04.OS", "売買代金")</f>
        <v>0</v>
      </c>
      <c r="S94" s="2" t="str">
        <f t="array" ref="S94">_xll.RssIndexMarket("MOT.FUT04.OS", "前年最高値")</f>
        <v/>
      </c>
      <c r="T94" s="2" t="str">
        <f t="array" ref="T94">_xll.RssIndexMarket("MOT.FUT04.OS", "前年最安値")</f>
        <v/>
      </c>
      <c r="U94" s="2" t="str">
        <f t="array" ref="U94">_xll.RssIndexMarket("MOT.FUT04.OS", "前年終値")</f>
        <v/>
      </c>
      <c r="V94" s="2" t="str">
        <f t="array" ref="V94">_xll.RssIndexMarket("MOT.FUT04.OS", "年初来高値")</f>
        <v/>
      </c>
      <c r="W94" s="2" t="str">
        <f t="array" ref="W94">_xll.RssIndexMarket("MOT.FUT04.OS", "年初来安値")</f>
        <v/>
      </c>
      <c r="X94" s="2" t="str">
        <f t="array" ref="X94">_xll.RssIndexMarket("MOT.FUT04.OS", "上場来高値")</f>
        <v/>
      </c>
      <c r="Y94" s="2" t="str">
        <f t="array" ref="Y94">_xll.RssIndexMarket("MOT.FUT04.OS", "上場来安値")</f>
        <v/>
      </c>
      <c r="Z94" s="1" t="str">
        <f t="array" ref="Z94">_xll.RssIndexMarket("MOT.FUT04.OS", "上場来高値日付")</f>
        <v/>
      </c>
      <c r="AA94" s="1" t="str">
        <f t="array" ref="AA94">_xll.RssIndexMarket("MOT.FUT04.OS", "上場来安値日付")</f>
        <v/>
      </c>
    </row>
    <row r="95" spans="1:27">
      <c r="A95" s="1" t="str">
        <f t="array" ref="A95">_xll.RssIndexMarket("MOT.FUT05.OS", "指標コード")</f>
        <v/>
      </c>
      <c r="B95" s="1" t="str">
        <f t="array" ref="B95">_xll.RssIndexMarket("MOT.FUT05.OS", "指標名称")</f>
        <v/>
      </c>
      <c r="C95" s="1" t="str">
        <f t="array" ref="C95">_xll.RssIndexMarket("MOT.FUT05.OS", "現在日付")</f>
        <v>2026/02/26</v>
      </c>
      <c r="D95" s="1" t="str">
        <f t="array" ref="D95">_xll.RssIndexMarket("MOT.FUT05.OS", "更新時刻")</f>
        <v/>
      </c>
      <c r="E95" s="2">
        <f t="array" ref="E95">_xll.RssIndexMarket("MOT.FUT05.OS", "現在値")</f>
        <v>0</v>
      </c>
      <c r="F95" s="1" t="str">
        <f t="array" ref="F95">_xll.RssIndexMarket("MOT.FUT05.OS", "現在値ティック")</f>
        <v/>
      </c>
      <c r="G95" s="2">
        <f t="array" ref="G95">_xll.RssIndexMarket("MOT.FUT05.OS", "前日比")</f>
        <v>0</v>
      </c>
      <c r="H95" s="2">
        <f t="array" ref="H95">_xll.RssIndexMarket("MOT.FUT05.OS", "前日比率")</f>
        <v>0</v>
      </c>
      <c r="I95" s="2">
        <f t="array" ref="I95">_xll.RssIndexMarket("MOT.FUT05.OS", "前日終値")</f>
        <v>700</v>
      </c>
      <c r="J95" s="1" t="str">
        <f t="array" ref="J95">_xll.RssIndexMarket("MOT.FUT05.OS", "前日日付")</f>
        <v>2026/02/26</v>
      </c>
      <c r="K95" s="2">
        <f t="array" ref="K95">_xll.RssIndexMarket("MOT.FUT05.OS", "始値")</f>
        <v>0</v>
      </c>
      <c r="L95" s="2">
        <f t="array" ref="L95">_xll.RssIndexMarket("MOT.FUT05.OS", "高値")</f>
        <v>0</v>
      </c>
      <c r="M95" s="2">
        <f t="array" ref="M95">_xll.RssIndexMarket("MOT.FUT05.OS", "安値")</f>
        <v>0</v>
      </c>
      <c r="N95" s="1" t="str">
        <f t="array" ref="N95">_xll.RssIndexMarket("MOT.FUT05.OS", "始値時刻")</f>
        <v xml:space="preserve">  :  </v>
      </c>
      <c r="O95" s="1" t="str">
        <f t="array" ref="O95">_xll.RssIndexMarket("MOT.FUT05.OS", "高値時刻")</f>
        <v xml:space="preserve">  :  </v>
      </c>
      <c r="P95" s="1" t="str">
        <f t="array" ref="P95">_xll.RssIndexMarket("MOT.FUT05.OS", "安値時刻")</f>
        <v xml:space="preserve">  :  </v>
      </c>
      <c r="Q95" s="2">
        <f t="array" ref="Q95">_xll.RssIndexMarket("MOT.FUT05.OS", "出来高")</f>
        <v>0</v>
      </c>
      <c r="R95" s="2">
        <f t="array" ref="R95">_xll.RssIndexMarket("MOT.FUT05.OS", "売買代金")</f>
        <v>0</v>
      </c>
      <c r="S95" s="2" t="str">
        <f t="array" ref="S95">_xll.RssIndexMarket("MOT.FUT05.OS", "前年最高値")</f>
        <v/>
      </c>
      <c r="T95" s="2" t="str">
        <f t="array" ref="T95">_xll.RssIndexMarket("MOT.FUT05.OS", "前年最安値")</f>
        <v/>
      </c>
      <c r="U95" s="2" t="str">
        <f t="array" ref="U95">_xll.RssIndexMarket("MOT.FUT05.OS", "前年終値")</f>
        <v/>
      </c>
      <c r="V95" s="2" t="str">
        <f t="array" ref="V95">_xll.RssIndexMarket("MOT.FUT05.OS", "年初来高値")</f>
        <v/>
      </c>
      <c r="W95" s="2" t="str">
        <f t="array" ref="W95">_xll.RssIndexMarket("MOT.FUT05.OS", "年初来安値")</f>
        <v/>
      </c>
      <c r="X95" s="2" t="str">
        <f t="array" ref="X95">_xll.RssIndexMarket("MOT.FUT05.OS", "上場来高値")</f>
        <v/>
      </c>
      <c r="Y95" s="2" t="str">
        <f t="array" ref="Y95">_xll.RssIndexMarket("MOT.FUT05.OS", "上場来安値")</f>
        <v/>
      </c>
      <c r="Z95" s="1" t="str">
        <f t="array" ref="Z95">_xll.RssIndexMarket("MOT.FUT05.OS", "上場来高値日付")</f>
        <v/>
      </c>
      <c r="AA95" s="1" t="str">
        <f t="array" ref="AA95">_xll.RssIndexMarket("MOT.FUT05.OS", "上場来安値日付")</f>
        <v/>
      </c>
    </row>
    <row r="96" spans="1:27">
      <c r="A96" s="1" t="str">
        <f t="array" ref="A96">_xll.RssIndexMarket("JN400.FUT01.OS", "指標コード")</f>
        <v/>
      </c>
      <c r="B96" s="1" t="str">
        <f t="array" ref="B96">_xll.RssIndexMarket("JN400.FUT01.OS", "指標名称")</f>
        <v/>
      </c>
      <c r="C96" s="1" t="str">
        <f t="array" ref="C96">_xll.RssIndexMarket("JN400.FUT01.OS", "現在日付")</f>
        <v>2026/02/28</v>
      </c>
      <c r="D96" s="1" t="str">
        <f t="array" ref="D96">_xll.RssIndexMarket("JN400.FUT01.OS", "更新時刻")</f>
        <v/>
      </c>
      <c r="E96" s="2">
        <f t="array" ref="E96">_xll.RssIndexMarket("JN400.FUT01.OS", "現在値")</f>
        <v>35340</v>
      </c>
      <c r="F96" s="1" t="str">
        <f t="array" ref="F96">_xll.RssIndexMarket("JN400.FUT01.OS", "現在値ティック")</f>
        <v>↑</v>
      </c>
      <c r="G96" s="2">
        <f t="array" ref="G96">_xll.RssIndexMarket("JN400.FUT01.OS", "前日比")</f>
        <v>-460</v>
      </c>
      <c r="H96" s="2">
        <f t="array" ref="H96">_xll.RssIndexMarket("JN400.FUT01.OS", "前日比率")</f>
        <v>-1.28</v>
      </c>
      <c r="I96" s="2">
        <f t="array" ref="I96">_xll.RssIndexMarket("JN400.FUT01.OS", "前日終値")</f>
        <v>35800</v>
      </c>
      <c r="J96" s="1" t="str">
        <f t="array" ref="J96">_xll.RssIndexMarket("JN400.FUT01.OS", "前日日付")</f>
        <v>2026/02/27</v>
      </c>
      <c r="K96" s="2">
        <f t="array" ref="K96">_xll.RssIndexMarket("JN400.FUT01.OS", "始値")</f>
        <v>35825</v>
      </c>
      <c r="L96" s="2">
        <f t="array" ref="L96">_xll.RssIndexMarket("JN400.FUT01.OS", "高値")</f>
        <v>35900</v>
      </c>
      <c r="M96" s="2">
        <f t="array" ref="M96">_xll.RssIndexMarket("JN400.FUT01.OS", "安値")</f>
        <v>35320</v>
      </c>
      <c r="N96" s="1" t="str">
        <f t="array" ref="N96">_xll.RssIndexMarket("JN400.FUT01.OS", "始値時刻")</f>
        <v>17:00</v>
      </c>
      <c r="O96" s="1" t="str">
        <f t="array" ref="O96">_xll.RssIndexMarket("JN400.FUT01.OS", "高値時刻")</f>
        <v>18:21</v>
      </c>
      <c r="P96" s="1" t="str">
        <f t="array" ref="P96">_xll.RssIndexMarket("JN400.FUT01.OS", "安値時刻")</f>
        <v>05:54</v>
      </c>
      <c r="Q96" s="2">
        <f t="array" ref="Q96">_xll.RssIndexMarket("JN400.FUT01.OS", "出来高")</f>
        <v>2373</v>
      </c>
      <c r="R96" s="2">
        <f t="array" ref="R96">_xll.RssIndexMarket("JN400.FUT01.OS", "売買代金")</f>
        <v>8441541</v>
      </c>
      <c r="S96" s="2" t="str">
        <f t="array" ref="S96">_xll.RssIndexMarket("JN400.FUT01.OS", "前年最高値")</f>
        <v/>
      </c>
      <c r="T96" s="2" t="str">
        <f t="array" ref="T96">_xll.RssIndexMarket("JN400.FUT01.OS", "前年最安値")</f>
        <v/>
      </c>
      <c r="U96" s="2" t="str">
        <f t="array" ref="U96">_xll.RssIndexMarket("JN400.FUT01.OS", "前年終値")</f>
        <v/>
      </c>
      <c r="V96" s="2" t="str">
        <f t="array" ref="V96">_xll.RssIndexMarket("JN400.FUT01.OS", "年初来高値")</f>
        <v/>
      </c>
      <c r="W96" s="2" t="str">
        <f t="array" ref="W96">_xll.RssIndexMarket("JN400.FUT01.OS", "年初来安値")</f>
        <v/>
      </c>
      <c r="X96" s="2" t="str">
        <f t="array" ref="X96">_xll.RssIndexMarket("JN400.FUT01.OS", "上場来高値")</f>
        <v/>
      </c>
      <c r="Y96" s="2" t="str">
        <f t="array" ref="Y96">_xll.RssIndexMarket("JN400.FUT01.OS", "上場来安値")</f>
        <v/>
      </c>
      <c r="Z96" s="1" t="str">
        <f t="array" ref="Z96">_xll.RssIndexMarket("JN400.FUT01.OS", "上場来高値日付")</f>
        <v/>
      </c>
      <c r="AA96" s="1" t="str">
        <f t="array" ref="AA96">_xll.RssIndexMarket("JN400.FUT01.OS", "上場来安値日付")</f>
        <v/>
      </c>
    </row>
    <row r="97" spans="1:27">
      <c r="A97" s="1" t="str">
        <f t="array" ref="A97">_xll.RssIndexMarket("JN400.FUT02.OS", "指標コード")</f>
        <v/>
      </c>
      <c r="B97" s="1" t="str">
        <f t="array" ref="B97">_xll.RssIndexMarket("JN400.FUT02.OS", "指標名称")</f>
        <v/>
      </c>
      <c r="C97" s="1" t="str">
        <f t="array" ref="C97">_xll.RssIndexMarket("JN400.FUT02.OS", "現在日付")</f>
        <v/>
      </c>
      <c r="D97" s="1" t="str">
        <f t="array" ref="D97">_xll.RssIndexMarket("JN400.FUT02.OS", "更新時刻")</f>
        <v/>
      </c>
      <c r="E97" s="2">
        <f t="array" ref="E97">_xll.RssIndexMarket("JN400.FUT02.OS", "現在値")</f>
        <v>0</v>
      </c>
      <c r="F97" s="1" t="str">
        <f t="array" ref="F97">_xll.RssIndexMarket("JN400.FUT02.OS", "現在値ティック")</f>
        <v/>
      </c>
      <c r="G97" s="2">
        <f t="array" ref="G97">_xll.RssIndexMarket("JN400.FUT02.OS", "前日比")</f>
        <v>0</v>
      </c>
      <c r="H97" s="2">
        <f t="array" ref="H97">_xll.RssIndexMarket("JN400.FUT02.OS", "前日比率")</f>
        <v>0</v>
      </c>
      <c r="I97" s="2">
        <f t="array" ref="I97">_xll.RssIndexMarket("JN400.FUT02.OS", "前日終値")</f>
        <v>0</v>
      </c>
      <c r="J97" s="1" t="str">
        <f t="array" ref="J97">_xll.RssIndexMarket("JN400.FUT02.OS", "前日日付")</f>
        <v/>
      </c>
      <c r="K97" s="2">
        <f t="array" ref="K97">_xll.RssIndexMarket("JN400.FUT02.OS", "始値")</f>
        <v>0</v>
      </c>
      <c r="L97" s="2">
        <f t="array" ref="L97">_xll.RssIndexMarket("JN400.FUT02.OS", "高値")</f>
        <v>0</v>
      </c>
      <c r="M97" s="2">
        <f t="array" ref="M97">_xll.RssIndexMarket("JN400.FUT02.OS", "安値")</f>
        <v>0</v>
      </c>
      <c r="N97" s="1" t="str">
        <f t="array" ref="N97">_xll.RssIndexMarket("JN400.FUT02.OS", "始値時刻")</f>
        <v xml:space="preserve">  :  </v>
      </c>
      <c r="O97" s="1" t="str">
        <f t="array" ref="O97">_xll.RssIndexMarket("JN400.FUT02.OS", "高値時刻")</f>
        <v xml:space="preserve">  :  </v>
      </c>
      <c r="P97" s="1" t="str">
        <f t="array" ref="P97">_xll.RssIndexMarket("JN400.FUT02.OS", "安値時刻")</f>
        <v xml:space="preserve">  :  </v>
      </c>
      <c r="Q97" s="2">
        <f t="array" ref="Q97">_xll.RssIndexMarket("JN400.FUT02.OS", "出来高")</f>
        <v>0</v>
      </c>
      <c r="R97" s="2">
        <f t="array" ref="R97">_xll.RssIndexMarket("JN400.FUT02.OS", "売買代金")</f>
        <v>0</v>
      </c>
      <c r="S97" s="2" t="str">
        <f t="array" ref="S97">_xll.RssIndexMarket("JN400.FUT02.OS", "前年最高値")</f>
        <v/>
      </c>
      <c r="T97" s="2" t="str">
        <f t="array" ref="T97">_xll.RssIndexMarket("JN400.FUT02.OS", "前年最安値")</f>
        <v/>
      </c>
      <c r="U97" s="2" t="str">
        <f t="array" ref="U97">_xll.RssIndexMarket("JN400.FUT02.OS", "前年終値")</f>
        <v/>
      </c>
      <c r="V97" s="2" t="str">
        <f t="array" ref="V97">_xll.RssIndexMarket("JN400.FUT02.OS", "年初来高値")</f>
        <v/>
      </c>
      <c r="W97" s="2" t="str">
        <f t="array" ref="W97">_xll.RssIndexMarket("JN400.FUT02.OS", "年初来安値")</f>
        <v/>
      </c>
      <c r="X97" s="2" t="str">
        <f t="array" ref="X97">_xll.RssIndexMarket("JN400.FUT02.OS", "上場来高値")</f>
        <v/>
      </c>
      <c r="Y97" s="2" t="str">
        <f t="array" ref="Y97">_xll.RssIndexMarket("JN400.FUT02.OS", "上場来安値")</f>
        <v/>
      </c>
      <c r="Z97" s="1" t="str">
        <f t="array" ref="Z97">_xll.RssIndexMarket("JN400.FUT02.OS", "上場来高値日付")</f>
        <v/>
      </c>
      <c r="AA97" s="1" t="str">
        <f t="array" ref="AA97">_xll.RssIndexMarket("JN400.FUT02.OS", "上場来安値日付")</f>
        <v/>
      </c>
    </row>
    <row r="98" spans="1:27">
      <c r="A98" s="1" t="str">
        <f t="array" ref="A98">_xll.RssIndexMarket("JN400.FUT03.OS", "指標コード")</f>
        <v/>
      </c>
      <c r="B98" s="1" t="str">
        <f t="array" ref="B98">_xll.RssIndexMarket("JN400.FUT03.OS", "指標名称")</f>
        <v/>
      </c>
      <c r="C98" s="1" t="str">
        <f t="array" ref="C98">_xll.RssIndexMarket("JN400.FUT03.OS", "現在日付")</f>
        <v/>
      </c>
      <c r="D98" s="1" t="str">
        <f t="array" ref="D98">_xll.RssIndexMarket("JN400.FUT03.OS", "更新時刻")</f>
        <v/>
      </c>
      <c r="E98" s="2">
        <f t="array" ref="E98">_xll.RssIndexMarket("JN400.FUT03.OS", "現在値")</f>
        <v>0</v>
      </c>
      <c r="F98" s="1" t="str">
        <f t="array" ref="F98">_xll.RssIndexMarket("JN400.FUT03.OS", "現在値ティック")</f>
        <v/>
      </c>
      <c r="G98" s="2">
        <f t="array" ref="G98">_xll.RssIndexMarket("JN400.FUT03.OS", "前日比")</f>
        <v>0</v>
      </c>
      <c r="H98" s="2">
        <f t="array" ref="H98">_xll.RssIndexMarket("JN400.FUT03.OS", "前日比率")</f>
        <v>0</v>
      </c>
      <c r="I98" s="2">
        <f t="array" ref="I98">_xll.RssIndexMarket("JN400.FUT03.OS", "前日終値")</f>
        <v>0</v>
      </c>
      <c r="J98" s="1" t="str">
        <f t="array" ref="J98">_xll.RssIndexMarket("JN400.FUT03.OS", "前日日付")</f>
        <v/>
      </c>
      <c r="K98" s="2">
        <f t="array" ref="K98">_xll.RssIndexMarket("JN400.FUT03.OS", "始値")</f>
        <v>0</v>
      </c>
      <c r="L98" s="2">
        <f t="array" ref="L98">_xll.RssIndexMarket("JN400.FUT03.OS", "高値")</f>
        <v>0</v>
      </c>
      <c r="M98" s="2">
        <f t="array" ref="M98">_xll.RssIndexMarket("JN400.FUT03.OS", "安値")</f>
        <v>0</v>
      </c>
      <c r="N98" s="1" t="str">
        <f t="array" ref="N98">_xll.RssIndexMarket("JN400.FUT03.OS", "始値時刻")</f>
        <v xml:space="preserve">  :  </v>
      </c>
      <c r="O98" s="1" t="str">
        <f t="array" ref="O98">_xll.RssIndexMarket("JN400.FUT03.OS", "高値時刻")</f>
        <v xml:space="preserve">  :  </v>
      </c>
      <c r="P98" s="1" t="str">
        <f t="array" ref="P98">_xll.RssIndexMarket("JN400.FUT03.OS", "安値時刻")</f>
        <v xml:space="preserve">  :  </v>
      </c>
      <c r="Q98" s="2">
        <f t="array" ref="Q98">_xll.RssIndexMarket("JN400.FUT03.OS", "出来高")</f>
        <v>0</v>
      </c>
      <c r="R98" s="2">
        <f t="array" ref="R98">_xll.RssIndexMarket("JN400.FUT03.OS", "売買代金")</f>
        <v>0</v>
      </c>
      <c r="S98" s="2" t="str">
        <f t="array" ref="S98">_xll.RssIndexMarket("JN400.FUT03.OS", "前年最高値")</f>
        <v/>
      </c>
      <c r="T98" s="2" t="str">
        <f t="array" ref="T98">_xll.RssIndexMarket("JN400.FUT03.OS", "前年最安値")</f>
        <v/>
      </c>
      <c r="U98" s="2" t="str">
        <f t="array" ref="U98">_xll.RssIndexMarket("JN400.FUT03.OS", "前年終値")</f>
        <v/>
      </c>
      <c r="V98" s="2" t="str">
        <f t="array" ref="V98">_xll.RssIndexMarket("JN400.FUT03.OS", "年初来高値")</f>
        <v/>
      </c>
      <c r="W98" s="2" t="str">
        <f t="array" ref="W98">_xll.RssIndexMarket("JN400.FUT03.OS", "年初来安値")</f>
        <v/>
      </c>
      <c r="X98" s="2" t="str">
        <f t="array" ref="X98">_xll.RssIndexMarket("JN400.FUT03.OS", "上場来高値")</f>
        <v/>
      </c>
      <c r="Y98" s="2" t="str">
        <f t="array" ref="Y98">_xll.RssIndexMarket("JN400.FUT03.OS", "上場来安値")</f>
        <v/>
      </c>
      <c r="Z98" s="1" t="str">
        <f t="array" ref="Z98">_xll.RssIndexMarket("JN400.FUT03.OS", "上場来高値日付")</f>
        <v/>
      </c>
      <c r="AA98" s="1" t="str">
        <f t="array" ref="AA98">_xll.RssIndexMarket("JN400.FUT03.OS", "上場来安値日付")</f>
        <v/>
      </c>
    </row>
    <row r="99" spans="1:27">
      <c r="A99" s="1" t="str">
        <f t="array" ref="A99">_xll.RssIndexMarket("JN400.FUT04.OS", "指標コード")</f>
        <v/>
      </c>
      <c r="B99" s="1" t="str">
        <f t="array" ref="B99">_xll.RssIndexMarket("JN400.FUT04.OS", "指標名称")</f>
        <v/>
      </c>
      <c r="C99" s="1" t="str">
        <f t="array" ref="C99">_xll.RssIndexMarket("JN400.FUT04.OS", "現在日付")</f>
        <v/>
      </c>
      <c r="D99" s="1" t="str">
        <f t="array" ref="D99">_xll.RssIndexMarket("JN400.FUT04.OS", "更新時刻")</f>
        <v/>
      </c>
      <c r="E99" s="2">
        <f t="array" ref="E99">_xll.RssIndexMarket("JN400.FUT04.OS", "現在値")</f>
        <v>0</v>
      </c>
      <c r="F99" s="1" t="str">
        <f t="array" ref="F99">_xll.RssIndexMarket("JN400.FUT04.OS", "現在値ティック")</f>
        <v/>
      </c>
      <c r="G99" s="2">
        <f t="array" ref="G99">_xll.RssIndexMarket("JN400.FUT04.OS", "前日比")</f>
        <v>0</v>
      </c>
      <c r="H99" s="2">
        <f t="array" ref="H99">_xll.RssIndexMarket("JN400.FUT04.OS", "前日比率")</f>
        <v>0</v>
      </c>
      <c r="I99" s="2">
        <f t="array" ref="I99">_xll.RssIndexMarket("JN400.FUT04.OS", "前日終値")</f>
        <v>0</v>
      </c>
      <c r="J99" s="1" t="str">
        <f t="array" ref="J99">_xll.RssIndexMarket("JN400.FUT04.OS", "前日日付")</f>
        <v/>
      </c>
      <c r="K99" s="2">
        <f t="array" ref="K99">_xll.RssIndexMarket("JN400.FUT04.OS", "始値")</f>
        <v>0</v>
      </c>
      <c r="L99" s="2">
        <f t="array" ref="L99">_xll.RssIndexMarket("JN400.FUT04.OS", "高値")</f>
        <v>0</v>
      </c>
      <c r="M99" s="2">
        <f t="array" ref="M99">_xll.RssIndexMarket("JN400.FUT04.OS", "安値")</f>
        <v>0</v>
      </c>
      <c r="N99" s="1" t="str">
        <f t="array" ref="N99">_xll.RssIndexMarket("JN400.FUT04.OS", "始値時刻")</f>
        <v xml:space="preserve">  :  </v>
      </c>
      <c r="O99" s="1" t="str">
        <f t="array" ref="O99">_xll.RssIndexMarket("JN400.FUT04.OS", "高値時刻")</f>
        <v xml:space="preserve">  :  </v>
      </c>
      <c r="P99" s="1" t="str">
        <f t="array" ref="P99">_xll.RssIndexMarket("JN400.FUT04.OS", "安値時刻")</f>
        <v xml:space="preserve">  :  </v>
      </c>
      <c r="Q99" s="2">
        <f t="array" ref="Q99">_xll.RssIndexMarket("JN400.FUT04.OS", "出来高")</f>
        <v>0</v>
      </c>
      <c r="R99" s="2">
        <f t="array" ref="R99">_xll.RssIndexMarket("JN400.FUT04.OS", "売買代金")</f>
        <v>0</v>
      </c>
      <c r="S99" s="2" t="str">
        <f t="array" ref="S99">_xll.RssIndexMarket("JN400.FUT04.OS", "前年最高値")</f>
        <v/>
      </c>
      <c r="T99" s="2" t="str">
        <f t="array" ref="T99">_xll.RssIndexMarket("JN400.FUT04.OS", "前年最安値")</f>
        <v/>
      </c>
      <c r="U99" s="2" t="str">
        <f t="array" ref="U99">_xll.RssIndexMarket("JN400.FUT04.OS", "前年終値")</f>
        <v/>
      </c>
      <c r="V99" s="2" t="str">
        <f t="array" ref="V99">_xll.RssIndexMarket("JN400.FUT04.OS", "年初来高値")</f>
        <v/>
      </c>
      <c r="W99" s="2" t="str">
        <f t="array" ref="W99">_xll.RssIndexMarket("JN400.FUT04.OS", "年初来安値")</f>
        <v/>
      </c>
      <c r="X99" s="2" t="str">
        <f t="array" ref="X99">_xll.RssIndexMarket("JN400.FUT04.OS", "上場来高値")</f>
        <v/>
      </c>
      <c r="Y99" s="2" t="str">
        <f t="array" ref="Y99">_xll.RssIndexMarket("JN400.FUT04.OS", "上場来安値")</f>
        <v/>
      </c>
      <c r="Z99" s="1" t="str">
        <f t="array" ref="Z99">_xll.RssIndexMarket("JN400.FUT04.OS", "上場来高値日付")</f>
        <v/>
      </c>
      <c r="AA99" s="1" t="str">
        <f t="array" ref="AA99">_xll.RssIndexMarket("JN400.FUT04.OS", "上場来安値日付")</f>
        <v/>
      </c>
    </row>
    <row r="100" spans="1:27">
      <c r="A100" s="1" t="str">
        <f t="array" ref="A100">_xll.RssIndexMarket("JN400.FUT05.OS", "指標コード")</f>
        <v/>
      </c>
      <c r="B100" s="1" t="str">
        <f t="array" ref="B100">_xll.RssIndexMarket("JN400.FUT05.OS", "指標名称")</f>
        <v/>
      </c>
      <c r="C100" s="1" t="str">
        <f t="array" ref="C100">_xll.RssIndexMarket("JN400.FUT05.OS", "現在日付")</f>
        <v/>
      </c>
      <c r="D100" s="1" t="str">
        <f t="array" ref="D100">_xll.RssIndexMarket("JN400.FUT05.OS", "更新時刻")</f>
        <v/>
      </c>
      <c r="E100" s="2">
        <f t="array" ref="E100">_xll.RssIndexMarket("JN400.FUT05.OS", "現在値")</f>
        <v>0</v>
      </c>
      <c r="F100" s="1" t="str">
        <f t="array" ref="F100">_xll.RssIndexMarket("JN400.FUT05.OS", "現在値ティック")</f>
        <v/>
      </c>
      <c r="G100" s="2">
        <f t="array" ref="G100">_xll.RssIndexMarket("JN400.FUT05.OS", "前日比")</f>
        <v>0</v>
      </c>
      <c r="H100" s="2">
        <f t="array" ref="H100">_xll.RssIndexMarket("JN400.FUT05.OS", "前日比率")</f>
        <v>0</v>
      </c>
      <c r="I100" s="2">
        <f t="array" ref="I100">_xll.RssIndexMarket("JN400.FUT05.OS", "前日終値")</f>
        <v>0</v>
      </c>
      <c r="J100" s="1" t="str">
        <f t="array" ref="J100">_xll.RssIndexMarket("JN400.FUT05.OS", "前日日付")</f>
        <v/>
      </c>
      <c r="K100" s="2">
        <f t="array" ref="K100">_xll.RssIndexMarket("JN400.FUT05.OS", "始値")</f>
        <v>0</v>
      </c>
      <c r="L100" s="2">
        <f t="array" ref="L100">_xll.RssIndexMarket("JN400.FUT05.OS", "高値")</f>
        <v>0</v>
      </c>
      <c r="M100" s="2">
        <f t="array" ref="M100">_xll.RssIndexMarket("JN400.FUT05.OS", "安値")</f>
        <v>0</v>
      </c>
      <c r="N100" s="1" t="str">
        <f t="array" ref="N100">_xll.RssIndexMarket("JN400.FUT05.OS", "始値時刻")</f>
        <v xml:space="preserve">  :  </v>
      </c>
      <c r="O100" s="1" t="str">
        <f t="array" ref="O100">_xll.RssIndexMarket("JN400.FUT05.OS", "高値時刻")</f>
        <v xml:space="preserve">  :  </v>
      </c>
      <c r="P100" s="1" t="str">
        <f t="array" ref="P100">_xll.RssIndexMarket("JN400.FUT05.OS", "安値時刻")</f>
        <v xml:space="preserve">  :  </v>
      </c>
      <c r="Q100" s="2">
        <f t="array" ref="Q100">_xll.RssIndexMarket("JN400.FUT05.OS", "出来高")</f>
        <v>0</v>
      </c>
      <c r="R100" s="2">
        <f t="array" ref="R100">_xll.RssIndexMarket("JN400.FUT05.OS", "売買代金")</f>
        <v>0</v>
      </c>
      <c r="S100" s="2" t="str">
        <f t="array" ref="S100">_xll.RssIndexMarket("JN400.FUT05.OS", "前年最高値")</f>
        <v/>
      </c>
      <c r="T100" s="2" t="str">
        <f t="array" ref="T100">_xll.RssIndexMarket("JN400.FUT05.OS", "前年最安値")</f>
        <v/>
      </c>
      <c r="U100" s="2" t="str">
        <f t="array" ref="U100">_xll.RssIndexMarket("JN400.FUT05.OS", "前年終値")</f>
        <v/>
      </c>
      <c r="V100" s="2" t="str">
        <f t="array" ref="V100">_xll.RssIndexMarket("JN400.FUT05.OS", "年初来高値")</f>
        <v/>
      </c>
      <c r="W100" s="2" t="str">
        <f t="array" ref="W100">_xll.RssIndexMarket("JN400.FUT05.OS", "年初来安値")</f>
        <v/>
      </c>
      <c r="X100" s="2" t="str">
        <f t="array" ref="X100">_xll.RssIndexMarket("JN400.FUT05.OS", "上場来高値")</f>
        <v/>
      </c>
      <c r="Y100" s="2" t="str">
        <f t="array" ref="Y100">_xll.RssIndexMarket("JN400.FUT05.OS", "上場来安値")</f>
        <v/>
      </c>
      <c r="Z100" s="1" t="str">
        <f t="array" ref="Z100">_xll.RssIndexMarket("JN400.FUT05.OS", "上場来高値日付")</f>
        <v/>
      </c>
      <c r="AA100" s="1" t="str">
        <f t="array" ref="AA100">_xll.RssIndexMarket("JN400.FUT05.OS", "上場来安値日付")</f>
        <v/>
      </c>
    </row>
    <row r="101" spans="1:27">
      <c r="A101" s="1" t="str">
        <f t="array" ref="A101">_xll.RssIndexMarket("TCWSI", "指標コード")</f>
        <v/>
      </c>
      <c r="B101" s="1" t="str">
        <f t="array" ref="B101">_xll.RssIndexMarket("TCWSI", "指標名称")</f>
        <v/>
      </c>
      <c r="C101" s="1" t="str">
        <f t="array" ref="C101">_xll.RssIndexMarket("TCWSI", "現在日付")</f>
        <v/>
      </c>
      <c r="D101" s="1" t="str">
        <f t="array" ref="D101">_xll.RssIndexMarket("TCWSI", "更新時刻")</f>
        <v/>
      </c>
      <c r="E101" s="2">
        <f t="array" ref="E101">_xll.RssIndexMarket("TCWSI", "現在値")</f>
        <v>0</v>
      </c>
      <c r="F101" s="1" t="str">
        <f t="array" ref="F101">_xll.RssIndexMarket("TCWSI", "現在値ティック")</f>
        <v/>
      </c>
      <c r="G101" s="2">
        <f t="array" ref="G101">_xll.RssIndexMarket("TCWSI", "前日比")</f>
        <v>0</v>
      </c>
      <c r="H101" s="2">
        <f t="array" ref="H101">_xll.RssIndexMarket("TCWSI", "前日比率")</f>
        <v>0</v>
      </c>
      <c r="I101" s="2">
        <f t="array" ref="I101">_xll.RssIndexMarket("TCWSI", "前日終値")</f>
        <v>0</v>
      </c>
      <c r="J101" s="1" t="str">
        <f t="array" ref="J101">_xll.RssIndexMarket("TCWSI", "前日日付")</f>
        <v/>
      </c>
      <c r="K101" s="2">
        <f t="array" ref="K101">_xll.RssIndexMarket("TCWSI", "始値")</f>
        <v>0</v>
      </c>
      <c r="L101" s="2">
        <f t="array" ref="L101">_xll.RssIndexMarket("TCWSI", "高値")</f>
        <v>0</v>
      </c>
      <c r="M101" s="2">
        <f t="array" ref="M101">_xll.RssIndexMarket("TCWSI", "安値")</f>
        <v>0</v>
      </c>
      <c r="N101" s="1" t="str">
        <f t="array" ref="N101">_xll.RssIndexMarket("TCWSI", "始値時刻")</f>
        <v xml:space="preserve">  :  </v>
      </c>
      <c r="O101" s="1" t="str">
        <f t="array" ref="O101">_xll.RssIndexMarket("TCWSI", "高値時刻")</f>
        <v xml:space="preserve">  :  </v>
      </c>
      <c r="P101" s="1" t="str">
        <f t="array" ref="P101">_xll.RssIndexMarket("TCWSI", "安値時刻")</f>
        <v xml:space="preserve">  :  </v>
      </c>
      <c r="Q101" s="2">
        <f t="array" ref="Q101">_xll.RssIndexMarket("TCWSI", "出来高")</f>
        <v>0</v>
      </c>
      <c r="R101" s="2">
        <f t="array" ref="R101">_xll.RssIndexMarket("TCWSI", "売買代金")</f>
        <v>0</v>
      </c>
      <c r="S101" s="2" t="str">
        <f t="array" ref="S101">_xll.RssIndexMarket("TCWSI", "前年最高値")</f>
        <v/>
      </c>
      <c r="T101" s="2" t="str">
        <f t="array" ref="T101">_xll.RssIndexMarket("TCWSI", "前年最安値")</f>
        <v/>
      </c>
      <c r="U101" s="2" t="str">
        <f t="array" ref="U101">_xll.RssIndexMarket("TCWSI", "前年終値")</f>
        <v/>
      </c>
      <c r="V101" s="2" t="str">
        <f t="array" ref="V101">_xll.RssIndexMarket("TCWSI", "年初来高値")</f>
        <v/>
      </c>
      <c r="W101" s="2" t="str">
        <f t="array" ref="W101">_xll.RssIndexMarket("TCWSI", "年初来安値")</f>
        <v/>
      </c>
      <c r="X101" s="2" t="str">
        <f t="array" ref="X101">_xll.RssIndexMarket("TCWSI", "上場来高値")</f>
        <v/>
      </c>
      <c r="Y101" s="2" t="str">
        <f t="array" ref="Y101">_xll.RssIndexMarket("TCWSI", "上場来安値")</f>
        <v/>
      </c>
      <c r="Z101" s="1" t="str">
        <f t="array" ref="Z101">_xll.RssIndexMarket("TCWSI", "上場来高値日付")</f>
        <v/>
      </c>
      <c r="AA101" s="1" t="str">
        <f t="array" ref="AA101">_xll.RssIndexMarket("TCWSI", "上場来安値日付")</f>
        <v/>
      </c>
    </row>
    <row r="102" spans="1:27">
      <c r="A102" s="1" t="str">
        <f t="array" ref="A102">_xll.RssIndexMarket("FTSECA50", "指標コード")</f>
        <v/>
      </c>
      <c r="B102" s="1" t="str">
        <f t="array" ref="B102">_xll.RssIndexMarket("FTSECA50", "指標名称")</f>
        <v/>
      </c>
      <c r="C102" s="1" t="str">
        <f t="array" ref="C102">_xll.RssIndexMarket("FTSECA50", "現在日付")</f>
        <v/>
      </c>
      <c r="D102" s="1" t="str">
        <f t="array" ref="D102">_xll.RssIndexMarket("FTSECA50", "更新時刻")</f>
        <v/>
      </c>
      <c r="E102" s="2">
        <f t="array" ref="E102">_xll.RssIndexMarket("FTSECA50", "現在値")</f>
        <v>0</v>
      </c>
      <c r="F102" s="1" t="str">
        <f t="array" ref="F102">_xll.RssIndexMarket("FTSECA50", "現在値ティック")</f>
        <v/>
      </c>
      <c r="G102" s="2">
        <f t="array" ref="G102">_xll.RssIndexMarket("FTSECA50", "前日比")</f>
        <v>0</v>
      </c>
      <c r="H102" s="2">
        <f t="array" ref="H102">_xll.RssIndexMarket("FTSECA50", "前日比率")</f>
        <v>0</v>
      </c>
      <c r="I102" s="2">
        <f t="array" ref="I102">_xll.RssIndexMarket("FTSECA50", "前日終値")</f>
        <v>0</v>
      </c>
      <c r="J102" s="1" t="str">
        <f t="array" ref="J102">_xll.RssIndexMarket("FTSECA50", "前日日付")</f>
        <v/>
      </c>
      <c r="K102" s="2">
        <f t="array" ref="K102">_xll.RssIndexMarket("FTSECA50", "始値")</f>
        <v>0</v>
      </c>
      <c r="L102" s="2">
        <f t="array" ref="L102">_xll.RssIndexMarket("FTSECA50", "高値")</f>
        <v>0</v>
      </c>
      <c r="M102" s="2">
        <f t="array" ref="M102">_xll.RssIndexMarket("FTSECA50", "安値")</f>
        <v>0</v>
      </c>
      <c r="N102" s="1" t="str">
        <f t="array" ref="N102">_xll.RssIndexMarket("FTSECA50", "始値時刻")</f>
        <v xml:space="preserve">  :  </v>
      </c>
      <c r="O102" s="1" t="str">
        <f t="array" ref="O102">_xll.RssIndexMarket("FTSECA50", "高値時刻")</f>
        <v xml:space="preserve">  :  </v>
      </c>
      <c r="P102" s="1" t="str">
        <f t="array" ref="P102">_xll.RssIndexMarket("FTSECA50", "安値時刻")</f>
        <v xml:space="preserve">  :  </v>
      </c>
      <c r="Q102" s="2">
        <f t="array" ref="Q102">_xll.RssIndexMarket("FTSECA50", "出来高")</f>
        <v>0</v>
      </c>
      <c r="R102" s="2">
        <f t="array" ref="R102">_xll.RssIndexMarket("FTSECA50", "売買代金")</f>
        <v>0</v>
      </c>
      <c r="S102" s="2" t="str">
        <f t="array" ref="S102">_xll.RssIndexMarket("FTSECA50", "前年最高値")</f>
        <v/>
      </c>
      <c r="T102" s="2" t="str">
        <f t="array" ref="T102">_xll.RssIndexMarket("FTSECA50", "前年最安値")</f>
        <v/>
      </c>
      <c r="U102" s="2" t="str">
        <f t="array" ref="U102">_xll.RssIndexMarket("FTSECA50", "前年終値")</f>
        <v/>
      </c>
      <c r="V102" s="2" t="str">
        <f t="array" ref="V102">_xll.RssIndexMarket("FTSECA50", "年初来高値")</f>
        <v/>
      </c>
      <c r="W102" s="2" t="str">
        <f t="array" ref="W102">_xll.RssIndexMarket("FTSECA50", "年初来安値")</f>
        <v/>
      </c>
      <c r="X102" s="2" t="str">
        <f t="array" ref="X102">_xll.RssIndexMarket("FTSECA50", "上場来高値")</f>
        <v/>
      </c>
      <c r="Y102" s="2" t="str">
        <f t="array" ref="Y102">_xll.RssIndexMarket("FTSECA50", "上場来安値")</f>
        <v/>
      </c>
      <c r="Z102" s="1" t="str">
        <f t="array" ref="Z102">_xll.RssIndexMarket("FTSECA50", "上場来高値日付")</f>
        <v/>
      </c>
      <c r="AA102" s="1" t="str">
        <f t="array" ref="AA102">_xll.RssIndexMarket("FTSECA50", "上場来安値日付")</f>
        <v/>
      </c>
    </row>
    <row r="103" spans="1:27">
      <c r="A103" s="1" t="str">
        <f t="array" ref="A103">_xll.RssIndexMarket("GOLD.FUT01.OS", "指標コード")</f>
        <v/>
      </c>
      <c r="B103" s="1" t="str">
        <f t="array" ref="B103">_xll.RssIndexMarket("GOLD.FUT01.OS", "指標名称")</f>
        <v/>
      </c>
      <c r="C103" s="1" t="str">
        <f t="array" ref="C103">_xll.RssIndexMarket("GOLD.FUT01.OS", "現在日付")</f>
        <v>2026/02/28</v>
      </c>
      <c r="D103" s="1" t="str">
        <f t="array" ref="D103">_xll.RssIndexMarket("GOLD.FUT01.OS", "更新時刻")</f>
        <v/>
      </c>
      <c r="E103" s="2">
        <f t="array" ref="E103">_xll.RssIndexMarket("GOLD.FUT01.OS", "現在値")</f>
        <v>26435</v>
      </c>
      <c r="F103" s="1" t="str">
        <f t="array" ref="F103">_xll.RssIndexMarket("GOLD.FUT01.OS", "現在値ティック")</f>
        <v>↑</v>
      </c>
      <c r="G103" s="2">
        <f t="array" ref="G103">_xll.RssIndexMarket("GOLD.FUT01.OS", "前日比")</f>
        <v>375</v>
      </c>
      <c r="H103" s="2">
        <f t="array" ref="H103">_xll.RssIndexMarket("GOLD.FUT01.OS", "前日比率")</f>
        <v>1.44</v>
      </c>
      <c r="I103" s="2">
        <f t="array" ref="I103">_xll.RssIndexMarket("GOLD.FUT01.OS", "前日終値")</f>
        <v>26060</v>
      </c>
      <c r="J103" s="1" t="str">
        <f t="array" ref="J103">_xll.RssIndexMarket("GOLD.FUT01.OS", "前日日付")</f>
        <v>2026/02/27</v>
      </c>
      <c r="K103" s="2">
        <f t="array" ref="K103">_xll.RssIndexMarket("GOLD.FUT01.OS", "始値")</f>
        <v>26060</v>
      </c>
      <c r="L103" s="2">
        <f t="array" ref="L103">_xll.RssIndexMarket("GOLD.FUT01.OS", "高値")</f>
        <v>26435</v>
      </c>
      <c r="M103" s="2">
        <f t="array" ref="M103">_xll.RssIndexMarket("GOLD.FUT01.OS", "安値")</f>
        <v>26060</v>
      </c>
      <c r="N103" s="1" t="str">
        <f t="array" ref="N103">_xll.RssIndexMarket("GOLD.FUT01.OS", "始値時刻")</f>
        <v>22:01</v>
      </c>
      <c r="O103" s="1" t="str">
        <f t="array" ref="O103">_xll.RssIndexMarket("GOLD.FUT01.OS", "高値時刻")</f>
        <v>05:53</v>
      </c>
      <c r="P103" s="1" t="str">
        <f t="array" ref="P103">_xll.RssIndexMarket("GOLD.FUT01.OS", "安値時刻")</f>
        <v>22:01</v>
      </c>
      <c r="Q103" s="2">
        <f t="array" ref="Q103">_xll.RssIndexMarket("GOLD.FUT01.OS", "出来高")</f>
        <v>60</v>
      </c>
      <c r="R103" s="2">
        <f t="array" ref="R103">_xll.RssIndexMarket("GOLD.FUT01.OS", "売買代金")</f>
        <v>1575322</v>
      </c>
      <c r="S103" s="2" t="str">
        <f t="array" ref="S103">_xll.RssIndexMarket("GOLD.FUT01.OS", "前年最高値")</f>
        <v/>
      </c>
      <c r="T103" s="2" t="str">
        <f t="array" ref="T103">_xll.RssIndexMarket("GOLD.FUT01.OS", "前年最安値")</f>
        <v/>
      </c>
      <c r="U103" s="2" t="str">
        <f t="array" ref="U103">_xll.RssIndexMarket("GOLD.FUT01.OS", "前年終値")</f>
        <v/>
      </c>
      <c r="V103" s="2" t="str">
        <f t="array" ref="V103">_xll.RssIndexMarket("GOLD.FUT01.OS", "年初来高値")</f>
        <v/>
      </c>
      <c r="W103" s="2" t="str">
        <f t="array" ref="W103">_xll.RssIndexMarket("GOLD.FUT01.OS", "年初来安値")</f>
        <v/>
      </c>
      <c r="X103" s="2" t="str">
        <f t="array" ref="X103">_xll.RssIndexMarket("GOLD.FUT01.OS", "上場来高値")</f>
        <v/>
      </c>
      <c r="Y103" s="2" t="str">
        <f t="array" ref="Y103">_xll.RssIndexMarket("GOLD.FUT01.OS", "上場来安値")</f>
        <v/>
      </c>
      <c r="Z103" s="1" t="str">
        <f t="array" ref="Z103">_xll.RssIndexMarket("GOLD.FUT01.OS", "上場来高値日付")</f>
        <v/>
      </c>
      <c r="AA103" s="1" t="str">
        <f t="array" ref="AA103">_xll.RssIndexMarket("GOLD.FUT01.OS", "上場来安値日付")</f>
        <v/>
      </c>
    </row>
    <row r="104" spans="1:27">
      <c r="A104" s="1" t="str">
        <f t="array" ref="A104">_xll.RssIndexMarket("GOLD.FUT02.OS", "指標コード")</f>
        <v/>
      </c>
      <c r="B104" s="1" t="str">
        <f t="array" ref="B104">_xll.RssIndexMarket("GOLD.FUT02.OS", "指標名称")</f>
        <v/>
      </c>
      <c r="C104" s="1" t="str">
        <f t="array" ref="C104">_xll.RssIndexMarket("GOLD.FUT02.OS", "現在日付")</f>
        <v>2026/02/28</v>
      </c>
      <c r="D104" s="1" t="str">
        <f t="array" ref="D104">_xll.RssIndexMarket("GOLD.FUT02.OS", "更新時刻")</f>
        <v/>
      </c>
      <c r="E104" s="2">
        <f t="array" ref="E104">_xll.RssIndexMarket("GOLD.FUT02.OS", "現在値")</f>
        <v>26466</v>
      </c>
      <c r="F104" s="1" t="str">
        <f t="array" ref="F104">_xll.RssIndexMarket("GOLD.FUT02.OS", "現在値ティック")</f>
        <v>↓</v>
      </c>
      <c r="G104" s="2">
        <f t="array" ref="G104">_xll.RssIndexMarket("GOLD.FUT02.OS", "前日比")</f>
        <v>442</v>
      </c>
      <c r="H104" s="2">
        <f t="array" ref="H104">_xll.RssIndexMarket("GOLD.FUT02.OS", "前日比率")</f>
        <v>1.7</v>
      </c>
      <c r="I104" s="2">
        <f t="array" ref="I104">_xll.RssIndexMarket("GOLD.FUT02.OS", "前日終値")</f>
        <v>26024</v>
      </c>
      <c r="J104" s="1" t="str">
        <f t="array" ref="J104">_xll.RssIndexMarket("GOLD.FUT02.OS", "前日日付")</f>
        <v>2026/02/27</v>
      </c>
      <c r="K104" s="2">
        <f t="array" ref="K104">_xll.RssIndexMarket("GOLD.FUT02.OS", "始値")</f>
        <v>26085</v>
      </c>
      <c r="L104" s="2">
        <f t="array" ref="L104">_xll.RssIndexMarket("GOLD.FUT02.OS", "高値")</f>
        <v>26467</v>
      </c>
      <c r="M104" s="2">
        <f t="array" ref="M104">_xll.RssIndexMarket("GOLD.FUT02.OS", "安値")</f>
        <v>26085</v>
      </c>
      <c r="N104" s="1" t="str">
        <f t="array" ref="N104">_xll.RssIndexMarket("GOLD.FUT02.OS", "始値時刻")</f>
        <v>17:00</v>
      </c>
      <c r="O104" s="1" t="str">
        <f t="array" ref="O104">_xll.RssIndexMarket("GOLD.FUT02.OS", "高値時刻")</f>
        <v>05:24</v>
      </c>
      <c r="P104" s="1" t="str">
        <f t="array" ref="P104">_xll.RssIndexMarket("GOLD.FUT02.OS", "安値時刻")</f>
        <v>17:00</v>
      </c>
      <c r="Q104" s="2">
        <f t="array" ref="Q104">_xll.RssIndexMarket("GOLD.FUT02.OS", "出来高")</f>
        <v>16</v>
      </c>
      <c r="R104" s="2">
        <f t="array" ref="R104">_xll.RssIndexMarket("GOLD.FUT02.OS", "売買代金")</f>
        <v>419413</v>
      </c>
      <c r="S104" s="2" t="str">
        <f t="array" ref="S104">_xll.RssIndexMarket("GOLD.FUT02.OS", "前年最高値")</f>
        <v/>
      </c>
      <c r="T104" s="2" t="str">
        <f t="array" ref="T104">_xll.RssIndexMarket("GOLD.FUT02.OS", "前年最安値")</f>
        <v/>
      </c>
      <c r="U104" s="2" t="str">
        <f t="array" ref="U104">_xll.RssIndexMarket("GOLD.FUT02.OS", "前年終値")</f>
        <v/>
      </c>
      <c r="V104" s="2" t="str">
        <f t="array" ref="V104">_xll.RssIndexMarket("GOLD.FUT02.OS", "年初来高値")</f>
        <v/>
      </c>
      <c r="W104" s="2" t="str">
        <f t="array" ref="W104">_xll.RssIndexMarket("GOLD.FUT02.OS", "年初来安値")</f>
        <v/>
      </c>
      <c r="X104" s="2" t="str">
        <f t="array" ref="X104">_xll.RssIndexMarket("GOLD.FUT02.OS", "上場来高値")</f>
        <v/>
      </c>
      <c r="Y104" s="2" t="str">
        <f t="array" ref="Y104">_xll.RssIndexMarket("GOLD.FUT02.OS", "上場来安値")</f>
        <v/>
      </c>
      <c r="Z104" s="1" t="str">
        <f t="array" ref="Z104">_xll.RssIndexMarket("GOLD.FUT02.OS", "上場来高値日付")</f>
        <v/>
      </c>
      <c r="AA104" s="1" t="str">
        <f t="array" ref="AA104">_xll.RssIndexMarket("GOLD.FUT02.OS", "上場来安値日付")</f>
        <v/>
      </c>
    </row>
    <row r="105" spans="1:27">
      <c r="A105" s="1" t="str">
        <f t="array" ref="A105">_xll.RssIndexMarket("GOLD.FUT03.OS", "指標コード")</f>
        <v/>
      </c>
      <c r="B105" s="1" t="str">
        <f t="array" ref="B105">_xll.RssIndexMarket("GOLD.FUT03.OS", "指標名称")</f>
        <v/>
      </c>
      <c r="C105" s="1" t="str">
        <f t="array" ref="C105">_xll.RssIndexMarket("GOLD.FUT03.OS", "現在日付")</f>
        <v>2026/02/28</v>
      </c>
      <c r="D105" s="1" t="str">
        <f t="array" ref="D105">_xll.RssIndexMarket("GOLD.FUT03.OS", "更新時刻")</f>
        <v/>
      </c>
      <c r="E105" s="2">
        <f t="array" ref="E105">_xll.RssIndexMarket("GOLD.FUT03.OS", "現在値")</f>
        <v>26600</v>
      </c>
      <c r="F105" s="1" t="str">
        <f t="array" ref="F105">_xll.RssIndexMarket("GOLD.FUT03.OS", "現在値ティック")</f>
        <v>↑</v>
      </c>
      <c r="G105" s="2">
        <f t="array" ref="G105">_xll.RssIndexMarket("GOLD.FUT03.OS", "前日比")</f>
        <v>300</v>
      </c>
      <c r="H105" s="2">
        <f t="array" ref="H105">_xll.RssIndexMarket("GOLD.FUT03.OS", "前日比率")</f>
        <v>1.1399999999999999</v>
      </c>
      <c r="I105" s="2">
        <f t="array" ref="I105">_xll.RssIndexMarket("GOLD.FUT03.OS", "前日終値")</f>
        <v>26300</v>
      </c>
      <c r="J105" s="1" t="str">
        <f t="array" ref="J105">_xll.RssIndexMarket("GOLD.FUT03.OS", "前日日付")</f>
        <v>2026/02/27</v>
      </c>
      <c r="K105" s="2">
        <f t="array" ref="K105">_xll.RssIndexMarket("GOLD.FUT03.OS", "始値")</f>
        <v>26262</v>
      </c>
      <c r="L105" s="2">
        <f t="array" ref="L105">_xll.RssIndexMarket("GOLD.FUT03.OS", "高値")</f>
        <v>26600</v>
      </c>
      <c r="M105" s="2">
        <f t="array" ref="M105">_xll.RssIndexMarket("GOLD.FUT03.OS", "安値")</f>
        <v>26259</v>
      </c>
      <c r="N105" s="1" t="str">
        <f t="array" ref="N105">_xll.RssIndexMarket("GOLD.FUT03.OS", "始値時刻")</f>
        <v>18:00</v>
      </c>
      <c r="O105" s="1" t="str">
        <f t="array" ref="O105">_xll.RssIndexMarket("GOLD.FUT03.OS", "高値時刻")</f>
        <v>05:21</v>
      </c>
      <c r="P105" s="1" t="str">
        <f t="array" ref="P105">_xll.RssIndexMarket("GOLD.FUT03.OS", "安値時刻")</f>
        <v>21:00</v>
      </c>
      <c r="Q105" s="2">
        <f t="array" ref="Q105">_xll.RssIndexMarket("GOLD.FUT03.OS", "出来高")</f>
        <v>21</v>
      </c>
      <c r="R105" s="2">
        <f t="array" ref="R105">_xll.RssIndexMarket("GOLD.FUT03.OS", "売買代金")</f>
        <v>554976</v>
      </c>
      <c r="S105" s="2" t="str">
        <f t="array" ref="S105">_xll.RssIndexMarket("GOLD.FUT03.OS", "前年最高値")</f>
        <v/>
      </c>
      <c r="T105" s="2" t="str">
        <f t="array" ref="T105">_xll.RssIndexMarket("GOLD.FUT03.OS", "前年最安値")</f>
        <v/>
      </c>
      <c r="U105" s="2" t="str">
        <f t="array" ref="U105">_xll.RssIndexMarket("GOLD.FUT03.OS", "前年終値")</f>
        <v/>
      </c>
      <c r="V105" s="2" t="str">
        <f t="array" ref="V105">_xll.RssIndexMarket("GOLD.FUT03.OS", "年初来高値")</f>
        <v/>
      </c>
      <c r="W105" s="2" t="str">
        <f t="array" ref="W105">_xll.RssIndexMarket("GOLD.FUT03.OS", "年初来安値")</f>
        <v/>
      </c>
      <c r="X105" s="2" t="str">
        <f t="array" ref="X105">_xll.RssIndexMarket("GOLD.FUT03.OS", "上場来高値")</f>
        <v/>
      </c>
      <c r="Y105" s="2" t="str">
        <f t="array" ref="Y105">_xll.RssIndexMarket("GOLD.FUT03.OS", "上場来安値")</f>
        <v/>
      </c>
      <c r="Z105" s="1" t="str">
        <f t="array" ref="Z105">_xll.RssIndexMarket("GOLD.FUT03.OS", "上場来高値日付")</f>
        <v/>
      </c>
      <c r="AA105" s="1" t="str">
        <f t="array" ref="AA105">_xll.RssIndexMarket("GOLD.FUT03.OS", "上場来安値日付")</f>
        <v/>
      </c>
    </row>
    <row r="106" spans="1:27">
      <c r="A106" s="1" t="str">
        <f t="array" ref="A106">_xll.RssIndexMarket("GOLD.FUT04.OS", "指標コード")</f>
        <v/>
      </c>
      <c r="B106" s="1" t="str">
        <f t="array" ref="B106">_xll.RssIndexMarket("GOLD.FUT04.OS", "指標名称")</f>
        <v/>
      </c>
      <c r="C106" s="1" t="str">
        <f t="array" ref="C106">_xll.RssIndexMarket("GOLD.FUT04.OS", "現在日付")</f>
        <v>2026/02/28</v>
      </c>
      <c r="D106" s="1" t="str">
        <f t="array" ref="D106">_xll.RssIndexMarket("GOLD.FUT04.OS", "更新時刻")</f>
        <v/>
      </c>
      <c r="E106" s="2">
        <f t="array" ref="E106">_xll.RssIndexMarket("GOLD.FUT04.OS", "現在値")</f>
        <v>26876</v>
      </c>
      <c r="F106" s="1" t="str">
        <f t="array" ref="F106">_xll.RssIndexMarket("GOLD.FUT04.OS", "現在値ティック")</f>
        <v>↓</v>
      </c>
      <c r="G106" s="2">
        <f t="array" ref="G106">_xll.RssIndexMarket("GOLD.FUT04.OS", "前日比")</f>
        <v>387</v>
      </c>
      <c r="H106" s="2">
        <f t="array" ref="H106">_xll.RssIndexMarket("GOLD.FUT04.OS", "前日比率")</f>
        <v>1.46</v>
      </c>
      <c r="I106" s="2">
        <f t="array" ref="I106">_xll.RssIndexMarket("GOLD.FUT04.OS", "前日終値")</f>
        <v>26489</v>
      </c>
      <c r="J106" s="1" t="str">
        <f t="array" ref="J106">_xll.RssIndexMarket("GOLD.FUT04.OS", "前日日付")</f>
        <v>2026/02/27</v>
      </c>
      <c r="K106" s="2">
        <f t="array" ref="K106">_xll.RssIndexMarket("GOLD.FUT04.OS", "始値")</f>
        <v>26505</v>
      </c>
      <c r="L106" s="2">
        <f t="array" ref="L106">_xll.RssIndexMarket("GOLD.FUT04.OS", "高値")</f>
        <v>26900</v>
      </c>
      <c r="M106" s="2">
        <f t="array" ref="M106">_xll.RssIndexMarket("GOLD.FUT04.OS", "安値")</f>
        <v>26473</v>
      </c>
      <c r="N106" s="1" t="str">
        <f t="array" ref="N106">_xll.RssIndexMarket("GOLD.FUT04.OS", "始値時刻")</f>
        <v>17:48</v>
      </c>
      <c r="O106" s="1" t="str">
        <f t="array" ref="O106">_xll.RssIndexMarket("GOLD.FUT04.OS", "高値時刻")</f>
        <v>05:24</v>
      </c>
      <c r="P106" s="1" t="str">
        <f t="array" ref="P106">_xll.RssIndexMarket("GOLD.FUT04.OS", "安値時刻")</f>
        <v>17:48</v>
      </c>
      <c r="Q106" s="2">
        <f t="array" ref="Q106">_xll.RssIndexMarket("GOLD.FUT04.OS", "出来高")</f>
        <v>104</v>
      </c>
      <c r="R106" s="2">
        <f t="array" ref="R106">_xll.RssIndexMarket("GOLD.FUT04.OS", "売買代金")</f>
        <v>2772628</v>
      </c>
      <c r="S106" s="2" t="str">
        <f t="array" ref="S106">_xll.RssIndexMarket("GOLD.FUT04.OS", "前年最高値")</f>
        <v/>
      </c>
      <c r="T106" s="2" t="str">
        <f t="array" ref="T106">_xll.RssIndexMarket("GOLD.FUT04.OS", "前年最安値")</f>
        <v/>
      </c>
      <c r="U106" s="2" t="str">
        <f t="array" ref="U106">_xll.RssIndexMarket("GOLD.FUT04.OS", "前年終値")</f>
        <v/>
      </c>
      <c r="V106" s="2" t="str">
        <f t="array" ref="V106">_xll.RssIndexMarket("GOLD.FUT04.OS", "年初来高値")</f>
        <v/>
      </c>
      <c r="W106" s="2" t="str">
        <f t="array" ref="W106">_xll.RssIndexMarket("GOLD.FUT04.OS", "年初来安値")</f>
        <v/>
      </c>
      <c r="X106" s="2" t="str">
        <f t="array" ref="X106">_xll.RssIndexMarket("GOLD.FUT04.OS", "上場来高値")</f>
        <v/>
      </c>
      <c r="Y106" s="2" t="str">
        <f t="array" ref="Y106">_xll.RssIndexMarket("GOLD.FUT04.OS", "上場来安値")</f>
        <v/>
      </c>
      <c r="Z106" s="1" t="str">
        <f t="array" ref="Z106">_xll.RssIndexMarket("GOLD.FUT04.OS", "上場来高値日付")</f>
        <v/>
      </c>
      <c r="AA106" s="1" t="str">
        <f t="array" ref="AA106">_xll.RssIndexMarket("GOLD.FUT04.OS", "上場来安値日付")</f>
        <v/>
      </c>
    </row>
    <row r="107" spans="1:27">
      <c r="A107" s="1" t="str">
        <f t="array" ref="A107">_xll.RssIndexMarket("GOLD.FUT05.OS", "指標コード")</f>
        <v/>
      </c>
      <c r="B107" s="1" t="str">
        <f t="array" ref="B107">_xll.RssIndexMarket("GOLD.FUT05.OS", "指標名称")</f>
        <v/>
      </c>
      <c r="C107" s="1" t="str">
        <f t="array" ref="C107">_xll.RssIndexMarket("GOLD.FUT05.OS", "現在日付")</f>
        <v>2026/02/28</v>
      </c>
      <c r="D107" s="1" t="str">
        <f t="array" ref="D107">_xll.RssIndexMarket("GOLD.FUT05.OS", "更新時刻")</f>
        <v/>
      </c>
      <c r="E107" s="2">
        <f t="array" ref="E107">_xll.RssIndexMarket("GOLD.FUT05.OS", "現在値")</f>
        <v>27110</v>
      </c>
      <c r="F107" s="1" t="str">
        <f t="array" ref="F107">_xll.RssIndexMarket("GOLD.FUT05.OS", "現在値ティック")</f>
        <v>↓</v>
      </c>
      <c r="G107" s="2">
        <f t="array" ref="G107">_xll.RssIndexMarket("GOLD.FUT05.OS", "前日比")</f>
        <v>296</v>
      </c>
      <c r="H107" s="2">
        <f t="array" ref="H107">_xll.RssIndexMarket("GOLD.FUT05.OS", "前日比率")</f>
        <v>1.1000000000000001</v>
      </c>
      <c r="I107" s="2">
        <f t="array" ref="I107">_xll.RssIndexMarket("GOLD.FUT05.OS", "前日終値")</f>
        <v>26814</v>
      </c>
      <c r="J107" s="1" t="str">
        <f t="array" ref="J107">_xll.RssIndexMarket("GOLD.FUT05.OS", "前日日付")</f>
        <v>2026/02/27</v>
      </c>
      <c r="K107" s="2">
        <f t="array" ref="K107">_xll.RssIndexMarket("GOLD.FUT05.OS", "始値")</f>
        <v>26796</v>
      </c>
      <c r="L107" s="2">
        <f t="array" ref="L107">_xll.RssIndexMarket("GOLD.FUT05.OS", "高値")</f>
        <v>27147</v>
      </c>
      <c r="M107" s="2">
        <f t="array" ref="M107">_xll.RssIndexMarket("GOLD.FUT05.OS", "安値")</f>
        <v>26699</v>
      </c>
      <c r="N107" s="1" t="str">
        <f t="array" ref="N107">_xll.RssIndexMarket("GOLD.FUT05.OS", "始値時刻")</f>
        <v>17:00</v>
      </c>
      <c r="O107" s="1" t="str">
        <f t="array" ref="O107">_xll.RssIndexMarket("GOLD.FUT05.OS", "高値時刻")</f>
        <v>05:25</v>
      </c>
      <c r="P107" s="1" t="str">
        <f t="array" ref="P107">_xll.RssIndexMarket("GOLD.FUT05.OS", "安値時刻")</f>
        <v>19:13</v>
      </c>
      <c r="Q107" s="2">
        <f t="array" ref="Q107">_xll.RssIndexMarket("GOLD.FUT05.OS", "出来高")</f>
        <v>1689</v>
      </c>
      <c r="R107" s="2">
        <f t="array" ref="R107">_xll.RssIndexMarket("GOLD.FUT05.OS", "売買代金")</f>
        <v>45463237</v>
      </c>
      <c r="S107" s="2" t="str">
        <f t="array" ref="S107">_xll.RssIndexMarket("GOLD.FUT05.OS", "前年最高値")</f>
        <v/>
      </c>
      <c r="T107" s="2" t="str">
        <f t="array" ref="T107">_xll.RssIndexMarket("GOLD.FUT05.OS", "前年最安値")</f>
        <v/>
      </c>
      <c r="U107" s="2" t="str">
        <f t="array" ref="U107">_xll.RssIndexMarket("GOLD.FUT05.OS", "前年終値")</f>
        <v/>
      </c>
      <c r="V107" s="2" t="str">
        <f t="array" ref="V107">_xll.RssIndexMarket("GOLD.FUT05.OS", "年初来高値")</f>
        <v/>
      </c>
      <c r="W107" s="2" t="str">
        <f t="array" ref="W107">_xll.RssIndexMarket("GOLD.FUT05.OS", "年初来安値")</f>
        <v/>
      </c>
      <c r="X107" s="2" t="str">
        <f t="array" ref="X107">_xll.RssIndexMarket("GOLD.FUT05.OS", "上場来高値")</f>
        <v/>
      </c>
      <c r="Y107" s="2" t="str">
        <f t="array" ref="Y107">_xll.RssIndexMarket("GOLD.FUT05.OS", "上場来安値")</f>
        <v/>
      </c>
      <c r="Z107" s="1" t="str">
        <f t="array" ref="Z107">_xll.RssIndexMarket("GOLD.FUT05.OS", "上場来高値日付")</f>
        <v/>
      </c>
      <c r="AA107" s="1" t="str">
        <f t="array" ref="AA107">_xll.RssIndexMarket("GOLD.FUT05.OS", "上場来安値日付")</f>
        <v/>
      </c>
    </row>
    <row r="108" spans="1:27">
      <c r="A108" s="1" t="str">
        <f t="array" ref="A108">_xll.RssIndexMarket("GOLD.FUT06.OS", "指標コード")</f>
        <v/>
      </c>
      <c r="B108" s="1" t="str">
        <f t="array" ref="B108">_xll.RssIndexMarket("GOLD.FUT06.OS", "指標名称")</f>
        <v/>
      </c>
      <c r="C108" s="1" t="str">
        <f t="array" ref="C108">_xll.RssIndexMarket("GOLD.FUT06.OS", "現在日付")</f>
        <v>2026/02/28</v>
      </c>
      <c r="D108" s="1" t="str">
        <f t="array" ref="D108">_xll.RssIndexMarket("GOLD.FUT06.OS", "更新時刻")</f>
        <v/>
      </c>
      <c r="E108" s="2">
        <f t="array" ref="E108">_xll.RssIndexMarket("GOLD.FUT06.OS", "現在値")</f>
        <v>27330</v>
      </c>
      <c r="F108" s="1" t="str">
        <f t="array" ref="F108">_xll.RssIndexMarket("GOLD.FUT06.OS", "現在値ティック")</f>
        <v>↓</v>
      </c>
      <c r="G108" s="2">
        <f t="array" ref="G108">_xll.RssIndexMarket("GOLD.FUT06.OS", "前日比")</f>
        <v>290</v>
      </c>
      <c r="H108" s="2">
        <f t="array" ref="H108">_xll.RssIndexMarket("GOLD.FUT06.OS", "前日比率")</f>
        <v>1.07</v>
      </c>
      <c r="I108" s="2">
        <f t="array" ref="I108">_xll.RssIndexMarket("GOLD.FUT06.OS", "前日終値")</f>
        <v>27040</v>
      </c>
      <c r="J108" s="1" t="str">
        <f t="array" ref="J108">_xll.RssIndexMarket("GOLD.FUT06.OS", "前日日付")</f>
        <v>2026/02/27</v>
      </c>
      <c r="K108" s="2">
        <f t="array" ref="K108">_xll.RssIndexMarket("GOLD.FUT06.OS", "始値")</f>
        <v>27000</v>
      </c>
      <c r="L108" s="2">
        <f t="array" ref="L108">_xll.RssIndexMarket("GOLD.FUT06.OS", "高値")</f>
        <v>27369</v>
      </c>
      <c r="M108" s="2">
        <f t="array" ref="M108">_xll.RssIndexMarket("GOLD.FUT06.OS", "安値")</f>
        <v>26927</v>
      </c>
      <c r="N108" s="1" t="str">
        <f t="array" ref="N108">_xll.RssIndexMarket("GOLD.FUT06.OS", "始値時刻")</f>
        <v>17:00</v>
      </c>
      <c r="O108" s="1" t="str">
        <f t="array" ref="O108">_xll.RssIndexMarket("GOLD.FUT06.OS", "高値時刻")</f>
        <v>05:52</v>
      </c>
      <c r="P108" s="1" t="str">
        <f t="array" ref="P108">_xll.RssIndexMarket("GOLD.FUT06.OS", "安値時刻")</f>
        <v>19:36</v>
      </c>
      <c r="Q108" s="2">
        <f t="array" ref="Q108">_xll.RssIndexMarket("GOLD.FUT06.OS", "出来高")</f>
        <v>6887</v>
      </c>
      <c r="R108" s="2">
        <f t="array" ref="R108">_xll.RssIndexMarket("GOLD.FUT06.OS", "売買代金")</f>
        <v>187137179</v>
      </c>
      <c r="S108" s="2" t="str">
        <f t="array" ref="S108">_xll.RssIndexMarket("GOLD.FUT06.OS", "前年最高値")</f>
        <v/>
      </c>
      <c r="T108" s="2" t="str">
        <f t="array" ref="T108">_xll.RssIndexMarket("GOLD.FUT06.OS", "前年最安値")</f>
        <v/>
      </c>
      <c r="U108" s="2" t="str">
        <f t="array" ref="U108">_xll.RssIndexMarket("GOLD.FUT06.OS", "前年終値")</f>
        <v/>
      </c>
      <c r="V108" s="2" t="str">
        <f t="array" ref="V108">_xll.RssIndexMarket("GOLD.FUT06.OS", "年初来高値")</f>
        <v/>
      </c>
      <c r="W108" s="2" t="str">
        <f t="array" ref="W108">_xll.RssIndexMarket("GOLD.FUT06.OS", "年初来安値")</f>
        <v/>
      </c>
      <c r="X108" s="2" t="str">
        <f t="array" ref="X108">_xll.RssIndexMarket("GOLD.FUT06.OS", "上場来高値")</f>
        <v/>
      </c>
      <c r="Y108" s="2" t="str">
        <f t="array" ref="Y108">_xll.RssIndexMarket("GOLD.FUT06.OS", "上場来安値")</f>
        <v/>
      </c>
      <c r="Z108" s="1" t="str">
        <f t="array" ref="Z108">_xll.RssIndexMarket("GOLD.FUT06.OS", "上場来高値日付")</f>
        <v/>
      </c>
      <c r="AA108" s="1" t="str">
        <f t="array" ref="AA108">_xll.RssIndexMarket("GOLD.FUT06.OS", "上場来安値日付")</f>
        <v/>
      </c>
    </row>
    <row r="109" spans="1:27">
      <c r="A109" s="1" t="str">
        <f t="array" ref="A109">_xll.RssIndexMarket("GOLDMINI.FUT01.OS", "指標コード")</f>
        <v/>
      </c>
      <c r="B109" s="1" t="str">
        <f t="array" ref="B109">_xll.RssIndexMarket("GOLDMINI.FUT01.OS", "指標名称")</f>
        <v/>
      </c>
      <c r="C109" s="1" t="str">
        <f t="array" ref="C109">_xll.RssIndexMarket("GOLDMINI.FUT01.OS", "現在日付")</f>
        <v>2026/02/28</v>
      </c>
      <c r="D109" s="1" t="str">
        <f t="array" ref="D109">_xll.RssIndexMarket("GOLDMINI.FUT01.OS", "更新時刻")</f>
        <v/>
      </c>
      <c r="E109" s="2">
        <f t="array" ref="E109">_xll.RssIndexMarket("GOLDMINI.FUT01.OS", "現在値")</f>
        <v>26320</v>
      </c>
      <c r="F109" s="1" t="str">
        <f t="array" ref="F109">_xll.RssIndexMarket("GOLDMINI.FUT01.OS", "現在値ティック")</f>
        <v>↑</v>
      </c>
      <c r="G109" s="2">
        <f t="array" ref="G109">_xll.RssIndexMarket("GOLDMINI.FUT01.OS", "前日比")</f>
        <v>70</v>
      </c>
      <c r="H109" s="2">
        <f t="array" ref="H109">_xll.RssIndexMarket("GOLDMINI.FUT01.OS", "前日比率")</f>
        <v>0.27</v>
      </c>
      <c r="I109" s="2">
        <f t="array" ref="I109">_xll.RssIndexMarket("GOLDMINI.FUT01.OS", "前日終値")</f>
        <v>26250</v>
      </c>
      <c r="J109" s="1" t="str">
        <f t="array" ref="J109">_xll.RssIndexMarket("GOLDMINI.FUT01.OS", "前日日付")</f>
        <v>2026/02/27</v>
      </c>
      <c r="K109" s="2">
        <f t="array" ref="K109">_xll.RssIndexMarket("GOLDMINI.FUT01.OS", "始値")</f>
        <v>26060</v>
      </c>
      <c r="L109" s="2">
        <f t="array" ref="L109">_xll.RssIndexMarket("GOLDMINI.FUT01.OS", "高値")</f>
        <v>26320</v>
      </c>
      <c r="M109" s="2">
        <f t="array" ref="M109">_xll.RssIndexMarket("GOLDMINI.FUT01.OS", "安値")</f>
        <v>26060</v>
      </c>
      <c r="N109" s="1" t="str">
        <f t="array" ref="N109">_xll.RssIndexMarket("GOLDMINI.FUT01.OS", "始値時刻")</f>
        <v>22:10</v>
      </c>
      <c r="O109" s="1" t="str">
        <f t="array" ref="O109">_xll.RssIndexMarket("GOLDMINI.FUT01.OS", "高値時刻")</f>
        <v>05:18</v>
      </c>
      <c r="P109" s="1" t="str">
        <f t="array" ref="P109">_xll.RssIndexMarket("GOLDMINI.FUT01.OS", "安値時刻")</f>
        <v>22:10</v>
      </c>
      <c r="Q109" s="2">
        <f t="array" ref="Q109">_xll.RssIndexMarket("GOLDMINI.FUT01.OS", "出来高")</f>
        <v>5</v>
      </c>
      <c r="R109" s="2">
        <f t="array" ref="R109">_xll.RssIndexMarket("GOLDMINI.FUT01.OS", "売買代金")</f>
        <v>13132</v>
      </c>
      <c r="S109" s="2" t="str">
        <f t="array" ref="S109">_xll.RssIndexMarket("GOLDMINI.FUT01.OS", "前年最高値")</f>
        <v/>
      </c>
      <c r="T109" s="2" t="str">
        <f t="array" ref="T109">_xll.RssIndexMarket("GOLDMINI.FUT01.OS", "前年最安値")</f>
        <v/>
      </c>
      <c r="U109" s="2" t="str">
        <f t="array" ref="U109">_xll.RssIndexMarket("GOLDMINI.FUT01.OS", "前年終値")</f>
        <v/>
      </c>
      <c r="V109" s="2" t="str">
        <f t="array" ref="V109">_xll.RssIndexMarket("GOLDMINI.FUT01.OS", "年初来高値")</f>
        <v/>
      </c>
      <c r="W109" s="2" t="str">
        <f t="array" ref="W109">_xll.RssIndexMarket("GOLDMINI.FUT01.OS", "年初来安値")</f>
        <v/>
      </c>
      <c r="X109" s="2" t="str">
        <f t="array" ref="X109">_xll.RssIndexMarket("GOLDMINI.FUT01.OS", "上場来高値")</f>
        <v/>
      </c>
      <c r="Y109" s="2" t="str">
        <f t="array" ref="Y109">_xll.RssIndexMarket("GOLDMINI.FUT01.OS", "上場来安値")</f>
        <v/>
      </c>
      <c r="Z109" s="1" t="str">
        <f t="array" ref="Z109">_xll.RssIndexMarket("GOLDMINI.FUT01.OS", "上場来高値日付")</f>
        <v/>
      </c>
      <c r="AA109" s="1" t="str">
        <f t="array" ref="AA109">_xll.RssIndexMarket("GOLDMINI.FUT01.OS", "上場来安値日付")</f>
        <v/>
      </c>
    </row>
    <row r="110" spans="1:27">
      <c r="A110" s="1" t="str">
        <f t="array" ref="A110">_xll.RssIndexMarket("GOLDMINI.FUT02.OS", "指標コード")</f>
        <v/>
      </c>
      <c r="B110" s="1" t="str">
        <f t="array" ref="B110">_xll.RssIndexMarket("GOLDMINI.FUT02.OS", "指標名称")</f>
        <v/>
      </c>
      <c r="C110" s="1" t="str">
        <f t="array" ref="C110">_xll.RssIndexMarket("GOLDMINI.FUT02.OS", "現在日付")</f>
        <v>2026/02/27</v>
      </c>
      <c r="D110" s="1" t="str">
        <f t="array" ref="D110">_xll.RssIndexMarket("GOLDMINI.FUT02.OS", "更新時刻")</f>
        <v/>
      </c>
      <c r="E110" s="2">
        <f t="array" ref="E110">_xll.RssIndexMarket("GOLDMINI.FUT02.OS", "現在値")</f>
        <v>26351</v>
      </c>
      <c r="F110" s="1" t="str">
        <f t="array" ref="F110">_xll.RssIndexMarket("GOLDMINI.FUT02.OS", "現在値ティック")</f>
        <v>↑</v>
      </c>
      <c r="G110" s="2">
        <f t="array" ref="G110">_xll.RssIndexMarket("GOLDMINI.FUT02.OS", "前日比")</f>
        <v>663</v>
      </c>
      <c r="H110" s="2">
        <f t="array" ref="H110">_xll.RssIndexMarket("GOLDMINI.FUT02.OS", "前日比率")</f>
        <v>2.58</v>
      </c>
      <c r="I110" s="2">
        <f t="array" ref="I110">_xll.RssIndexMarket("GOLDMINI.FUT02.OS", "前日終値")</f>
        <v>25688</v>
      </c>
      <c r="J110" s="1" t="str">
        <f t="array" ref="J110">_xll.RssIndexMarket("GOLDMINI.FUT02.OS", "前日日付")</f>
        <v>2026/02/27</v>
      </c>
      <c r="K110" s="2">
        <f t="array" ref="K110">_xll.RssIndexMarket("GOLDMINI.FUT02.OS", "始値")</f>
        <v>26351</v>
      </c>
      <c r="L110" s="2">
        <f t="array" ref="L110">_xll.RssIndexMarket("GOLDMINI.FUT02.OS", "高値")</f>
        <v>26351</v>
      </c>
      <c r="M110" s="2">
        <f t="array" ref="M110">_xll.RssIndexMarket("GOLDMINI.FUT02.OS", "安値")</f>
        <v>26351</v>
      </c>
      <c r="N110" s="1" t="str">
        <f t="array" ref="N110">_xll.RssIndexMarket("GOLDMINI.FUT02.OS", "始値時刻")</f>
        <v>22:35</v>
      </c>
      <c r="O110" s="1" t="str">
        <f t="array" ref="O110">_xll.RssIndexMarket("GOLDMINI.FUT02.OS", "高値時刻")</f>
        <v>22:35</v>
      </c>
      <c r="P110" s="1" t="str">
        <f t="array" ref="P110">_xll.RssIndexMarket("GOLDMINI.FUT02.OS", "安値時刻")</f>
        <v>22:35</v>
      </c>
      <c r="Q110" s="2">
        <f t="array" ref="Q110">_xll.RssIndexMarket("GOLDMINI.FUT02.OS", "出来高")</f>
        <v>1</v>
      </c>
      <c r="R110" s="2">
        <f t="array" ref="R110">_xll.RssIndexMarket("GOLDMINI.FUT02.OS", "売買代金")</f>
        <v>2635</v>
      </c>
      <c r="S110" s="2" t="str">
        <f t="array" ref="S110">_xll.RssIndexMarket("GOLDMINI.FUT02.OS", "前年最高値")</f>
        <v/>
      </c>
      <c r="T110" s="2" t="str">
        <f t="array" ref="T110">_xll.RssIndexMarket("GOLDMINI.FUT02.OS", "前年最安値")</f>
        <v/>
      </c>
      <c r="U110" s="2" t="str">
        <f t="array" ref="U110">_xll.RssIndexMarket("GOLDMINI.FUT02.OS", "前年終値")</f>
        <v/>
      </c>
      <c r="V110" s="2" t="str">
        <f t="array" ref="V110">_xll.RssIndexMarket("GOLDMINI.FUT02.OS", "年初来高値")</f>
        <v/>
      </c>
      <c r="W110" s="2" t="str">
        <f t="array" ref="W110">_xll.RssIndexMarket("GOLDMINI.FUT02.OS", "年初来安値")</f>
        <v/>
      </c>
      <c r="X110" s="2" t="str">
        <f t="array" ref="X110">_xll.RssIndexMarket("GOLDMINI.FUT02.OS", "上場来高値")</f>
        <v/>
      </c>
      <c r="Y110" s="2" t="str">
        <f t="array" ref="Y110">_xll.RssIndexMarket("GOLDMINI.FUT02.OS", "上場来安値")</f>
        <v/>
      </c>
      <c r="Z110" s="1" t="str">
        <f t="array" ref="Z110">_xll.RssIndexMarket("GOLDMINI.FUT02.OS", "上場来高値日付")</f>
        <v/>
      </c>
      <c r="AA110" s="1" t="str">
        <f t="array" ref="AA110">_xll.RssIndexMarket("GOLDMINI.FUT02.OS", "上場来安値日付")</f>
        <v/>
      </c>
    </row>
    <row r="111" spans="1:27">
      <c r="A111" s="1" t="str">
        <f t="array" ref="A111">_xll.RssIndexMarket("GOLDMINI.FUT03.OS", "指標コード")</f>
        <v/>
      </c>
      <c r="B111" s="1" t="str">
        <f t="array" ref="B111">_xll.RssIndexMarket("GOLDMINI.FUT03.OS", "指標名称")</f>
        <v/>
      </c>
      <c r="C111" s="1" t="str">
        <f t="array" ref="C111">_xll.RssIndexMarket("GOLDMINI.FUT03.OS", "現在日付")</f>
        <v>2026/02/28</v>
      </c>
      <c r="D111" s="1" t="str">
        <f t="array" ref="D111">_xll.RssIndexMarket("GOLDMINI.FUT03.OS", "更新時刻")</f>
        <v/>
      </c>
      <c r="E111" s="2">
        <f t="array" ref="E111">_xll.RssIndexMarket("GOLDMINI.FUT03.OS", "現在値")</f>
        <v>26488</v>
      </c>
      <c r="F111" s="1" t="str">
        <f t="array" ref="F111">_xll.RssIndexMarket("GOLDMINI.FUT03.OS", "現在値ティック")</f>
        <v>↑</v>
      </c>
      <c r="G111" s="2">
        <f t="array" ref="G111">_xll.RssIndexMarket("GOLDMINI.FUT03.OS", "前日比")</f>
        <v>252</v>
      </c>
      <c r="H111" s="2">
        <f t="array" ref="H111">_xll.RssIndexMarket("GOLDMINI.FUT03.OS", "前日比率")</f>
        <v>0.96</v>
      </c>
      <c r="I111" s="2">
        <f t="array" ref="I111">_xll.RssIndexMarket("GOLDMINI.FUT03.OS", "前日終値")</f>
        <v>26236</v>
      </c>
      <c r="J111" s="1" t="str">
        <f t="array" ref="J111">_xll.RssIndexMarket("GOLDMINI.FUT03.OS", "前日日付")</f>
        <v>2026/02/27</v>
      </c>
      <c r="K111" s="2">
        <f t="array" ref="K111">_xll.RssIndexMarket("GOLDMINI.FUT03.OS", "始値")</f>
        <v>26400</v>
      </c>
      <c r="L111" s="2">
        <f t="array" ref="L111">_xll.RssIndexMarket("GOLDMINI.FUT03.OS", "高値")</f>
        <v>26488</v>
      </c>
      <c r="M111" s="2">
        <f t="array" ref="M111">_xll.RssIndexMarket("GOLDMINI.FUT03.OS", "安値")</f>
        <v>26400</v>
      </c>
      <c r="N111" s="1" t="str">
        <f t="array" ref="N111">_xll.RssIndexMarket("GOLDMINI.FUT03.OS", "始値時刻")</f>
        <v>23:08</v>
      </c>
      <c r="O111" s="1" t="str">
        <f t="array" ref="O111">_xll.RssIndexMarket("GOLDMINI.FUT03.OS", "高値時刻")</f>
        <v>01:16</v>
      </c>
      <c r="P111" s="1" t="str">
        <f t="array" ref="P111">_xll.RssIndexMarket("GOLDMINI.FUT03.OS", "安値時刻")</f>
        <v>23:08</v>
      </c>
      <c r="Q111" s="2">
        <f t="array" ref="Q111">_xll.RssIndexMarket("GOLDMINI.FUT03.OS", "出来高")</f>
        <v>6</v>
      </c>
      <c r="R111" s="2">
        <f t="array" ref="R111">_xll.RssIndexMarket("GOLDMINI.FUT03.OS", "売買代金")</f>
        <v>15884</v>
      </c>
      <c r="S111" s="2" t="str">
        <f t="array" ref="S111">_xll.RssIndexMarket("GOLDMINI.FUT03.OS", "前年最高値")</f>
        <v/>
      </c>
      <c r="T111" s="2" t="str">
        <f t="array" ref="T111">_xll.RssIndexMarket("GOLDMINI.FUT03.OS", "前年最安値")</f>
        <v/>
      </c>
      <c r="U111" s="2" t="str">
        <f t="array" ref="U111">_xll.RssIndexMarket("GOLDMINI.FUT03.OS", "前年終値")</f>
        <v/>
      </c>
      <c r="V111" s="2" t="str">
        <f t="array" ref="V111">_xll.RssIndexMarket("GOLDMINI.FUT03.OS", "年初来高値")</f>
        <v/>
      </c>
      <c r="W111" s="2" t="str">
        <f t="array" ref="W111">_xll.RssIndexMarket("GOLDMINI.FUT03.OS", "年初来安値")</f>
        <v/>
      </c>
      <c r="X111" s="2" t="str">
        <f t="array" ref="X111">_xll.RssIndexMarket("GOLDMINI.FUT03.OS", "上場来高値")</f>
        <v/>
      </c>
      <c r="Y111" s="2" t="str">
        <f t="array" ref="Y111">_xll.RssIndexMarket("GOLDMINI.FUT03.OS", "上場来安値")</f>
        <v/>
      </c>
      <c r="Z111" s="1" t="str">
        <f t="array" ref="Z111">_xll.RssIndexMarket("GOLDMINI.FUT03.OS", "上場来高値日付")</f>
        <v/>
      </c>
      <c r="AA111" s="1" t="str">
        <f t="array" ref="AA111">_xll.RssIndexMarket("GOLDMINI.FUT03.OS", "上場来安値日付")</f>
        <v/>
      </c>
    </row>
    <row r="112" spans="1:27">
      <c r="A112" s="1" t="str">
        <f t="array" ref="A112">_xll.RssIndexMarket("GOLDMINI.FUT04.OS", "指標コード")</f>
        <v/>
      </c>
      <c r="B112" s="1" t="str">
        <f t="array" ref="B112">_xll.RssIndexMarket("GOLDMINI.FUT04.OS", "指標名称")</f>
        <v/>
      </c>
      <c r="C112" s="1" t="str">
        <f t="array" ref="C112">_xll.RssIndexMarket("GOLDMINI.FUT04.OS", "現在日付")</f>
        <v>2026/02/28</v>
      </c>
      <c r="D112" s="1" t="str">
        <f t="array" ref="D112">_xll.RssIndexMarket("GOLDMINI.FUT04.OS", "更新時刻")</f>
        <v/>
      </c>
      <c r="E112" s="2">
        <f t="array" ref="E112">_xll.RssIndexMarket("GOLDMINI.FUT04.OS", "現在値")</f>
        <v>26783</v>
      </c>
      <c r="F112" s="1" t="str">
        <f t="array" ref="F112">_xll.RssIndexMarket("GOLDMINI.FUT04.OS", "現在値ティック")</f>
        <v>↑</v>
      </c>
      <c r="G112" s="2">
        <f t="array" ref="G112">_xll.RssIndexMarket("GOLDMINI.FUT04.OS", "前日比")</f>
        <v>283</v>
      </c>
      <c r="H112" s="2">
        <f t="array" ref="H112">_xll.RssIndexMarket("GOLDMINI.FUT04.OS", "前日比率")</f>
        <v>1.07</v>
      </c>
      <c r="I112" s="2">
        <f t="array" ref="I112">_xll.RssIndexMarket("GOLDMINI.FUT04.OS", "前日終値")</f>
        <v>26500</v>
      </c>
      <c r="J112" s="1" t="str">
        <f t="array" ref="J112">_xll.RssIndexMarket("GOLDMINI.FUT04.OS", "前日日付")</f>
        <v>2026/02/27</v>
      </c>
      <c r="K112" s="2">
        <f t="array" ref="K112">_xll.RssIndexMarket("GOLDMINI.FUT04.OS", "始値")</f>
        <v>26523</v>
      </c>
      <c r="L112" s="2">
        <f t="array" ref="L112">_xll.RssIndexMarket("GOLDMINI.FUT04.OS", "高値")</f>
        <v>26783</v>
      </c>
      <c r="M112" s="2">
        <f t="array" ref="M112">_xll.RssIndexMarket("GOLDMINI.FUT04.OS", "安値")</f>
        <v>26447.5</v>
      </c>
      <c r="N112" s="1" t="str">
        <f t="array" ref="N112">_xll.RssIndexMarket("GOLDMINI.FUT04.OS", "始値時刻")</f>
        <v>17:12</v>
      </c>
      <c r="O112" s="1" t="str">
        <f t="array" ref="O112">_xll.RssIndexMarket("GOLDMINI.FUT04.OS", "高値時刻")</f>
        <v>01:51</v>
      </c>
      <c r="P112" s="1" t="str">
        <f t="array" ref="P112">_xll.RssIndexMarket("GOLDMINI.FUT04.OS", "安値時刻")</f>
        <v>19:12</v>
      </c>
      <c r="Q112" s="2">
        <f t="array" ref="Q112">_xll.RssIndexMarket("GOLDMINI.FUT04.OS", "出来高")</f>
        <v>46</v>
      </c>
      <c r="R112" s="2">
        <f t="array" ref="R112">_xll.RssIndexMarket("GOLDMINI.FUT04.OS", "売買代金")</f>
        <v>122219</v>
      </c>
      <c r="S112" s="2" t="str">
        <f t="array" ref="S112">_xll.RssIndexMarket("GOLDMINI.FUT04.OS", "前年最高値")</f>
        <v/>
      </c>
      <c r="T112" s="2" t="str">
        <f t="array" ref="T112">_xll.RssIndexMarket("GOLDMINI.FUT04.OS", "前年最安値")</f>
        <v/>
      </c>
      <c r="U112" s="2" t="str">
        <f t="array" ref="U112">_xll.RssIndexMarket("GOLDMINI.FUT04.OS", "前年終値")</f>
        <v/>
      </c>
      <c r="V112" s="2" t="str">
        <f t="array" ref="V112">_xll.RssIndexMarket("GOLDMINI.FUT04.OS", "年初来高値")</f>
        <v/>
      </c>
      <c r="W112" s="2" t="str">
        <f t="array" ref="W112">_xll.RssIndexMarket("GOLDMINI.FUT04.OS", "年初来安値")</f>
        <v/>
      </c>
      <c r="X112" s="2" t="str">
        <f t="array" ref="X112">_xll.RssIndexMarket("GOLDMINI.FUT04.OS", "上場来高値")</f>
        <v/>
      </c>
      <c r="Y112" s="2" t="str">
        <f t="array" ref="Y112">_xll.RssIndexMarket("GOLDMINI.FUT04.OS", "上場来安値")</f>
        <v/>
      </c>
      <c r="Z112" s="1" t="str">
        <f t="array" ref="Z112">_xll.RssIndexMarket("GOLDMINI.FUT04.OS", "上場来高値日付")</f>
        <v/>
      </c>
      <c r="AA112" s="1" t="str">
        <f t="array" ref="AA112">_xll.RssIndexMarket("GOLDMINI.FUT04.OS", "上場来安値日付")</f>
        <v/>
      </c>
    </row>
    <row r="113" spans="1:27">
      <c r="A113" s="1" t="str">
        <f t="array" ref="A113">_xll.RssIndexMarket("GOLDMINI.FUT05.OS", "指標コード")</f>
        <v/>
      </c>
      <c r="B113" s="1" t="str">
        <f t="array" ref="B113">_xll.RssIndexMarket("GOLDMINI.FUT05.OS", "指標名称")</f>
        <v/>
      </c>
      <c r="C113" s="1" t="str">
        <f t="array" ref="C113">_xll.RssIndexMarket("GOLDMINI.FUT05.OS", "現在日付")</f>
        <v>2026/02/28</v>
      </c>
      <c r="D113" s="1" t="str">
        <f t="array" ref="D113">_xll.RssIndexMarket("GOLDMINI.FUT05.OS", "更新時刻")</f>
        <v/>
      </c>
      <c r="E113" s="2">
        <f t="array" ref="E113">_xll.RssIndexMarket("GOLDMINI.FUT05.OS", "現在値")</f>
        <v>27161.5</v>
      </c>
      <c r="F113" s="1" t="str">
        <f t="array" ref="F113">_xll.RssIndexMarket("GOLDMINI.FUT05.OS", "現在値ティック")</f>
        <v>↑</v>
      </c>
      <c r="G113" s="2">
        <f t="array" ref="G113">_xll.RssIndexMarket("GOLDMINI.FUT05.OS", "前日比")</f>
        <v>366</v>
      </c>
      <c r="H113" s="2">
        <f t="array" ref="H113">_xll.RssIndexMarket("GOLDMINI.FUT05.OS", "前日比率")</f>
        <v>1.37</v>
      </c>
      <c r="I113" s="2">
        <f t="array" ref="I113">_xll.RssIndexMarket("GOLDMINI.FUT05.OS", "前日終値")</f>
        <v>26795.5</v>
      </c>
      <c r="J113" s="1" t="str">
        <f t="array" ref="J113">_xll.RssIndexMarket("GOLDMINI.FUT05.OS", "前日日付")</f>
        <v>2026/02/27</v>
      </c>
      <c r="K113" s="2">
        <f t="array" ref="K113">_xll.RssIndexMarket("GOLDMINI.FUT05.OS", "始値")</f>
        <v>26814</v>
      </c>
      <c r="L113" s="2">
        <f t="array" ref="L113">_xll.RssIndexMarket("GOLDMINI.FUT05.OS", "高値")</f>
        <v>27175.5</v>
      </c>
      <c r="M113" s="2">
        <f t="array" ref="M113">_xll.RssIndexMarket("GOLDMINI.FUT05.OS", "安値")</f>
        <v>26755</v>
      </c>
      <c r="N113" s="1" t="str">
        <f t="array" ref="N113">_xll.RssIndexMarket("GOLDMINI.FUT05.OS", "始値時刻")</f>
        <v>17:00</v>
      </c>
      <c r="O113" s="1" t="str">
        <f t="array" ref="O113">_xll.RssIndexMarket("GOLDMINI.FUT05.OS", "高値時刻")</f>
        <v>05:33</v>
      </c>
      <c r="P113" s="1" t="str">
        <f t="array" ref="P113">_xll.RssIndexMarket("GOLDMINI.FUT05.OS", "安値時刻")</f>
        <v>19:12</v>
      </c>
      <c r="Q113" s="2">
        <f t="array" ref="Q113">_xll.RssIndexMarket("GOLDMINI.FUT05.OS", "出来高")</f>
        <v>760</v>
      </c>
      <c r="R113" s="2">
        <f t="array" ref="R113">_xll.RssIndexMarket("GOLDMINI.FUT05.OS", "売買代金")</f>
        <v>2051517</v>
      </c>
      <c r="S113" s="2" t="str">
        <f t="array" ref="S113">_xll.RssIndexMarket("GOLDMINI.FUT05.OS", "前年最高値")</f>
        <v/>
      </c>
      <c r="T113" s="2" t="str">
        <f t="array" ref="T113">_xll.RssIndexMarket("GOLDMINI.FUT05.OS", "前年最安値")</f>
        <v/>
      </c>
      <c r="U113" s="2" t="str">
        <f t="array" ref="U113">_xll.RssIndexMarket("GOLDMINI.FUT05.OS", "前年終値")</f>
        <v/>
      </c>
      <c r="V113" s="2" t="str">
        <f t="array" ref="V113">_xll.RssIndexMarket("GOLDMINI.FUT05.OS", "年初来高値")</f>
        <v/>
      </c>
      <c r="W113" s="2" t="str">
        <f t="array" ref="W113">_xll.RssIndexMarket("GOLDMINI.FUT05.OS", "年初来安値")</f>
        <v/>
      </c>
      <c r="X113" s="2" t="str">
        <f t="array" ref="X113">_xll.RssIndexMarket("GOLDMINI.FUT05.OS", "上場来高値")</f>
        <v/>
      </c>
      <c r="Y113" s="2" t="str">
        <f t="array" ref="Y113">_xll.RssIndexMarket("GOLDMINI.FUT05.OS", "上場来安値")</f>
        <v/>
      </c>
      <c r="Z113" s="1" t="str">
        <f t="array" ref="Z113">_xll.RssIndexMarket("GOLDMINI.FUT05.OS", "上場来高値日付")</f>
        <v/>
      </c>
      <c r="AA113" s="1" t="str">
        <f t="array" ref="AA113">_xll.RssIndexMarket("GOLDMINI.FUT05.OS", "上場来安値日付")</f>
        <v/>
      </c>
    </row>
    <row r="114" spans="1:27">
      <c r="A114" s="1" t="str">
        <f t="array" ref="A114">_xll.RssIndexMarket("GOLDMINI.FUT06.OS", "指標コード")</f>
        <v/>
      </c>
      <c r="B114" s="1" t="str">
        <f t="array" ref="B114">_xll.RssIndexMarket("GOLDMINI.FUT06.OS", "指標名称")</f>
        <v/>
      </c>
      <c r="C114" s="1" t="str">
        <f t="array" ref="C114">_xll.RssIndexMarket("GOLDMINI.FUT06.OS", "現在日付")</f>
        <v>2026/02/28</v>
      </c>
      <c r="D114" s="1" t="str">
        <f t="array" ref="D114">_xll.RssIndexMarket("GOLDMINI.FUT06.OS", "更新時刻")</f>
        <v/>
      </c>
      <c r="E114" s="2">
        <f t="array" ref="E114">_xll.RssIndexMarket("GOLDMINI.FUT06.OS", "現在値")</f>
        <v>27424.5</v>
      </c>
      <c r="F114" s="1" t="str">
        <f t="array" ref="F114">_xll.RssIndexMarket("GOLDMINI.FUT06.OS", "現在値ティック")</f>
        <v>↓</v>
      </c>
      <c r="G114" s="2">
        <f t="array" ref="G114">_xll.RssIndexMarket("GOLDMINI.FUT06.OS", "前日比")</f>
        <v>324.5</v>
      </c>
      <c r="H114" s="2">
        <f t="array" ref="H114">_xll.RssIndexMarket("GOLDMINI.FUT06.OS", "前日比率")</f>
        <v>1.2</v>
      </c>
      <c r="I114" s="2">
        <f t="array" ref="I114">_xll.RssIndexMarket("GOLDMINI.FUT06.OS", "前日終値")</f>
        <v>27100</v>
      </c>
      <c r="J114" s="1" t="str">
        <f t="array" ref="J114">_xll.RssIndexMarket("GOLDMINI.FUT06.OS", "前日日付")</f>
        <v>2026/02/27</v>
      </c>
      <c r="K114" s="2">
        <f t="array" ref="K114">_xll.RssIndexMarket("GOLDMINI.FUT06.OS", "始値")</f>
        <v>27091.5</v>
      </c>
      <c r="L114" s="2">
        <f t="array" ref="L114">_xll.RssIndexMarket("GOLDMINI.FUT06.OS", "高値")</f>
        <v>27427</v>
      </c>
      <c r="M114" s="2">
        <f t="array" ref="M114">_xll.RssIndexMarket("GOLDMINI.FUT06.OS", "安値")</f>
        <v>27000</v>
      </c>
      <c r="N114" s="1" t="str">
        <f t="array" ref="N114">_xll.RssIndexMarket("GOLDMINI.FUT06.OS", "始値時刻")</f>
        <v>17:00</v>
      </c>
      <c r="O114" s="1" t="str">
        <f t="array" ref="O114">_xll.RssIndexMarket("GOLDMINI.FUT06.OS", "高値時刻")</f>
        <v>05:24</v>
      </c>
      <c r="P114" s="1" t="str">
        <f t="array" ref="P114">_xll.RssIndexMarket("GOLDMINI.FUT06.OS", "安値時刻")</f>
        <v>19:13</v>
      </c>
      <c r="Q114" s="2">
        <f t="array" ref="Q114">_xll.RssIndexMarket("GOLDMINI.FUT06.OS", "出来高")</f>
        <v>6359</v>
      </c>
      <c r="R114" s="2">
        <f t="array" ref="R114">_xll.RssIndexMarket("GOLDMINI.FUT06.OS", "売買代金")</f>
        <v>17320259</v>
      </c>
      <c r="S114" s="2" t="str">
        <f t="array" ref="S114">_xll.RssIndexMarket("GOLDMINI.FUT06.OS", "前年最高値")</f>
        <v/>
      </c>
      <c r="T114" s="2" t="str">
        <f t="array" ref="T114">_xll.RssIndexMarket("GOLDMINI.FUT06.OS", "前年最安値")</f>
        <v/>
      </c>
      <c r="U114" s="2" t="str">
        <f t="array" ref="U114">_xll.RssIndexMarket("GOLDMINI.FUT06.OS", "前年終値")</f>
        <v/>
      </c>
      <c r="V114" s="2" t="str">
        <f t="array" ref="V114">_xll.RssIndexMarket("GOLDMINI.FUT06.OS", "年初来高値")</f>
        <v/>
      </c>
      <c r="W114" s="2" t="str">
        <f t="array" ref="W114">_xll.RssIndexMarket("GOLDMINI.FUT06.OS", "年初来安値")</f>
        <v/>
      </c>
      <c r="X114" s="2" t="str">
        <f t="array" ref="X114">_xll.RssIndexMarket("GOLDMINI.FUT06.OS", "上場来高値")</f>
        <v/>
      </c>
      <c r="Y114" s="2" t="str">
        <f t="array" ref="Y114">_xll.RssIndexMarket("GOLDMINI.FUT06.OS", "上場来安値")</f>
        <v/>
      </c>
      <c r="Z114" s="1" t="str">
        <f t="array" ref="Z114">_xll.RssIndexMarket("GOLDMINI.FUT06.OS", "上場来高値日付")</f>
        <v/>
      </c>
      <c r="AA114" s="1" t="str">
        <f t="array" ref="AA114">_xll.RssIndexMarket("GOLDMINI.FUT06.OS", "上場来安値日付")</f>
        <v/>
      </c>
    </row>
    <row r="115" spans="1:27">
      <c r="A115" s="1" t="str">
        <f t="array" ref="A115">_xll.RssIndexMarket("GOLD.SPOT.OS", "指標コード")</f>
        <v/>
      </c>
      <c r="B115" s="1" t="str">
        <f t="array" ref="B115">_xll.RssIndexMarket("GOLD.SPOT.OS", "指標名称")</f>
        <v/>
      </c>
      <c r="C115" s="1" t="str">
        <f t="array" ref="C115">_xll.RssIndexMarket("GOLD.SPOT.OS", "現在日付")</f>
        <v>2026/02/28</v>
      </c>
      <c r="D115" s="1" t="str">
        <f t="array" ref="D115">_xll.RssIndexMarket("GOLD.SPOT.OS", "更新時刻")</f>
        <v/>
      </c>
      <c r="E115" s="2">
        <f t="array" ref="E115">_xll.RssIndexMarket("GOLD.SPOT.OS", "現在値")</f>
        <v>26821</v>
      </c>
      <c r="F115" s="1" t="str">
        <f t="array" ref="F115">_xll.RssIndexMarket("GOLD.SPOT.OS", "現在値ティック")</f>
        <v>↑</v>
      </c>
      <c r="G115" s="2">
        <f t="array" ref="G115">_xll.RssIndexMarket("GOLD.SPOT.OS", "前日比")</f>
        <v>-151</v>
      </c>
      <c r="H115" s="2">
        <f t="array" ref="H115">_xll.RssIndexMarket("GOLD.SPOT.OS", "前日比率")</f>
        <v>-0.56000000000000005</v>
      </c>
      <c r="I115" s="2">
        <f t="array" ref="I115">_xll.RssIndexMarket("GOLD.SPOT.OS", "前日終値")</f>
        <v>26972</v>
      </c>
      <c r="J115" s="1" t="str">
        <f t="array" ref="J115">_xll.RssIndexMarket("GOLD.SPOT.OS", "前日日付")</f>
        <v>2026/02/27</v>
      </c>
      <c r="K115" s="2">
        <f t="array" ref="K115">_xll.RssIndexMarket("GOLD.SPOT.OS", "始値")</f>
        <v>26821</v>
      </c>
      <c r="L115" s="2">
        <f t="array" ref="L115">_xll.RssIndexMarket("GOLD.SPOT.OS", "高値")</f>
        <v>26821</v>
      </c>
      <c r="M115" s="2">
        <f t="array" ref="M115">_xll.RssIndexMarket("GOLD.SPOT.OS", "安値")</f>
        <v>26820</v>
      </c>
      <c r="N115" s="1" t="str">
        <f t="array" ref="N115">_xll.RssIndexMarket("GOLD.SPOT.OS", "始値時刻")</f>
        <v>17:15</v>
      </c>
      <c r="O115" s="1" t="str">
        <f t="array" ref="O115">_xll.RssIndexMarket("GOLD.SPOT.OS", "高値時刻")</f>
        <v>17:15</v>
      </c>
      <c r="P115" s="1" t="str">
        <f t="array" ref="P115">_xll.RssIndexMarket("GOLD.SPOT.OS", "安値時刻")</f>
        <v>17:48</v>
      </c>
      <c r="Q115" s="2">
        <f t="array" ref="Q115">_xll.RssIndexMarket("GOLD.SPOT.OS", "出来高")</f>
        <v>21</v>
      </c>
      <c r="R115" s="2">
        <f t="array" ref="R115">_xll.RssIndexMarket("GOLD.SPOT.OS", "売買代金")</f>
        <v>56323</v>
      </c>
      <c r="S115" s="2" t="str">
        <f t="array" ref="S115">_xll.RssIndexMarket("GOLD.SPOT.OS", "前年最高値")</f>
        <v/>
      </c>
      <c r="T115" s="2" t="str">
        <f t="array" ref="T115">_xll.RssIndexMarket("GOLD.SPOT.OS", "前年最安値")</f>
        <v/>
      </c>
      <c r="U115" s="2" t="str">
        <f t="array" ref="U115">_xll.RssIndexMarket("GOLD.SPOT.OS", "前年終値")</f>
        <v/>
      </c>
      <c r="V115" s="2" t="str">
        <f t="array" ref="V115">_xll.RssIndexMarket("GOLD.SPOT.OS", "年初来高値")</f>
        <v/>
      </c>
      <c r="W115" s="2" t="str">
        <f t="array" ref="W115">_xll.RssIndexMarket("GOLD.SPOT.OS", "年初来安値")</f>
        <v/>
      </c>
      <c r="X115" s="2" t="str">
        <f t="array" ref="X115">_xll.RssIndexMarket("GOLD.SPOT.OS", "上場来高値")</f>
        <v/>
      </c>
      <c r="Y115" s="2" t="str">
        <f t="array" ref="Y115">_xll.RssIndexMarket("GOLD.SPOT.OS", "上場来安値")</f>
        <v/>
      </c>
      <c r="Z115" s="1" t="str">
        <f t="array" ref="Z115">_xll.RssIndexMarket("GOLD.SPOT.OS", "上場来高値日付")</f>
        <v/>
      </c>
      <c r="AA115" s="1" t="str">
        <f t="array" ref="AA115">_xll.RssIndexMarket("GOLD.SPOT.OS", "上場来安値日付")</f>
        <v/>
      </c>
    </row>
    <row r="116" spans="1:27">
      <c r="A116" s="1" t="str">
        <f t="array" ref="A116">_xll.RssIndexMarket("PLATINUM.FUT01.OS", "指標コード")</f>
        <v/>
      </c>
      <c r="B116" s="1" t="str">
        <f t="array" ref="B116">_xll.RssIndexMarket("PLATINUM.FUT01.OS", "指標名称")</f>
        <v/>
      </c>
      <c r="C116" s="1" t="str">
        <f t="array" ref="C116">_xll.RssIndexMarket("PLATINUM.FUT01.OS", "現在日付")</f>
        <v>2026/02/27</v>
      </c>
      <c r="D116" s="1" t="str">
        <f t="array" ref="D116">_xll.RssIndexMarket("PLATINUM.FUT01.OS", "更新時刻")</f>
        <v/>
      </c>
      <c r="E116" s="2">
        <f t="array" ref="E116">_xll.RssIndexMarket("PLATINUM.FUT01.OS", "現在値")</f>
        <v>0</v>
      </c>
      <c r="F116" s="1" t="str">
        <f t="array" ref="F116">_xll.RssIndexMarket("PLATINUM.FUT01.OS", "現在値ティック")</f>
        <v/>
      </c>
      <c r="G116" s="2">
        <f t="array" ref="G116">_xll.RssIndexMarket("PLATINUM.FUT01.OS", "前日比")</f>
        <v>0</v>
      </c>
      <c r="H116" s="2">
        <f t="array" ref="H116">_xll.RssIndexMarket("PLATINUM.FUT01.OS", "前日比率")</f>
        <v>0</v>
      </c>
      <c r="I116" s="2">
        <f t="array" ref="I116">_xll.RssIndexMarket("PLATINUM.FUT01.OS", "前日終値")</f>
        <v>11877</v>
      </c>
      <c r="J116" s="1" t="str">
        <f t="array" ref="J116">_xll.RssIndexMarket("PLATINUM.FUT01.OS", "前日日付")</f>
        <v>2026/02/27</v>
      </c>
      <c r="K116" s="2">
        <f t="array" ref="K116">_xll.RssIndexMarket("PLATINUM.FUT01.OS", "始値")</f>
        <v>0</v>
      </c>
      <c r="L116" s="2">
        <f t="array" ref="L116">_xll.RssIndexMarket("PLATINUM.FUT01.OS", "高値")</f>
        <v>0</v>
      </c>
      <c r="M116" s="2">
        <f t="array" ref="M116">_xll.RssIndexMarket("PLATINUM.FUT01.OS", "安値")</f>
        <v>0</v>
      </c>
      <c r="N116" s="1" t="str">
        <f t="array" ref="N116">_xll.RssIndexMarket("PLATINUM.FUT01.OS", "始値時刻")</f>
        <v xml:space="preserve">  :  </v>
      </c>
      <c r="O116" s="1" t="str">
        <f t="array" ref="O116">_xll.RssIndexMarket("PLATINUM.FUT01.OS", "高値時刻")</f>
        <v xml:space="preserve">  :  </v>
      </c>
      <c r="P116" s="1" t="str">
        <f t="array" ref="P116">_xll.RssIndexMarket("PLATINUM.FUT01.OS", "安値時刻")</f>
        <v xml:space="preserve">  :  </v>
      </c>
      <c r="Q116" s="2">
        <f t="array" ref="Q116">_xll.RssIndexMarket("PLATINUM.FUT01.OS", "出来高")</f>
        <v>0</v>
      </c>
      <c r="R116" s="2">
        <f t="array" ref="R116">_xll.RssIndexMarket("PLATINUM.FUT01.OS", "売買代金")</f>
        <v>0</v>
      </c>
      <c r="S116" s="2" t="str">
        <f t="array" ref="S116">_xll.RssIndexMarket("PLATINUM.FUT01.OS", "前年最高値")</f>
        <v/>
      </c>
      <c r="T116" s="2" t="str">
        <f t="array" ref="T116">_xll.RssIndexMarket("PLATINUM.FUT01.OS", "前年最安値")</f>
        <v/>
      </c>
      <c r="U116" s="2" t="str">
        <f t="array" ref="U116">_xll.RssIndexMarket("PLATINUM.FUT01.OS", "前年終値")</f>
        <v/>
      </c>
      <c r="V116" s="2" t="str">
        <f t="array" ref="V116">_xll.RssIndexMarket("PLATINUM.FUT01.OS", "年初来高値")</f>
        <v/>
      </c>
      <c r="W116" s="2" t="str">
        <f t="array" ref="W116">_xll.RssIndexMarket("PLATINUM.FUT01.OS", "年初来安値")</f>
        <v/>
      </c>
      <c r="X116" s="2" t="str">
        <f t="array" ref="X116">_xll.RssIndexMarket("PLATINUM.FUT01.OS", "上場来高値")</f>
        <v/>
      </c>
      <c r="Y116" s="2" t="str">
        <f t="array" ref="Y116">_xll.RssIndexMarket("PLATINUM.FUT01.OS", "上場来安値")</f>
        <v/>
      </c>
      <c r="Z116" s="1" t="str">
        <f t="array" ref="Z116">_xll.RssIndexMarket("PLATINUM.FUT01.OS", "上場来高値日付")</f>
        <v/>
      </c>
      <c r="AA116" s="1" t="str">
        <f t="array" ref="AA116">_xll.RssIndexMarket("PLATINUM.FUT01.OS", "上場来安値日付")</f>
        <v/>
      </c>
    </row>
    <row r="117" spans="1:27">
      <c r="A117" s="1" t="str">
        <f t="array" ref="A117">_xll.RssIndexMarket("PLATINUM.FUT02.OS", "指標コード")</f>
        <v/>
      </c>
      <c r="B117" s="1" t="str">
        <f t="array" ref="B117">_xll.RssIndexMarket("PLATINUM.FUT02.OS", "指標名称")</f>
        <v/>
      </c>
      <c r="C117" s="1" t="str">
        <f t="array" ref="C117">_xll.RssIndexMarket("PLATINUM.FUT02.OS", "現在日付")</f>
        <v>2026/02/27</v>
      </c>
      <c r="D117" s="1" t="str">
        <f t="array" ref="D117">_xll.RssIndexMarket("PLATINUM.FUT02.OS", "更新時刻")</f>
        <v/>
      </c>
      <c r="E117" s="2">
        <f t="array" ref="E117">_xll.RssIndexMarket("PLATINUM.FUT02.OS", "現在値")</f>
        <v>0</v>
      </c>
      <c r="F117" s="1" t="str">
        <f t="array" ref="F117">_xll.RssIndexMarket("PLATINUM.FUT02.OS", "現在値ティック")</f>
        <v/>
      </c>
      <c r="G117" s="2">
        <f t="array" ref="G117">_xll.RssIndexMarket("PLATINUM.FUT02.OS", "前日比")</f>
        <v>0</v>
      </c>
      <c r="H117" s="2">
        <f t="array" ref="H117">_xll.RssIndexMarket("PLATINUM.FUT02.OS", "前日比率")</f>
        <v>0</v>
      </c>
      <c r="I117" s="2">
        <f t="array" ref="I117">_xll.RssIndexMarket("PLATINUM.FUT02.OS", "前日終値")</f>
        <v>11478</v>
      </c>
      <c r="J117" s="1" t="str">
        <f t="array" ref="J117">_xll.RssIndexMarket("PLATINUM.FUT02.OS", "前日日付")</f>
        <v>2026/02/27</v>
      </c>
      <c r="K117" s="2">
        <f t="array" ref="K117">_xll.RssIndexMarket("PLATINUM.FUT02.OS", "始値")</f>
        <v>0</v>
      </c>
      <c r="L117" s="2">
        <f t="array" ref="L117">_xll.RssIndexMarket("PLATINUM.FUT02.OS", "高値")</f>
        <v>0</v>
      </c>
      <c r="M117" s="2">
        <f t="array" ref="M117">_xll.RssIndexMarket("PLATINUM.FUT02.OS", "安値")</f>
        <v>0</v>
      </c>
      <c r="N117" s="1" t="str">
        <f t="array" ref="N117">_xll.RssIndexMarket("PLATINUM.FUT02.OS", "始値時刻")</f>
        <v xml:space="preserve">  :  </v>
      </c>
      <c r="O117" s="1" t="str">
        <f t="array" ref="O117">_xll.RssIndexMarket("PLATINUM.FUT02.OS", "高値時刻")</f>
        <v xml:space="preserve">  :  </v>
      </c>
      <c r="P117" s="1" t="str">
        <f t="array" ref="P117">_xll.RssIndexMarket("PLATINUM.FUT02.OS", "安値時刻")</f>
        <v xml:space="preserve">  :  </v>
      </c>
      <c r="Q117" s="2">
        <f t="array" ref="Q117">_xll.RssIndexMarket("PLATINUM.FUT02.OS", "出来高")</f>
        <v>0</v>
      </c>
      <c r="R117" s="2">
        <f t="array" ref="R117">_xll.RssIndexMarket("PLATINUM.FUT02.OS", "売買代金")</f>
        <v>0</v>
      </c>
      <c r="S117" s="2" t="str">
        <f t="array" ref="S117">_xll.RssIndexMarket("PLATINUM.FUT02.OS", "前年最高値")</f>
        <v/>
      </c>
      <c r="T117" s="2" t="str">
        <f t="array" ref="T117">_xll.RssIndexMarket("PLATINUM.FUT02.OS", "前年最安値")</f>
        <v/>
      </c>
      <c r="U117" s="2" t="str">
        <f t="array" ref="U117">_xll.RssIndexMarket("PLATINUM.FUT02.OS", "前年終値")</f>
        <v/>
      </c>
      <c r="V117" s="2" t="str">
        <f t="array" ref="V117">_xll.RssIndexMarket("PLATINUM.FUT02.OS", "年初来高値")</f>
        <v/>
      </c>
      <c r="W117" s="2" t="str">
        <f t="array" ref="W117">_xll.RssIndexMarket("PLATINUM.FUT02.OS", "年初来安値")</f>
        <v/>
      </c>
      <c r="X117" s="2" t="str">
        <f t="array" ref="X117">_xll.RssIndexMarket("PLATINUM.FUT02.OS", "上場来高値")</f>
        <v/>
      </c>
      <c r="Y117" s="2" t="str">
        <f t="array" ref="Y117">_xll.RssIndexMarket("PLATINUM.FUT02.OS", "上場来安値")</f>
        <v/>
      </c>
      <c r="Z117" s="1" t="str">
        <f t="array" ref="Z117">_xll.RssIndexMarket("PLATINUM.FUT02.OS", "上場来高値日付")</f>
        <v/>
      </c>
      <c r="AA117" s="1" t="str">
        <f t="array" ref="AA117">_xll.RssIndexMarket("PLATINUM.FUT02.OS", "上場来安値日付")</f>
        <v/>
      </c>
    </row>
    <row r="118" spans="1:27">
      <c r="A118" s="1" t="str">
        <f t="array" ref="A118">_xll.RssIndexMarket("PLATINUM.FUT03.OS", "指標コード")</f>
        <v/>
      </c>
      <c r="B118" s="1" t="str">
        <f t="array" ref="B118">_xll.RssIndexMarket("PLATINUM.FUT03.OS", "指標名称")</f>
        <v/>
      </c>
      <c r="C118" s="1" t="str">
        <f t="array" ref="C118">_xll.RssIndexMarket("PLATINUM.FUT03.OS", "現在日付")</f>
        <v>2026/02/28</v>
      </c>
      <c r="D118" s="1" t="str">
        <f t="array" ref="D118">_xll.RssIndexMarket("PLATINUM.FUT03.OS", "更新時刻")</f>
        <v/>
      </c>
      <c r="E118" s="2">
        <f t="array" ref="E118">_xll.RssIndexMarket("PLATINUM.FUT03.OS", "現在値")</f>
        <v>11524</v>
      </c>
      <c r="F118" s="1" t="str">
        <f t="array" ref="F118">_xll.RssIndexMarket("PLATINUM.FUT03.OS", "現在値ティック")</f>
        <v>↑</v>
      </c>
      <c r="G118" s="2">
        <f t="array" ref="G118">_xll.RssIndexMarket("PLATINUM.FUT03.OS", "前日比")</f>
        <v>-130</v>
      </c>
      <c r="H118" s="2">
        <f t="array" ref="H118">_xll.RssIndexMarket("PLATINUM.FUT03.OS", "前日比率")</f>
        <v>-1.1200000000000001</v>
      </c>
      <c r="I118" s="2">
        <f t="array" ref="I118">_xll.RssIndexMarket("PLATINUM.FUT03.OS", "前日終値")</f>
        <v>11654</v>
      </c>
      <c r="J118" s="1" t="str">
        <f t="array" ref="J118">_xll.RssIndexMarket("PLATINUM.FUT03.OS", "前日日付")</f>
        <v>2026/02/27</v>
      </c>
      <c r="K118" s="2">
        <f t="array" ref="K118">_xll.RssIndexMarket("PLATINUM.FUT03.OS", "始値")</f>
        <v>11424</v>
      </c>
      <c r="L118" s="2">
        <f t="array" ref="L118">_xll.RssIndexMarket("PLATINUM.FUT03.OS", "高値")</f>
        <v>11524</v>
      </c>
      <c r="M118" s="2">
        <f t="array" ref="M118">_xll.RssIndexMarket("PLATINUM.FUT03.OS", "安値")</f>
        <v>11424</v>
      </c>
      <c r="N118" s="1" t="str">
        <f t="array" ref="N118">_xll.RssIndexMarket("PLATINUM.FUT03.OS", "始値時刻")</f>
        <v>19:09</v>
      </c>
      <c r="O118" s="1" t="str">
        <f t="array" ref="O118">_xll.RssIndexMarket("PLATINUM.FUT03.OS", "高値時刻")</f>
        <v>00:57</v>
      </c>
      <c r="P118" s="1" t="str">
        <f t="array" ref="P118">_xll.RssIndexMarket("PLATINUM.FUT03.OS", "安値時刻")</f>
        <v>19:09</v>
      </c>
      <c r="Q118" s="2">
        <f t="array" ref="Q118">_xll.RssIndexMarket("PLATINUM.FUT03.OS", "出来高")</f>
        <v>2</v>
      </c>
      <c r="R118" s="2">
        <f t="array" ref="R118">_xll.RssIndexMarket("PLATINUM.FUT03.OS", "売買代金")</f>
        <v>11474</v>
      </c>
      <c r="S118" s="2" t="str">
        <f t="array" ref="S118">_xll.RssIndexMarket("PLATINUM.FUT03.OS", "前年最高値")</f>
        <v/>
      </c>
      <c r="T118" s="2" t="str">
        <f t="array" ref="T118">_xll.RssIndexMarket("PLATINUM.FUT03.OS", "前年最安値")</f>
        <v/>
      </c>
      <c r="U118" s="2" t="str">
        <f t="array" ref="U118">_xll.RssIndexMarket("PLATINUM.FUT03.OS", "前年終値")</f>
        <v/>
      </c>
      <c r="V118" s="2" t="str">
        <f t="array" ref="V118">_xll.RssIndexMarket("PLATINUM.FUT03.OS", "年初来高値")</f>
        <v/>
      </c>
      <c r="W118" s="2" t="str">
        <f t="array" ref="W118">_xll.RssIndexMarket("PLATINUM.FUT03.OS", "年初来安値")</f>
        <v/>
      </c>
      <c r="X118" s="2" t="str">
        <f t="array" ref="X118">_xll.RssIndexMarket("PLATINUM.FUT03.OS", "上場来高値")</f>
        <v/>
      </c>
      <c r="Y118" s="2" t="str">
        <f t="array" ref="Y118">_xll.RssIndexMarket("PLATINUM.FUT03.OS", "上場来安値")</f>
        <v/>
      </c>
      <c r="Z118" s="1" t="str">
        <f t="array" ref="Z118">_xll.RssIndexMarket("PLATINUM.FUT03.OS", "上場来高値日付")</f>
        <v/>
      </c>
      <c r="AA118" s="1" t="str">
        <f t="array" ref="AA118">_xll.RssIndexMarket("PLATINUM.FUT03.OS", "上場来安値日付")</f>
        <v/>
      </c>
    </row>
    <row r="119" spans="1:27">
      <c r="A119" s="1" t="str">
        <f t="array" ref="A119">_xll.RssIndexMarket("PLATINUM.FUT04.OS", "指標コード")</f>
        <v/>
      </c>
      <c r="B119" s="1" t="str">
        <f t="array" ref="B119">_xll.RssIndexMarket("PLATINUM.FUT04.OS", "指標名称")</f>
        <v/>
      </c>
      <c r="C119" s="1" t="str">
        <f t="array" ref="C119">_xll.RssIndexMarket("PLATINUM.FUT04.OS", "現在日付")</f>
        <v>2026/02/28</v>
      </c>
      <c r="D119" s="1" t="str">
        <f t="array" ref="D119">_xll.RssIndexMarket("PLATINUM.FUT04.OS", "更新時刻")</f>
        <v/>
      </c>
      <c r="E119" s="2">
        <f t="array" ref="E119">_xll.RssIndexMarket("PLATINUM.FUT04.OS", "現在値")</f>
        <v>11530</v>
      </c>
      <c r="F119" s="1" t="str">
        <f t="array" ref="F119">_xll.RssIndexMarket("PLATINUM.FUT04.OS", "現在値ティック")</f>
        <v>↓</v>
      </c>
      <c r="G119" s="2">
        <f t="array" ref="G119">_xll.RssIndexMarket("PLATINUM.FUT04.OS", "前日比")</f>
        <v>-177</v>
      </c>
      <c r="H119" s="2">
        <f t="array" ref="H119">_xll.RssIndexMarket("PLATINUM.FUT04.OS", "前日比率")</f>
        <v>-1.51</v>
      </c>
      <c r="I119" s="2">
        <f t="array" ref="I119">_xll.RssIndexMarket("PLATINUM.FUT04.OS", "前日終値")</f>
        <v>11707</v>
      </c>
      <c r="J119" s="1" t="str">
        <f t="array" ref="J119">_xll.RssIndexMarket("PLATINUM.FUT04.OS", "前日日付")</f>
        <v>2026/02/27</v>
      </c>
      <c r="K119" s="2">
        <f t="array" ref="K119">_xll.RssIndexMarket("PLATINUM.FUT04.OS", "始値")</f>
        <v>11672</v>
      </c>
      <c r="L119" s="2">
        <f t="array" ref="L119">_xll.RssIndexMarket("PLATINUM.FUT04.OS", "高値")</f>
        <v>11672</v>
      </c>
      <c r="M119" s="2">
        <f t="array" ref="M119">_xll.RssIndexMarket("PLATINUM.FUT04.OS", "安値")</f>
        <v>11530</v>
      </c>
      <c r="N119" s="1" t="str">
        <f t="array" ref="N119">_xll.RssIndexMarket("PLATINUM.FUT04.OS", "始値時刻")</f>
        <v>17:05</v>
      </c>
      <c r="O119" s="1" t="str">
        <f t="array" ref="O119">_xll.RssIndexMarket("PLATINUM.FUT04.OS", "高値時刻")</f>
        <v>17:05</v>
      </c>
      <c r="P119" s="1" t="str">
        <f t="array" ref="P119">_xll.RssIndexMarket("PLATINUM.FUT04.OS", "安値時刻")</f>
        <v>18:01</v>
      </c>
      <c r="Q119" s="2">
        <f t="array" ref="Q119">_xll.RssIndexMarket("PLATINUM.FUT04.OS", "出来高")</f>
        <v>5</v>
      </c>
      <c r="R119" s="2">
        <f t="array" ref="R119">_xll.RssIndexMarket("PLATINUM.FUT04.OS", "売買代金")</f>
        <v>28901</v>
      </c>
      <c r="S119" s="2" t="str">
        <f t="array" ref="S119">_xll.RssIndexMarket("PLATINUM.FUT04.OS", "前年最高値")</f>
        <v/>
      </c>
      <c r="T119" s="2" t="str">
        <f t="array" ref="T119">_xll.RssIndexMarket("PLATINUM.FUT04.OS", "前年最安値")</f>
        <v/>
      </c>
      <c r="U119" s="2" t="str">
        <f t="array" ref="U119">_xll.RssIndexMarket("PLATINUM.FUT04.OS", "前年終値")</f>
        <v/>
      </c>
      <c r="V119" s="2" t="str">
        <f t="array" ref="V119">_xll.RssIndexMarket("PLATINUM.FUT04.OS", "年初来高値")</f>
        <v/>
      </c>
      <c r="W119" s="2" t="str">
        <f t="array" ref="W119">_xll.RssIndexMarket("PLATINUM.FUT04.OS", "年初来安値")</f>
        <v/>
      </c>
      <c r="X119" s="2" t="str">
        <f t="array" ref="X119">_xll.RssIndexMarket("PLATINUM.FUT04.OS", "上場来高値")</f>
        <v/>
      </c>
      <c r="Y119" s="2" t="str">
        <f t="array" ref="Y119">_xll.RssIndexMarket("PLATINUM.FUT04.OS", "上場来安値")</f>
        <v/>
      </c>
      <c r="Z119" s="1" t="str">
        <f t="array" ref="Z119">_xll.RssIndexMarket("PLATINUM.FUT04.OS", "上場来高値日付")</f>
        <v/>
      </c>
      <c r="AA119" s="1" t="str">
        <f t="array" ref="AA119">_xll.RssIndexMarket("PLATINUM.FUT04.OS", "上場来安値日付")</f>
        <v/>
      </c>
    </row>
    <row r="120" spans="1:27">
      <c r="A120" s="1" t="str">
        <f t="array" ref="A120">_xll.RssIndexMarket("PLATINUM.FUT05.OS", "指標コード")</f>
        <v/>
      </c>
      <c r="B120" s="1" t="str">
        <f t="array" ref="B120">_xll.RssIndexMarket("PLATINUM.FUT05.OS", "指標名称")</f>
        <v/>
      </c>
      <c r="C120" s="1" t="str">
        <f t="array" ref="C120">_xll.RssIndexMarket("PLATINUM.FUT05.OS", "現在日付")</f>
        <v>2026/02/28</v>
      </c>
      <c r="D120" s="1" t="str">
        <f t="array" ref="D120">_xll.RssIndexMarket("PLATINUM.FUT05.OS", "更新時刻")</f>
        <v/>
      </c>
      <c r="E120" s="2">
        <f t="array" ref="E120">_xll.RssIndexMarket("PLATINUM.FUT05.OS", "現在値")</f>
        <v>11597</v>
      </c>
      <c r="F120" s="1" t="str">
        <f t="array" ref="F120">_xll.RssIndexMarket("PLATINUM.FUT05.OS", "現在値ティック")</f>
        <v>↓</v>
      </c>
      <c r="G120" s="2">
        <f t="array" ref="G120">_xll.RssIndexMarket("PLATINUM.FUT05.OS", "前日比")</f>
        <v>-178</v>
      </c>
      <c r="H120" s="2">
        <f t="array" ref="H120">_xll.RssIndexMarket("PLATINUM.FUT05.OS", "前日比率")</f>
        <v>-1.51</v>
      </c>
      <c r="I120" s="2">
        <f t="array" ref="I120">_xll.RssIndexMarket("PLATINUM.FUT05.OS", "前日終値")</f>
        <v>11775</v>
      </c>
      <c r="J120" s="1" t="str">
        <f t="array" ref="J120">_xll.RssIndexMarket("PLATINUM.FUT05.OS", "前日日付")</f>
        <v>2026/02/27</v>
      </c>
      <c r="K120" s="2">
        <f t="array" ref="K120">_xll.RssIndexMarket("PLATINUM.FUT05.OS", "始値")</f>
        <v>11668</v>
      </c>
      <c r="L120" s="2">
        <f t="array" ref="L120">_xll.RssIndexMarket("PLATINUM.FUT05.OS", "高値")</f>
        <v>11732</v>
      </c>
      <c r="M120" s="2">
        <f t="array" ref="M120">_xll.RssIndexMarket("PLATINUM.FUT05.OS", "安値")</f>
        <v>11483</v>
      </c>
      <c r="N120" s="1" t="str">
        <f t="array" ref="N120">_xll.RssIndexMarket("PLATINUM.FUT05.OS", "始値時刻")</f>
        <v>17:00</v>
      </c>
      <c r="O120" s="1" t="str">
        <f t="array" ref="O120">_xll.RssIndexMarket("PLATINUM.FUT05.OS", "高値時刻")</f>
        <v>17:04</v>
      </c>
      <c r="P120" s="1" t="str">
        <f t="array" ref="P120">_xll.RssIndexMarket("PLATINUM.FUT05.OS", "安値時刻")</f>
        <v>19:12</v>
      </c>
      <c r="Q120" s="2">
        <f t="array" ref="Q120">_xll.RssIndexMarket("PLATINUM.FUT05.OS", "出来高")</f>
        <v>947</v>
      </c>
      <c r="R120" s="2">
        <f t="array" ref="R120">_xll.RssIndexMarket("PLATINUM.FUT05.OS", "売買代金")</f>
        <v>5491299</v>
      </c>
      <c r="S120" s="2" t="str">
        <f t="array" ref="S120">_xll.RssIndexMarket("PLATINUM.FUT05.OS", "前年最高値")</f>
        <v/>
      </c>
      <c r="T120" s="2" t="str">
        <f t="array" ref="T120">_xll.RssIndexMarket("PLATINUM.FUT05.OS", "前年最安値")</f>
        <v/>
      </c>
      <c r="U120" s="2" t="str">
        <f t="array" ref="U120">_xll.RssIndexMarket("PLATINUM.FUT05.OS", "前年終値")</f>
        <v/>
      </c>
      <c r="V120" s="2" t="str">
        <f t="array" ref="V120">_xll.RssIndexMarket("PLATINUM.FUT05.OS", "年初来高値")</f>
        <v/>
      </c>
      <c r="W120" s="2" t="str">
        <f t="array" ref="W120">_xll.RssIndexMarket("PLATINUM.FUT05.OS", "年初来安値")</f>
        <v/>
      </c>
      <c r="X120" s="2" t="str">
        <f t="array" ref="X120">_xll.RssIndexMarket("PLATINUM.FUT05.OS", "上場来高値")</f>
        <v/>
      </c>
      <c r="Y120" s="2" t="str">
        <f t="array" ref="Y120">_xll.RssIndexMarket("PLATINUM.FUT05.OS", "上場来安値")</f>
        <v/>
      </c>
      <c r="Z120" s="1" t="str">
        <f t="array" ref="Z120">_xll.RssIndexMarket("PLATINUM.FUT05.OS", "上場来高値日付")</f>
        <v/>
      </c>
      <c r="AA120" s="1" t="str">
        <f t="array" ref="AA120">_xll.RssIndexMarket("PLATINUM.FUT05.OS", "上場来安値日付")</f>
        <v/>
      </c>
    </row>
    <row r="121" spans="1:27">
      <c r="A121" s="1" t="str">
        <f t="array" ref="A121">_xll.RssIndexMarket("PLATINUM.FUT06.OS", "指標コード")</f>
        <v/>
      </c>
      <c r="B121" s="1" t="str">
        <f t="array" ref="B121">_xll.RssIndexMarket("PLATINUM.FUT06.OS", "指標名称")</f>
        <v/>
      </c>
      <c r="C121" s="1" t="str">
        <f t="array" ref="C121">_xll.RssIndexMarket("PLATINUM.FUT06.OS", "現在日付")</f>
        <v>2026/02/28</v>
      </c>
      <c r="D121" s="1" t="str">
        <f t="array" ref="D121">_xll.RssIndexMarket("PLATINUM.FUT06.OS", "更新時刻")</f>
        <v/>
      </c>
      <c r="E121" s="2">
        <f t="array" ref="E121">_xll.RssIndexMarket("PLATINUM.FUT06.OS", "現在値")</f>
        <v>11678</v>
      </c>
      <c r="F121" s="1" t="str">
        <f t="array" ref="F121">_xll.RssIndexMarket("PLATINUM.FUT06.OS", "現在値ティック")</f>
        <v>↑</v>
      </c>
      <c r="G121" s="2">
        <f t="array" ref="G121">_xll.RssIndexMarket("PLATINUM.FUT06.OS", "前日比")</f>
        <v>-122</v>
      </c>
      <c r="H121" s="2">
        <f t="array" ref="H121">_xll.RssIndexMarket("PLATINUM.FUT06.OS", "前日比率")</f>
        <v>-1.03</v>
      </c>
      <c r="I121" s="2">
        <f t="array" ref="I121">_xll.RssIndexMarket("PLATINUM.FUT06.OS", "前日終値")</f>
        <v>11800</v>
      </c>
      <c r="J121" s="1" t="str">
        <f t="array" ref="J121">_xll.RssIndexMarket("PLATINUM.FUT06.OS", "前日日付")</f>
        <v>2026/02/27</v>
      </c>
      <c r="K121" s="2">
        <f t="array" ref="K121">_xll.RssIndexMarket("PLATINUM.FUT06.OS", "始値")</f>
        <v>11720</v>
      </c>
      <c r="L121" s="2">
        <f t="array" ref="L121">_xll.RssIndexMarket("PLATINUM.FUT06.OS", "高値")</f>
        <v>11786</v>
      </c>
      <c r="M121" s="2">
        <f t="array" ref="M121">_xll.RssIndexMarket("PLATINUM.FUT06.OS", "安値")</f>
        <v>11527</v>
      </c>
      <c r="N121" s="1" t="str">
        <f t="array" ref="N121">_xll.RssIndexMarket("PLATINUM.FUT06.OS", "始値時刻")</f>
        <v>17:00</v>
      </c>
      <c r="O121" s="1" t="str">
        <f t="array" ref="O121">_xll.RssIndexMarket("PLATINUM.FUT06.OS", "高値時刻")</f>
        <v>22:26</v>
      </c>
      <c r="P121" s="1" t="str">
        <f t="array" ref="P121">_xll.RssIndexMarket("PLATINUM.FUT06.OS", "安値時刻")</f>
        <v>19:12</v>
      </c>
      <c r="Q121" s="2">
        <f t="array" ref="Q121">_xll.RssIndexMarket("PLATINUM.FUT06.OS", "出来高")</f>
        <v>1234</v>
      </c>
      <c r="R121" s="2">
        <f t="array" ref="R121">_xll.RssIndexMarket("PLATINUM.FUT06.OS", "売買代金")</f>
        <v>7177392</v>
      </c>
      <c r="S121" s="2" t="str">
        <f t="array" ref="S121">_xll.RssIndexMarket("PLATINUM.FUT06.OS", "前年最高値")</f>
        <v/>
      </c>
      <c r="T121" s="2" t="str">
        <f t="array" ref="T121">_xll.RssIndexMarket("PLATINUM.FUT06.OS", "前年最安値")</f>
        <v/>
      </c>
      <c r="U121" s="2" t="str">
        <f t="array" ref="U121">_xll.RssIndexMarket("PLATINUM.FUT06.OS", "前年終値")</f>
        <v/>
      </c>
      <c r="V121" s="2" t="str">
        <f t="array" ref="V121">_xll.RssIndexMarket("PLATINUM.FUT06.OS", "年初来高値")</f>
        <v/>
      </c>
      <c r="W121" s="2" t="str">
        <f t="array" ref="W121">_xll.RssIndexMarket("PLATINUM.FUT06.OS", "年初来安値")</f>
        <v/>
      </c>
      <c r="X121" s="2" t="str">
        <f t="array" ref="X121">_xll.RssIndexMarket("PLATINUM.FUT06.OS", "上場来高値")</f>
        <v/>
      </c>
      <c r="Y121" s="2" t="str">
        <f t="array" ref="Y121">_xll.RssIndexMarket("PLATINUM.FUT06.OS", "上場来安値")</f>
        <v/>
      </c>
      <c r="Z121" s="1" t="str">
        <f t="array" ref="Z121">_xll.RssIndexMarket("PLATINUM.FUT06.OS", "上場来高値日付")</f>
        <v/>
      </c>
      <c r="AA121" s="1" t="str">
        <f t="array" ref="AA121">_xll.RssIndexMarket("PLATINUM.FUT06.OS", "上場来安値日付")</f>
        <v/>
      </c>
    </row>
    <row r="122" spans="1:27">
      <c r="A122" s="1" t="str">
        <f t="array" ref="A122">_xll.RssIndexMarket("PLATINUMMINI.FUT01.OS", "指標コード")</f>
        <v/>
      </c>
      <c r="B122" s="1" t="str">
        <f t="array" ref="B122">_xll.RssIndexMarket("PLATINUMMINI.FUT01.OS", "指標名称")</f>
        <v/>
      </c>
      <c r="C122" s="1" t="str">
        <f t="array" ref="C122">_xll.RssIndexMarket("PLATINUMMINI.FUT01.OS", "現在日付")</f>
        <v>2026/02/26</v>
      </c>
      <c r="D122" s="1" t="str">
        <f t="array" ref="D122">_xll.RssIndexMarket("PLATINUMMINI.FUT01.OS", "更新時刻")</f>
        <v/>
      </c>
      <c r="E122" s="2">
        <f t="array" ref="E122">_xll.RssIndexMarket("PLATINUMMINI.FUT01.OS", "現在値")</f>
        <v>0</v>
      </c>
      <c r="F122" s="1" t="str">
        <f t="array" ref="F122">_xll.RssIndexMarket("PLATINUMMINI.FUT01.OS", "現在値ティック")</f>
        <v/>
      </c>
      <c r="G122" s="2">
        <f t="array" ref="G122">_xll.RssIndexMarket("PLATINUMMINI.FUT01.OS", "前日比")</f>
        <v>0</v>
      </c>
      <c r="H122" s="2">
        <f t="array" ref="H122">_xll.RssIndexMarket("PLATINUMMINI.FUT01.OS", "前日比率")</f>
        <v>0</v>
      </c>
      <c r="I122" s="2">
        <f t="array" ref="I122">_xll.RssIndexMarket("PLATINUMMINI.FUT01.OS", "前日終値")</f>
        <v>11217.5</v>
      </c>
      <c r="J122" s="1" t="str">
        <f t="array" ref="J122">_xll.RssIndexMarket("PLATINUMMINI.FUT01.OS", "前日日付")</f>
        <v>2026/02/26</v>
      </c>
      <c r="K122" s="2">
        <f t="array" ref="K122">_xll.RssIndexMarket("PLATINUMMINI.FUT01.OS", "始値")</f>
        <v>0</v>
      </c>
      <c r="L122" s="2">
        <f t="array" ref="L122">_xll.RssIndexMarket("PLATINUMMINI.FUT01.OS", "高値")</f>
        <v>0</v>
      </c>
      <c r="M122" s="2">
        <f t="array" ref="M122">_xll.RssIndexMarket("PLATINUMMINI.FUT01.OS", "安値")</f>
        <v>0</v>
      </c>
      <c r="N122" s="1" t="str">
        <f t="array" ref="N122">_xll.RssIndexMarket("PLATINUMMINI.FUT01.OS", "始値時刻")</f>
        <v xml:space="preserve">  :  </v>
      </c>
      <c r="O122" s="1" t="str">
        <f t="array" ref="O122">_xll.RssIndexMarket("PLATINUMMINI.FUT01.OS", "高値時刻")</f>
        <v xml:space="preserve">  :  </v>
      </c>
      <c r="P122" s="1" t="str">
        <f t="array" ref="P122">_xll.RssIndexMarket("PLATINUMMINI.FUT01.OS", "安値時刻")</f>
        <v xml:space="preserve">  :  </v>
      </c>
      <c r="Q122" s="2">
        <f t="array" ref="Q122">_xll.RssIndexMarket("PLATINUMMINI.FUT01.OS", "出来高")</f>
        <v>0</v>
      </c>
      <c r="R122" s="2">
        <f t="array" ref="R122">_xll.RssIndexMarket("PLATINUMMINI.FUT01.OS", "売買代金")</f>
        <v>0</v>
      </c>
      <c r="S122" s="2" t="str">
        <f t="array" ref="S122">_xll.RssIndexMarket("PLATINUMMINI.FUT01.OS", "前年最高値")</f>
        <v/>
      </c>
      <c r="T122" s="2" t="str">
        <f t="array" ref="T122">_xll.RssIndexMarket("PLATINUMMINI.FUT01.OS", "前年最安値")</f>
        <v/>
      </c>
      <c r="U122" s="2" t="str">
        <f t="array" ref="U122">_xll.RssIndexMarket("PLATINUMMINI.FUT01.OS", "前年終値")</f>
        <v/>
      </c>
      <c r="V122" s="2" t="str">
        <f t="array" ref="V122">_xll.RssIndexMarket("PLATINUMMINI.FUT01.OS", "年初来高値")</f>
        <v/>
      </c>
      <c r="W122" s="2" t="str">
        <f t="array" ref="W122">_xll.RssIndexMarket("PLATINUMMINI.FUT01.OS", "年初来安値")</f>
        <v/>
      </c>
      <c r="X122" s="2" t="str">
        <f t="array" ref="X122">_xll.RssIndexMarket("PLATINUMMINI.FUT01.OS", "上場来高値")</f>
        <v/>
      </c>
      <c r="Y122" s="2" t="str">
        <f t="array" ref="Y122">_xll.RssIndexMarket("PLATINUMMINI.FUT01.OS", "上場来安値")</f>
        <v/>
      </c>
      <c r="Z122" s="1" t="str">
        <f t="array" ref="Z122">_xll.RssIndexMarket("PLATINUMMINI.FUT01.OS", "上場来高値日付")</f>
        <v/>
      </c>
      <c r="AA122" s="1" t="str">
        <f t="array" ref="AA122">_xll.RssIndexMarket("PLATINUMMINI.FUT01.OS", "上場来安値日付")</f>
        <v/>
      </c>
    </row>
    <row r="123" spans="1:27">
      <c r="A123" s="1" t="str">
        <f t="array" ref="A123">_xll.RssIndexMarket("PLATINUMMINI.FUT02.OS", "指標コード")</f>
        <v/>
      </c>
      <c r="B123" s="1" t="str">
        <f t="array" ref="B123">_xll.RssIndexMarket("PLATINUMMINI.FUT02.OS", "指標名称")</f>
        <v/>
      </c>
      <c r="C123" s="1" t="str">
        <f t="array" ref="C123">_xll.RssIndexMarket("PLATINUMMINI.FUT02.OS", "現在日付")</f>
        <v>2026/02/27</v>
      </c>
      <c r="D123" s="1" t="str">
        <f t="array" ref="D123">_xll.RssIndexMarket("PLATINUMMINI.FUT02.OS", "更新時刻")</f>
        <v/>
      </c>
      <c r="E123" s="2">
        <f t="array" ref="E123">_xll.RssIndexMarket("PLATINUMMINI.FUT02.OS", "現在値")</f>
        <v>0</v>
      </c>
      <c r="F123" s="1" t="str">
        <f t="array" ref="F123">_xll.RssIndexMarket("PLATINUMMINI.FUT02.OS", "現在値ティック")</f>
        <v/>
      </c>
      <c r="G123" s="2">
        <f t="array" ref="G123">_xll.RssIndexMarket("PLATINUMMINI.FUT02.OS", "前日比")</f>
        <v>0</v>
      </c>
      <c r="H123" s="2">
        <f t="array" ref="H123">_xll.RssIndexMarket("PLATINUMMINI.FUT02.OS", "前日比率")</f>
        <v>0</v>
      </c>
      <c r="I123" s="2">
        <f t="array" ref="I123">_xll.RssIndexMarket("PLATINUMMINI.FUT02.OS", "前日終値")</f>
        <v>11380.5</v>
      </c>
      <c r="J123" s="1" t="str">
        <f t="array" ref="J123">_xll.RssIndexMarket("PLATINUMMINI.FUT02.OS", "前日日付")</f>
        <v>2026/02/27</v>
      </c>
      <c r="K123" s="2">
        <f t="array" ref="K123">_xll.RssIndexMarket("PLATINUMMINI.FUT02.OS", "始値")</f>
        <v>0</v>
      </c>
      <c r="L123" s="2">
        <f t="array" ref="L123">_xll.RssIndexMarket("PLATINUMMINI.FUT02.OS", "高値")</f>
        <v>0</v>
      </c>
      <c r="M123" s="2">
        <f t="array" ref="M123">_xll.RssIndexMarket("PLATINUMMINI.FUT02.OS", "安値")</f>
        <v>0</v>
      </c>
      <c r="N123" s="1" t="str">
        <f t="array" ref="N123">_xll.RssIndexMarket("PLATINUMMINI.FUT02.OS", "始値時刻")</f>
        <v xml:space="preserve">  :  </v>
      </c>
      <c r="O123" s="1" t="str">
        <f t="array" ref="O123">_xll.RssIndexMarket("PLATINUMMINI.FUT02.OS", "高値時刻")</f>
        <v xml:space="preserve">  :  </v>
      </c>
      <c r="P123" s="1" t="str">
        <f t="array" ref="P123">_xll.RssIndexMarket("PLATINUMMINI.FUT02.OS", "安値時刻")</f>
        <v xml:space="preserve">  :  </v>
      </c>
      <c r="Q123" s="2">
        <f t="array" ref="Q123">_xll.RssIndexMarket("PLATINUMMINI.FUT02.OS", "出来高")</f>
        <v>0</v>
      </c>
      <c r="R123" s="2">
        <f t="array" ref="R123">_xll.RssIndexMarket("PLATINUMMINI.FUT02.OS", "売買代金")</f>
        <v>0</v>
      </c>
      <c r="S123" s="2" t="str">
        <f t="array" ref="S123">_xll.RssIndexMarket("PLATINUMMINI.FUT02.OS", "前年最高値")</f>
        <v/>
      </c>
      <c r="T123" s="2" t="str">
        <f t="array" ref="T123">_xll.RssIndexMarket("PLATINUMMINI.FUT02.OS", "前年最安値")</f>
        <v/>
      </c>
      <c r="U123" s="2" t="str">
        <f t="array" ref="U123">_xll.RssIndexMarket("PLATINUMMINI.FUT02.OS", "前年終値")</f>
        <v/>
      </c>
      <c r="V123" s="2" t="str">
        <f t="array" ref="V123">_xll.RssIndexMarket("PLATINUMMINI.FUT02.OS", "年初来高値")</f>
        <v/>
      </c>
      <c r="W123" s="2" t="str">
        <f t="array" ref="W123">_xll.RssIndexMarket("PLATINUMMINI.FUT02.OS", "年初来安値")</f>
        <v/>
      </c>
      <c r="X123" s="2" t="str">
        <f t="array" ref="X123">_xll.RssIndexMarket("PLATINUMMINI.FUT02.OS", "上場来高値")</f>
        <v/>
      </c>
      <c r="Y123" s="2" t="str">
        <f t="array" ref="Y123">_xll.RssIndexMarket("PLATINUMMINI.FUT02.OS", "上場来安値")</f>
        <v/>
      </c>
      <c r="Z123" s="1" t="str">
        <f t="array" ref="Z123">_xll.RssIndexMarket("PLATINUMMINI.FUT02.OS", "上場来高値日付")</f>
        <v/>
      </c>
      <c r="AA123" s="1" t="str">
        <f t="array" ref="AA123">_xll.RssIndexMarket("PLATINUMMINI.FUT02.OS", "上場来安値日付")</f>
        <v/>
      </c>
    </row>
    <row r="124" spans="1:27">
      <c r="A124" s="1" t="str">
        <f t="array" ref="A124">_xll.RssIndexMarket("PLATINUMMINI.FUT03.OS", "指標コード")</f>
        <v/>
      </c>
      <c r="B124" s="1" t="str">
        <f t="array" ref="B124">_xll.RssIndexMarket("PLATINUMMINI.FUT03.OS", "指標名称")</f>
        <v/>
      </c>
      <c r="C124" s="1" t="str">
        <f t="array" ref="C124">_xll.RssIndexMarket("PLATINUMMINI.FUT03.OS", "現在日付")</f>
        <v>2026/02/27</v>
      </c>
      <c r="D124" s="1" t="str">
        <f t="array" ref="D124">_xll.RssIndexMarket("PLATINUMMINI.FUT03.OS", "更新時刻")</f>
        <v/>
      </c>
      <c r="E124" s="2">
        <f t="array" ref="E124">_xll.RssIndexMarket("PLATINUMMINI.FUT03.OS", "現在値")</f>
        <v>0</v>
      </c>
      <c r="F124" s="1" t="str">
        <f t="array" ref="F124">_xll.RssIndexMarket("PLATINUMMINI.FUT03.OS", "現在値ティック")</f>
        <v/>
      </c>
      <c r="G124" s="2">
        <f t="array" ref="G124">_xll.RssIndexMarket("PLATINUMMINI.FUT03.OS", "前日比")</f>
        <v>0</v>
      </c>
      <c r="H124" s="2">
        <f t="array" ref="H124">_xll.RssIndexMarket("PLATINUMMINI.FUT03.OS", "前日比率")</f>
        <v>0</v>
      </c>
      <c r="I124" s="2">
        <f t="array" ref="I124">_xll.RssIndexMarket("PLATINUMMINI.FUT03.OS", "前日終値")</f>
        <v>11633</v>
      </c>
      <c r="J124" s="1" t="str">
        <f t="array" ref="J124">_xll.RssIndexMarket("PLATINUMMINI.FUT03.OS", "前日日付")</f>
        <v>2026/02/27</v>
      </c>
      <c r="K124" s="2">
        <f t="array" ref="K124">_xll.RssIndexMarket("PLATINUMMINI.FUT03.OS", "始値")</f>
        <v>0</v>
      </c>
      <c r="L124" s="2">
        <f t="array" ref="L124">_xll.RssIndexMarket("PLATINUMMINI.FUT03.OS", "高値")</f>
        <v>0</v>
      </c>
      <c r="M124" s="2">
        <f t="array" ref="M124">_xll.RssIndexMarket("PLATINUMMINI.FUT03.OS", "安値")</f>
        <v>0</v>
      </c>
      <c r="N124" s="1" t="str">
        <f t="array" ref="N124">_xll.RssIndexMarket("PLATINUMMINI.FUT03.OS", "始値時刻")</f>
        <v xml:space="preserve">  :  </v>
      </c>
      <c r="O124" s="1" t="str">
        <f t="array" ref="O124">_xll.RssIndexMarket("PLATINUMMINI.FUT03.OS", "高値時刻")</f>
        <v xml:space="preserve">  :  </v>
      </c>
      <c r="P124" s="1" t="str">
        <f t="array" ref="P124">_xll.RssIndexMarket("PLATINUMMINI.FUT03.OS", "安値時刻")</f>
        <v xml:space="preserve">  :  </v>
      </c>
      <c r="Q124" s="2">
        <f t="array" ref="Q124">_xll.RssIndexMarket("PLATINUMMINI.FUT03.OS", "出来高")</f>
        <v>0</v>
      </c>
      <c r="R124" s="2">
        <f t="array" ref="R124">_xll.RssIndexMarket("PLATINUMMINI.FUT03.OS", "売買代金")</f>
        <v>0</v>
      </c>
      <c r="S124" s="2" t="str">
        <f t="array" ref="S124">_xll.RssIndexMarket("PLATINUMMINI.FUT03.OS", "前年最高値")</f>
        <v/>
      </c>
      <c r="T124" s="2" t="str">
        <f t="array" ref="T124">_xll.RssIndexMarket("PLATINUMMINI.FUT03.OS", "前年最安値")</f>
        <v/>
      </c>
      <c r="U124" s="2" t="str">
        <f t="array" ref="U124">_xll.RssIndexMarket("PLATINUMMINI.FUT03.OS", "前年終値")</f>
        <v/>
      </c>
      <c r="V124" s="2" t="str">
        <f t="array" ref="V124">_xll.RssIndexMarket("PLATINUMMINI.FUT03.OS", "年初来高値")</f>
        <v/>
      </c>
      <c r="W124" s="2" t="str">
        <f t="array" ref="W124">_xll.RssIndexMarket("PLATINUMMINI.FUT03.OS", "年初来安値")</f>
        <v/>
      </c>
      <c r="X124" s="2" t="str">
        <f t="array" ref="X124">_xll.RssIndexMarket("PLATINUMMINI.FUT03.OS", "上場来高値")</f>
        <v/>
      </c>
      <c r="Y124" s="2" t="str">
        <f t="array" ref="Y124">_xll.RssIndexMarket("PLATINUMMINI.FUT03.OS", "上場来安値")</f>
        <v/>
      </c>
      <c r="Z124" s="1" t="str">
        <f t="array" ref="Z124">_xll.RssIndexMarket("PLATINUMMINI.FUT03.OS", "上場来高値日付")</f>
        <v/>
      </c>
      <c r="AA124" s="1" t="str">
        <f t="array" ref="AA124">_xll.RssIndexMarket("PLATINUMMINI.FUT03.OS", "上場来安値日付")</f>
        <v/>
      </c>
    </row>
    <row r="125" spans="1:27">
      <c r="A125" s="1" t="str">
        <f t="array" ref="A125">_xll.RssIndexMarket("PLATINUMMINI.FUT04.OS", "指標コード")</f>
        <v/>
      </c>
      <c r="B125" s="1" t="str">
        <f t="array" ref="B125">_xll.RssIndexMarket("PLATINUMMINI.FUT04.OS", "指標名称")</f>
        <v/>
      </c>
      <c r="C125" s="1" t="str">
        <f t="array" ref="C125">_xll.RssIndexMarket("PLATINUMMINI.FUT04.OS", "現在日付")</f>
        <v>2026/02/27</v>
      </c>
      <c r="D125" s="1" t="str">
        <f t="array" ref="D125">_xll.RssIndexMarket("PLATINUMMINI.FUT04.OS", "更新時刻")</f>
        <v/>
      </c>
      <c r="E125" s="2">
        <f t="array" ref="E125">_xll.RssIndexMarket("PLATINUMMINI.FUT04.OS", "現在値")</f>
        <v>0</v>
      </c>
      <c r="F125" s="1" t="str">
        <f t="array" ref="F125">_xll.RssIndexMarket("PLATINUMMINI.FUT04.OS", "現在値ティック")</f>
        <v/>
      </c>
      <c r="G125" s="2">
        <f t="array" ref="G125">_xll.RssIndexMarket("PLATINUMMINI.FUT04.OS", "前日比")</f>
        <v>0</v>
      </c>
      <c r="H125" s="2">
        <f t="array" ref="H125">_xll.RssIndexMarket("PLATINUMMINI.FUT04.OS", "前日比率")</f>
        <v>0</v>
      </c>
      <c r="I125" s="2">
        <f t="array" ref="I125">_xll.RssIndexMarket("PLATINUMMINI.FUT04.OS", "前日終値")</f>
        <v>11673</v>
      </c>
      <c r="J125" s="1" t="str">
        <f t="array" ref="J125">_xll.RssIndexMarket("PLATINUMMINI.FUT04.OS", "前日日付")</f>
        <v>2026/02/27</v>
      </c>
      <c r="K125" s="2">
        <f t="array" ref="K125">_xll.RssIndexMarket("PLATINUMMINI.FUT04.OS", "始値")</f>
        <v>0</v>
      </c>
      <c r="L125" s="2">
        <f t="array" ref="L125">_xll.RssIndexMarket("PLATINUMMINI.FUT04.OS", "高値")</f>
        <v>0</v>
      </c>
      <c r="M125" s="2">
        <f t="array" ref="M125">_xll.RssIndexMarket("PLATINUMMINI.FUT04.OS", "安値")</f>
        <v>0</v>
      </c>
      <c r="N125" s="1" t="str">
        <f t="array" ref="N125">_xll.RssIndexMarket("PLATINUMMINI.FUT04.OS", "始値時刻")</f>
        <v xml:space="preserve">  :  </v>
      </c>
      <c r="O125" s="1" t="str">
        <f t="array" ref="O125">_xll.RssIndexMarket("PLATINUMMINI.FUT04.OS", "高値時刻")</f>
        <v xml:space="preserve">  :  </v>
      </c>
      <c r="P125" s="1" t="str">
        <f t="array" ref="P125">_xll.RssIndexMarket("PLATINUMMINI.FUT04.OS", "安値時刻")</f>
        <v xml:space="preserve">  :  </v>
      </c>
      <c r="Q125" s="2">
        <f t="array" ref="Q125">_xll.RssIndexMarket("PLATINUMMINI.FUT04.OS", "出来高")</f>
        <v>0</v>
      </c>
      <c r="R125" s="2">
        <f t="array" ref="R125">_xll.RssIndexMarket("PLATINUMMINI.FUT04.OS", "売買代金")</f>
        <v>0</v>
      </c>
      <c r="S125" s="2" t="str">
        <f t="array" ref="S125">_xll.RssIndexMarket("PLATINUMMINI.FUT04.OS", "前年最高値")</f>
        <v/>
      </c>
      <c r="T125" s="2" t="str">
        <f t="array" ref="T125">_xll.RssIndexMarket("PLATINUMMINI.FUT04.OS", "前年最安値")</f>
        <v/>
      </c>
      <c r="U125" s="2" t="str">
        <f t="array" ref="U125">_xll.RssIndexMarket("PLATINUMMINI.FUT04.OS", "前年終値")</f>
        <v/>
      </c>
      <c r="V125" s="2" t="str">
        <f t="array" ref="V125">_xll.RssIndexMarket("PLATINUMMINI.FUT04.OS", "年初来高値")</f>
        <v/>
      </c>
      <c r="W125" s="2" t="str">
        <f t="array" ref="W125">_xll.RssIndexMarket("PLATINUMMINI.FUT04.OS", "年初来安値")</f>
        <v/>
      </c>
      <c r="X125" s="2" t="str">
        <f t="array" ref="X125">_xll.RssIndexMarket("PLATINUMMINI.FUT04.OS", "上場来高値")</f>
        <v/>
      </c>
      <c r="Y125" s="2" t="str">
        <f t="array" ref="Y125">_xll.RssIndexMarket("PLATINUMMINI.FUT04.OS", "上場来安値")</f>
        <v/>
      </c>
      <c r="Z125" s="1" t="str">
        <f t="array" ref="Z125">_xll.RssIndexMarket("PLATINUMMINI.FUT04.OS", "上場来高値日付")</f>
        <v/>
      </c>
      <c r="AA125" s="1" t="str">
        <f t="array" ref="AA125">_xll.RssIndexMarket("PLATINUMMINI.FUT04.OS", "上場来安値日付")</f>
        <v/>
      </c>
    </row>
    <row r="126" spans="1:27">
      <c r="A126" s="1" t="str">
        <f t="array" ref="A126">_xll.RssIndexMarket("PLATINUMMINI.FUT05.OS", "指標コード")</f>
        <v/>
      </c>
      <c r="B126" s="1" t="str">
        <f t="array" ref="B126">_xll.RssIndexMarket("PLATINUMMINI.FUT05.OS", "指標名称")</f>
        <v/>
      </c>
      <c r="C126" s="1" t="str">
        <f t="array" ref="C126">_xll.RssIndexMarket("PLATINUMMINI.FUT05.OS", "現在日付")</f>
        <v>2026/02/28</v>
      </c>
      <c r="D126" s="1" t="str">
        <f t="array" ref="D126">_xll.RssIndexMarket("PLATINUMMINI.FUT05.OS", "更新時刻")</f>
        <v/>
      </c>
      <c r="E126" s="2">
        <f t="array" ref="E126">_xll.RssIndexMarket("PLATINUMMINI.FUT05.OS", "現在値")</f>
        <v>11582</v>
      </c>
      <c r="F126" s="1" t="str">
        <f t="array" ref="F126">_xll.RssIndexMarket("PLATINUMMINI.FUT05.OS", "現在値ティック")</f>
        <v>↑</v>
      </c>
      <c r="G126" s="2">
        <f t="array" ref="G126">_xll.RssIndexMarket("PLATINUMMINI.FUT05.OS", "前日比")</f>
        <v>-196</v>
      </c>
      <c r="H126" s="2">
        <f t="array" ref="H126">_xll.RssIndexMarket("PLATINUMMINI.FUT05.OS", "前日比率")</f>
        <v>-1.66</v>
      </c>
      <c r="I126" s="2">
        <f t="array" ref="I126">_xll.RssIndexMarket("PLATINUMMINI.FUT05.OS", "前日終値")</f>
        <v>11778</v>
      </c>
      <c r="J126" s="1" t="str">
        <f t="array" ref="J126">_xll.RssIndexMarket("PLATINUMMINI.FUT05.OS", "前日日付")</f>
        <v>2026/02/27</v>
      </c>
      <c r="K126" s="2">
        <f t="array" ref="K126">_xll.RssIndexMarket("PLATINUMMINI.FUT05.OS", "始値")</f>
        <v>11770</v>
      </c>
      <c r="L126" s="2">
        <f t="array" ref="L126">_xll.RssIndexMarket("PLATINUMMINI.FUT05.OS", "高値")</f>
        <v>11770</v>
      </c>
      <c r="M126" s="2">
        <f t="array" ref="M126">_xll.RssIndexMarket("PLATINUMMINI.FUT05.OS", "安値")</f>
        <v>11506.5</v>
      </c>
      <c r="N126" s="1" t="str">
        <f t="array" ref="N126">_xll.RssIndexMarket("PLATINUMMINI.FUT05.OS", "始値時刻")</f>
        <v>17:02</v>
      </c>
      <c r="O126" s="1" t="str">
        <f t="array" ref="O126">_xll.RssIndexMarket("PLATINUMMINI.FUT05.OS", "高値時刻")</f>
        <v>17:02</v>
      </c>
      <c r="P126" s="1" t="str">
        <f t="array" ref="P126">_xll.RssIndexMarket("PLATINUMMINI.FUT05.OS", "安値時刻")</f>
        <v>23:43</v>
      </c>
      <c r="Q126" s="2">
        <f t="array" ref="Q126">_xll.RssIndexMarket("PLATINUMMINI.FUT05.OS", "出来高")</f>
        <v>267</v>
      </c>
      <c r="R126" s="2">
        <f t="array" ref="R126">_xll.RssIndexMarket("PLATINUMMINI.FUT05.OS", "売買代金")</f>
        <v>310571</v>
      </c>
      <c r="S126" s="2" t="str">
        <f t="array" ref="S126">_xll.RssIndexMarket("PLATINUMMINI.FUT05.OS", "前年最高値")</f>
        <v/>
      </c>
      <c r="T126" s="2" t="str">
        <f t="array" ref="T126">_xll.RssIndexMarket("PLATINUMMINI.FUT05.OS", "前年最安値")</f>
        <v/>
      </c>
      <c r="U126" s="2" t="str">
        <f t="array" ref="U126">_xll.RssIndexMarket("PLATINUMMINI.FUT05.OS", "前年終値")</f>
        <v/>
      </c>
      <c r="V126" s="2" t="str">
        <f t="array" ref="V126">_xll.RssIndexMarket("PLATINUMMINI.FUT05.OS", "年初来高値")</f>
        <v/>
      </c>
      <c r="W126" s="2" t="str">
        <f t="array" ref="W126">_xll.RssIndexMarket("PLATINUMMINI.FUT05.OS", "年初来安値")</f>
        <v/>
      </c>
      <c r="X126" s="2" t="str">
        <f t="array" ref="X126">_xll.RssIndexMarket("PLATINUMMINI.FUT05.OS", "上場来高値")</f>
        <v/>
      </c>
      <c r="Y126" s="2" t="str">
        <f t="array" ref="Y126">_xll.RssIndexMarket("PLATINUMMINI.FUT05.OS", "上場来安値")</f>
        <v/>
      </c>
      <c r="Z126" s="1" t="str">
        <f t="array" ref="Z126">_xll.RssIndexMarket("PLATINUMMINI.FUT05.OS", "上場来高値日付")</f>
        <v/>
      </c>
      <c r="AA126" s="1" t="str">
        <f t="array" ref="AA126">_xll.RssIndexMarket("PLATINUMMINI.FUT05.OS", "上場来安値日付")</f>
        <v/>
      </c>
    </row>
    <row r="127" spans="1:27">
      <c r="A127" s="1" t="str">
        <f t="array" ref="A127">_xll.RssIndexMarket("PLATINUMMINI.FUT06.OS", "指標コード")</f>
        <v/>
      </c>
      <c r="B127" s="1" t="str">
        <f t="array" ref="B127">_xll.RssIndexMarket("PLATINUMMINI.FUT06.OS", "指標名称")</f>
        <v/>
      </c>
      <c r="C127" s="1" t="str">
        <f t="array" ref="C127">_xll.RssIndexMarket("PLATINUMMINI.FUT06.OS", "現在日付")</f>
        <v>2026/02/28</v>
      </c>
      <c r="D127" s="1" t="str">
        <f t="array" ref="D127">_xll.RssIndexMarket("PLATINUMMINI.FUT06.OS", "更新時刻")</f>
        <v/>
      </c>
      <c r="E127" s="2">
        <f t="array" ref="E127">_xll.RssIndexMarket("PLATINUMMINI.FUT06.OS", "現在値")</f>
        <v>11699.5</v>
      </c>
      <c r="F127" s="1" t="str">
        <f t="array" ref="F127">_xll.RssIndexMarket("PLATINUMMINI.FUT06.OS", "現在値ティック")</f>
        <v>↑</v>
      </c>
      <c r="G127" s="2">
        <f t="array" ref="G127">_xll.RssIndexMarket("PLATINUMMINI.FUT06.OS", "前日比")</f>
        <v>-70.5</v>
      </c>
      <c r="H127" s="2">
        <f t="array" ref="H127">_xll.RssIndexMarket("PLATINUMMINI.FUT06.OS", "前日比率")</f>
        <v>-0.6</v>
      </c>
      <c r="I127" s="2">
        <f t="array" ref="I127">_xll.RssIndexMarket("PLATINUMMINI.FUT06.OS", "前日終値")</f>
        <v>11770</v>
      </c>
      <c r="J127" s="1" t="str">
        <f t="array" ref="J127">_xll.RssIndexMarket("PLATINUMMINI.FUT06.OS", "前日日付")</f>
        <v>2026/02/27</v>
      </c>
      <c r="K127" s="2">
        <f t="array" ref="K127">_xll.RssIndexMarket("PLATINUMMINI.FUT06.OS", "始値")</f>
        <v>11701</v>
      </c>
      <c r="L127" s="2">
        <f t="array" ref="L127">_xll.RssIndexMarket("PLATINUMMINI.FUT06.OS", "高値")</f>
        <v>11800</v>
      </c>
      <c r="M127" s="2">
        <f t="array" ref="M127">_xll.RssIndexMarket("PLATINUMMINI.FUT06.OS", "安値")</f>
        <v>11547.5</v>
      </c>
      <c r="N127" s="1" t="str">
        <f t="array" ref="N127">_xll.RssIndexMarket("PLATINUMMINI.FUT06.OS", "始値時刻")</f>
        <v>17:00</v>
      </c>
      <c r="O127" s="1" t="str">
        <f t="array" ref="O127">_xll.RssIndexMarket("PLATINUMMINI.FUT06.OS", "高値時刻")</f>
        <v>22:26</v>
      </c>
      <c r="P127" s="1" t="str">
        <f t="array" ref="P127">_xll.RssIndexMarket("PLATINUMMINI.FUT06.OS", "安値時刻")</f>
        <v>19:16</v>
      </c>
      <c r="Q127" s="2">
        <f t="array" ref="Q127">_xll.RssIndexMarket("PLATINUMMINI.FUT06.OS", "出来高")</f>
        <v>917</v>
      </c>
      <c r="R127" s="2">
        <f t="array" ref="R127">_xll.RssIndexMarket("PLATINUMMINI.FUT06.OS", "売買代金")</f>
        <v>1070985</v>
      </c>
      <c r="S127" s="2" t="str">
        <f t="array" ref="S127">_xll.RssIndexMarket("PLATINUMMINI.FUT06.OS", "前年最高値")</f>
        <v/>
      </c>
      <c r="T127" s="2" t="str">
        <f t="array" ref="T127">_xll.RssIndexMarket("PLATINUMMINI.FUT06.OS", "前年最安値")</f>
        <v/>
      </c>
      <c r="U127" s="2" t="str">
        <f t="array" ref="U127">_xll.RssIndexMarket("PLATINUMMINI.FUT06.OS", "前年終値")</f>
        <v/>
      </c>
      <c r="V127" s="2" t="str">
        <f t="array" ref="V127">_xll.RssIndexMarket("PLATINUMMINI.FUT06.OS", "年初来高値")</f>
        <v/>
      </c>
      <c r="W127" s="2" t="str">
        <f t="array" ref="W127">_xll.RssIndexMarket("PLATINUMMINI.FUT06.OS", "年初来安値")</f>
        <v/>
      </c>
      <c r="X127" s="2" t="str">
        <f t="array" ref="X127">_xll.RssIndexMarket("PLATINUMMINI.FUT06.OS", "上場来高値")</f>
        <v/>
      </c>
      <c r="Y127" s="2" t="str">
        <f t="array" ref="Y127">_xll.RssIndexMarket("PLATINUMMINI.FUT06.OS", "上場来安値")</f>
        <v/>
      </c>
      <c r="Z127" s="1" t="str">
        <f t="array" ref="Z127">_xll.RssIndexMarket("PLATINUMMINI.FUT06.OS", "上場来高値日付")</f>
        <v/>
      </c>
      <c r="AA127" s="1" t="str">
        <f t="array" ref="AA127">_xll.RssIndexMarket("PLATINUMMINI.FUT06.OS", "上場来安値日付")</f>
        <v/>
      </c>
    </row>
    <row r="128" spans="1:27">
      <c r="A128" s="1" t="str">
        <f t="array" ref="A128">_xll.RssIndexMarket("PLATINUM.SPOT.OS", "指標コード")</f>
        <v/>
      </c>
      <c r="B128" s="1" t="str">
        <f t="array" ref="B128">_xll.RssIndexMarket("PLATINUM.SPOT.OS", "指標名称")</f>
        <v/>
      </c>
      <c r="C128" s="1" t="str">
        <f t="array" ref="C128">_xll.RssIndexMarket("PLATINUM.SPOT.OS", "現在日付")</f>
        <v>2026/02/28</v>
      </c>
      <c r="D128" s="1" t="str">
        <f t="array" ref="D128">_xll.RssIndexMarket("PLATINUM.SPOT.OS", "更新時刻")</f>
        <v/>
      </c>
      <c r="E128" s="2">
        <f t="array" ref="E128">_xll.RssIndexMarket("PLATINUM.SPOT.OS", "現在値")</f>
        <v>11755</v>
      </c>
      <c r="F128" s="1" t="str">
        <f t="array" ref="F128">_xll.RssIndexMarket("PLATINUM.SPOT.OS", "現在値ティック")</f>
        <v>↑</v>
      </c>
      <c r="G128" s="2">
        <f t="array" ref="G128">_xll.RssIndexMarket("PLATINUM.SPOT.OS", "前日比")</f>
        <v>-135</v>
      </c>
      <c r="H128" s="2">
        <f t="array" ref="H128">_xll.RssIndexMarket("PLATINUM.SPOT.OS", "前日比率")</f>
        <v>-1.1399999999999999</v>
      </c>
      <c r="I128" s="2">
        <f t="array" ref="I128">_xll.RssIndexMarket("PLATINUM.SPOT.OS", "前日終値")</f>
        <v>11890</v>
      </c>
      <c r="J128" s="1" t="str">
        <f t="array" ref="J128">_xll.RssIndexMarket("PLATINUM.SPOT.OS", "前日日付")</f>
        <v>2026/02/27</v>
      </c>
      <c r="K128" s="2">
        <f t="array" ref="K128">_xll.RssIndexMarket("PLATINUM.SPOT.OS", "始値")</f>
        <v>11900</v>
      </c>
      <c r="L128" s="2">
        <f t="array" ref="L128">_xll.RssIndexMarket("PLATINUM.SPOT.OS", "高値")</f>
        <v>11900</v>
      </c>
      <c r="M128" s="2">
        <f t="array" ref="M128">_xll.RssIndexMarket("PLATINUM.SPOT.OS", "安値")</f>
        <v>11695</v>
      </c>
      <c r="N128" s="1" t="str">
        <f t="array" ref="N128">_xll.RssIndexMarket("PLATINUM.SPOT.OS", "始値時刻")</f>
        <v>17:06</v>
      </c>
      <c r="O128" s="1" t="str">
        <f t="array" ref="O128">_xll.RssIndexMarket("PLATINUM.SPOT.OS", "高値時刻")</f>
        <v>17:06</v>
      </c>
      <c r="P128" s="1" t="str">
        <f t="array" ref="P128">_xll.RssIndexMarket("PLATINUM.SPOT.OS", "安値時刻")</f>
        <v>00:24</v>
      </c>
      <c r="Q128" s="2">
        <f t="array" ref="Q128">_xll.RssIndexMarket("PLATINUM.SPOT.OS", "出来高")</f>
        <v>760</v>
      </c>
      <c r="R128" s="2">
        <f t="array" ref="R128">_xll.RssIndexMarket("PLATINUM.SPOT.OS", "売買代金")</f>
        <v>895481</v>
      </c>
      <c r="S128" s="2" t="str">
        <f t="array" ref="S128">_xll.RssIndexMarket("PLATINUM.SPOT.OS", "前年最高値")</f>
        <v/>
      </c>
      <c r="T128" s="2" t="str">
        <f t="array" ref="T128">_xll.RssIndexMarket("PLATINUM.SPOT.OS", "前年最安値")</f>
        <v/>
      </c>
      <c r="U128" s="2" t="str">
        <f t="array" ref="U128">_xll.RssIndexMarket("PLATINUM.SPOT.OS", "前年終値")</f>
        <v/>
      </c>
      <c r="V128" s="2" t="str">
        <f t="array" ref="V128">_xll.RssIndexMarket("PLATINUM.SPOT.OS", "年初来高値")</f>
        <v/>
      </c>
      <c r="W128" s="2" t="str">
        <f t="array" ref="W128">_xll.RssIndexMarket("PLATINUM.SPOT.OS", "年初来安値")</f>
        <v/>
      </c>
      <c r="X128" s="2" t="str">
        <f t="array" ref="X128">_xll.RssIndexMarket("PLATINUM.SPOT.OS", "上場来高値")</f>
        <v/>
      </c>
      <c r="Y128" s="2" t="str">
        <f t="array" ref="Y128">_xll.RssIndexMarket("PLATINUM.SPOT.OS", "上場来安値")</f>
        <v/>
      </c>
      <c r="Z128" s="1" t="str">
        <f t="array" ref="Z128">_xll.RssIndexMarket("PLATINUM.SPOT.OS", "上場来高値日付")</f>
        <v/>
      </c>
      <c r="AA128" s="1" t="str">
        <f t="array" ref="AA128">_xll.RssIndexMarket("PLATINUM.SPOT.OS", "上場来安値日付")</f>
        <v/>
      </c>
    </row>
    <row r="129" spans="1:27">
      <c r="A129" s="1" t="str">
        <f t="array" ref="A129">_xll.RssIndexMarket("SILVER.FUT01.OS", "指標コード")</f>
        <v/>
      </c>
      <c r="B129" s="1" t="str">
        <f t="array" ref="B129">_xll.RssIndexMarket("SILVER.FUT01.OS", "指標名称")</f>
        <v/>
      </c>
      <c r="C129" s="1" t="str">
        <f t="array" ref="C129">_xll.RssIndexMarket("SILVER.FUT01.OS", "現在日付")</f>
        <v>2026/02/26</v>
      </c>
      <c r="D129" s="1" t="str">
        <f t="array" ref="D129">_xll.RssIndexMarket("SILVER.FUT01.OS", "更新時刻")</f>
        <v/>
      </c>
      <c r="E129" s="2">
        <f t="array" ref="E129">_xll.RssIndexMarket("SILVER.FUT01.OS", "現在値")</f>
        <v>0</v>
      </c>
      <c r="F129" s="1" t="str">
        <f t="array" ref="F129">_xll.RssIndexMarket("SILVER.FUT01.OS", "現在値ティック")</f>
        <v/>
      </c>
      <c r="G129" s="2">
        <f t="array" ref="G129">_xll.RssIndexMarket("SILVER.FUT01.OS", "前日比")</f>
        <v>0</v>
      </c>
      <c r="H129" s="2">
        <f t="array" ref="H129">_xll.RssIndexMarket("SILVER.FUT01.OS", "前日比率")</f>
        <v>0</v>
      </c>
      <c r="I129" s="2">
        <f t="array" ref="I129">_xll.RssIndexMarket("SILVER.FUT01.OS", "前日終値")</f>
        <v>400</v>
      </c>
      <c r="J129" s="1" t="str">
        <f t="array" ref="J129">_xll.RssIndexMarket("SILVER.FUT01.OS", "前日日付")</f>
        <v>2026/02/26</v>
      </c>
      <c r="K129" s="2">
        <f t="array" ref="K129">_xll.RssIndexMarket("SILVER.FUT01.OS", "始値")</f>
        <v>0</v>
      </c>
      <c r="L129" s="2">
        <f t="array" ref="L129">_xll.RssIndexMarket("SILVER.FUT01.OS", "高値")</f>
        <v>0</v>
      </c>
      <c r="M129" s="2">
        <f t="array" ref="M129">_xll.RssIndexMarket("SILVER.FUT01.OS", "安値")</f>
        <v>0</v>
      </c>
      <c r="N129" s="1" t="str">
        <f t="array" ref="N129">_xll.RssIndexMarket("SILVER.FUT01.OS", "始値時刻")</f>
        <v xml:space="preserve">  :  </v>
      </c>
      <c r="O129" s="1" t="str">
        <f t="array" ref="O129">_xll.RssIndexMarket("SILVER.FUT01.OS", "高値時刻")</f>
        <v xml:space="preserve">  :  </v>
      </c>
      <c r="P129" s="1" t="str">
        <f t="array" ref="P129">_xll.RssIndexMarket("SILVER.FUT01.OS", "安値時刻")</f>
        <v xml:space="preserve">  :  </v>
      </c>
      <c r="Q129" s="2">
        <f t="array" ref="Q129">_xll.RssIndexMarket("SILVER.FUT01.OS", "出来高")</f>
        <v>0</v>
      </c>
      <c r="R129" s="2">
        <f t="array" ref="R129">_xll.RssIndexMarket("SILVER.FUT01.OS", "売買代金")</f>
        <v>0</v>
      </c>
      <c r="S129" s="2" t="str">
        <f t="array" ref="S129">_xll.RssIndexMarket("SILVER.FUT01.OS", "前年最高値")</f>
        <v/>
      </c>
      <c r="T129" s="2" t="str">
        <f t="array" ref="T129">_xll.RssIndexMarket("SILVER.FUT01.OS", "前年最安値")</f>
        <v/>
      </c>
      <c r="U129" s="2" t="str">
        <f t="array" ref="U129">_xll.RssIndexMarket("SILVER.FUT01.OS", "前年終値")</f>
        <v/>
      </c>
      <c r="V129" s="2" t="str">
        <f t="array" ref="V129">_xll.RssIndexMarket("SILVER.FUT01.OS", "年初来高値")</f>
        <v/>
      </c>
      <c r="W129" s="2" t="str">
        <f t="array" ref="W129">_xll.RssIndexMarket("SILVER.FUT01.OS", "年初来安値")</f>
        <v/>
      </c>
      <c r="X129" s="2" t="str">
        <f t="array" ref="X129">_xll.RssIndexMarket("SILVER.FUT01.OS", "上場来高値")</f>
        <v/>
      </c>
      <c r="Y129" s="2" t="str">
        <f t="array" ref="Y129">_xll.RssIndexMarket("SILVER.FUT01.OS", "上場来安値")</f>
        <v/>
      </c>
      <c r="Z129" s="1" t="str">
        <f t="array" ref="Z129">_xll.RssIndexMarket("SILVER.FUT01.OS", "上場来高値日付")</f>
        <v/>
      </c>
      <c r="AA129" s="1" t="str">
        <f t="array" ref="AA129">_xll.RssIndexMarket("SILVER.FUT01.OS", "上場来安値日付")</f>
        <v/>
      </c>
    </row>
    <row r="130" spans="1:27">
      <c r="A130" s="1" t="str">
        <f t="array" ref="A130">_xll.RssIndexMarket("SILVER.FUT02.OS", "指標コード")</f>
        <v/>
      </c>
      <c r="B130" s="1" t="str">
        <f t="array" ref="B130">_xll.RssIndexMarket("SILVER.FUT02.OS", "指標名称")</f>
        <v/>
      </c>
      <c r="C130" s="1" t="str">
        <f t="array" ref="C130">_xll.RssIndexMarket("SILVER.FUT02.OS", "現在日付")</f>
        <v>2026/02/27</v>
      </c>
      <c r="D130" s="1" t="str">
        <f t="array" ref="D130">_xll.RssIndexMarket("SILVER.FUT02.OS", "更新時刻")</f>
        <v/>
      </c>
      <c r="E130" s="2">
        <f t="array" ref="E130">_xll.RssIndexMarket("SILVER.FUT02.OS", "現在値")</f>
        <v>0</v>
      </c>
      <c r="F130" s="1" t="str">
        <f t="array" ref="F130">_xll.RssIndexMarket("SILVER.FUT02.OS", "現在値ティック")</f>
        <v/>
      </c>
      <c r="G130" s="2">
        <f t="array" ref="G130">_xll.RssIndexMarket("SILVER.FUT02.OS", "前日比")</f>
        <v>0</v>
      </c>
      <c r="H130" s="2">
        <f t="array" ref="H130">_xll.RssIndexMarket("SILVER.FUT02.OS", "前日比率")</f>
        <v>0</v>
      </c>
      <c r="I130" s="2">
        <f t="array" ref="I130">_xll.RssIndexMarket("SILVER.FUT02.OS", "前日終値")</f>
        <v>410</v>
      </c>
      <c r="J130" s="1" t="str">
        <f t="array" ref="J130">_xll.RssIndexMarket("SILVER.FUT02.OS", "前日日付")</f>
        <v>2026/02/27</v>
      </c>
      <c r="K130" s="2">
        <f t="array" ref="K130">_xll.RssIndexMarket("SILVER.FUT02.OS", "始値")</f>
        <v>0</v>
      </c>
      <c r="L130" s="2">
        <f t="array" ref="L130">_xll.RssIndexMarket("SILVER.FUT02.OS", "高値")</f>
        <v>0</v>
      </c>
      <c r="M130" s="2">
        <f t="array" ref="M130">_xll.RssIndexMarket("SILVER.FUT02.OS", "安値")</f>
        <v>0</v>
      </c>
      <c r="N130" s="1" t="str">
        <f t="array" ref="N130">_xll.RssIndexMarket("SILVER.FUT02.OS", "始値時刻")</f>
        <v xml:space="preserve">  :  </v>
      </c>
      <c r="O130" s="1" t="str">
        <f t="array" ref="O130">_xll.RssIndexMarket("SILVER.FUT02.OS", "高値時刻")</f>
        <v xml:space="preserve">  :  </v>
      </c>
      <c r="P130" s="1" t="str">
        <f t="array" ref="P130">_xll.RssIndexMarket("SILVER.FUT02.OS", "安値時刻")</f>
        <v xml:space="preserve">  :  </v>
      </c>
      <c r="Q130" s="2">
        <f t="array" ref="Q130">_xll.RssIndexMarket("SILVER.FUT02.OS", "出来高")</f>
        <v>0</v>
      </c>
      <c r="R130" s="2">
        <f t="array" ref="R130">_xll.RssIndexMarket("SILVER.FUT02.OS", "売買代金")</f>
        <v>0</v>
      </c>
      <c r="S130" s="2" t="str">
        <f t="array" ref="S130">_xll.RssIndexMarket("SILVER.FUT02.OS", "前年最高値")</f>
        <v/>
      </c>
      <c r="T130" s="2" t="str">
        <f t="array" ref="T130">_xll.RssIndexMarket("SILVER.FUT02.OS", "前年最安値")</f>
        <v/>
      </c>
      <c r="U130" s="2" t="str">
        <f t="array" ref="U130">_xll.RssIndexMarket("SILVER.FUT02.OS", "前年終値")</f>
        <v/>
      </c>
      <c r="V130" s="2" t="str">
        <f t="array" ref="V130">_xll.RssIndexMarket("SILVER.FUT02.OS", "年初来高値")</f>
        <v/>
      </c>
      <c r="W130" s="2" t="str">
        <f t="array" ref="W130">_xll.RssIndexMarket("SILVER.FUT02.OS", "年初来安値")</f>
        <v/>
      </c>
      <c r="X130" s="2" t="str">
        <f t="array" ref="X130">_xll.RssIndexMarket("SILVER.FUT02.OS", "上場来高値")</f>
        <v/>
      </c>
      <c r="Y130" s="2" t="str">
        <f t="array" ref="Y130">_xll.RssIndexMarket("SILVER.FUT02.OS", "上場来安値")</f>
        <v/>
      </c>
      <c r="Z130" s="1" t="str">
        <f t="array" ref="Z130">_xll.RssIndexMarket("SILVER.FUT02.OS", "上場来高値日付")</f>
        <v/>
      </c>
      <c r="AA130" s="1" t="str">
        <f t="array" ref="AA130">_xll.RssIndexMarket("SILVER.FUT02.OS", "上場来安値日付")</f>
        <v/>
      </c>
    </row>
    <row r="131" spans="1:27">
      <c r="A131" s="1" t="str">
        <f t="array" ref="A131">_xll.RssIndexMarket("SILVER.FUT03.OS", "指標コード")</f>
        <v/>
      </c>
      <c r="B131" s="1" t="str">
        <f t="array" ref="B131">_xll.RssIndexMarket("SILVER.FUT03.OS", "指標名称")</f>
        <v/>
      </c>
      <c r="C131" s="1" t="str">
        <f t="array" ref="C131">_xll.RssIndexMarket("SILVER.FUT03.OS", "現在日付")</f>
        <v>2026/02/27</v>
      </c>
      <c r="D131" s="1" t="str">
        <f t="array" ref="D131">_xll.RssIndexMarket("SILVER.FUT03.OS", "更新時刻")</f>
        <v/>
      </c>
      <c r="E131" s="2">
        <f t="array" ref="E131">_xll.RssIndexMarket("SILVER.FUT03.OS", "現在値")</f>
        <v>0</v>
      </c>
      <c r="F131" s="1" t="str">
        <f t="array" ref="F131">_xll.RssIndexMarket("SILVER.FUT03.OS", "現在値ティック")</f>
        <v/>
      </c>
      <c r="G131" s="2">
        <f t="array" ref="G131">_xll.RssIndexMarket("SILVER.FUT03.OS", "前日比")</f>
        <v>0</v>
      </c>
      <c r="H131" s="2">
        <f t="array" ref="H131">_xll.RssIndexMarket("SILVER.FUT03.OS", "前日比率")</f>
        <v>0</v>
      </c>
      <c r="I131" s="2">
        <f t="array" ref="I131">_xll.RssIndexMarket("SILVER.FUT03.OS", "前日終値")</f>
        <v>385</v>
      </c>
      <c r="J131" s="1" t="str">
        <f t="array" ref="J131">_xll.RssIndexMarket("SILVER.FUT03.OS", "前日日付")</f>
        <v>2026/02/27</v>
      </c>
      <c r="K131" s="2">
        <f t="array" ref="K131">_xll.RssIndexMarket("SILVER.FUT03.OS", "始値")</f>
        <v>0</v>
      </c>
      <c r="L131" s="2">
        <f t="array" ref="L131">_xll.RssIndexMarket("SILVER.FUT03.OS", "高値")</f>
        <v>0</v>
      </c>
      <c r="M131" s="2">
        <f t="array" ref="M131">_xll.RssIndexMarket("SILVER.FUT03.OS", "安値")</f>
        <v>0</v>
      </c>
      <c r="N131" s="1" t="str">
        <f t="array" ref="N131">_xll.RssIndexMarket("SILVER.FUT03.OS", "始値時刻")</f>
        <v xml:space="preserve">  :  </v>
      </c>
      <c r="O131" s="1" t="str">
        <f t="array" ref="O131">_xll.RssIndexMarket("SILVER.FUT03.OS", "高値時刻")</f>
        <v xml:space="preserve">  :  </v>
      </c>
      <c r="P131" s="1" t="str">
        <f t="array" ref="P131">_xll.RssIndexMarket("SILVER.FUT03.OS", "安値時刻")</f>
        <v xml:space="preserve">  :  </v>
      </c>
      <c r="Q131" s="2">
        <f t="array" ref="Q131">_xll.RssIndexMarket("SILVER.FUT03.OS", "出来高")</f>
        <v>0</v>
      </c>
      <c r="R131" s="2">
        <f t="array" ref="R131">_xll.RssIndexMarket("SILVER.FUT03.OS", "売買代金")</f>
        <v>0</v>
      </c>
      <c r="S131" s="2" t="str">
        <f t="array" ref="S131">_xll.RssIndexMarket("SILVER.FUT03.OS", "前年最高値")</f>
        <v/>
      </c>
      <c r="T131" s="2" t="str">
        <f t="array" ref="T131">_xll.RssIndexMarket("SILVER.FUT03.OS", "前年最安値")</f>
        <v/>
      </c>
      <c r="U131" s="2" t="str">
        <f t="array" ref="U131">_xll.RssIndexMarket("SILVER.FUT03.OS", "前年終値")</f>
        <v/>
      </c>
      <c r="V131" s="2" t="str">
        <f t="array" ref="V131">_xll.RssIndexMarket("SILVER.FUT03.OS", "年初来高値")</f>
        <v/>
      </c>
      <c r="W131" s="2" t="str">
        <f t="array" ref="W131">_xll.RssIndexMarket("SILVER.FUT03.OS", "年初来安値")</f>
        <v/>
      </c>
      <c r="X131" s="2" t="str">
        <f t="array" ref="X131">_xll.RssIndexMarket("SILVER.FUT03.OS", "上場来高値")</f>
        <v/>
      </c>
      <c r="Y131" s="2" t="str">
        <f t="array" ref="Y131">_xll.RssIndexMarket("SILVER.FUT03.OS", "上場来安値")</f>
        <v/>
      </c>
      <c r="Z131" s="1" t="str">
        <f t="array" ref="Z131">_xll.RssIndexMarket("SILVER.FUT03.OS", "上場来高値日付")</f>
        <v/>
      </c>
      <c r="AA131" s="1" t="str">
        <f t="array" ref="AA131">_xll.RssIndexMarket("SILVER.FUT03.OS", "上場来安値日付")</f>
        <v/>
      </c>
    </row>
    <row r="132" spans="1:27">
      <c r="A132" s="1" t="str">
        <f t="array" ref="A132">_xll.RssIndexMarket("SILVER.FUT04.OS", "指標コード")</f>
        <v/>
      </c>
      <c r="B132" s="1" t="str">
        <f t="array" ref="B132">_xll.RssIndexMarket("SILVER.FUT04.OS", "指標名称")</f>
        <v/>
      </c>
      <c r="C132" s="1" t="str">
        <f t="array" ref="C132">_xll.RssIndexMarket("SILVER.FUT04.OS", "現在日付")</f>
        <v>2026/02/28</v>
      </c>
      <c r="D132" s="1" t="str">
        <f t="array" ref="D132">_xll.RssIndexMarket("SILVER.FUT04.OS", "更新時刻")</f>
        <v/>
      </c>
      <c r="E132" s="2">
        <f t="array" ref="E132">_xll.RssIndexMarket("SILVER.FUT04.OS", "現在値")</f>
        <v>435</v>
      </c>
      <c r="F132" s="1" t="str">
        <f t="array" ref="F132">_xll.RssIndexMarket("SILVER.FUT04.OS", "現在値ティック")</f>
        <v>↓</v>
      </c>
      <c r="G132" s="2">
        <f t="array" ref="G132">_xll.RssIndexMarket("SILVER.FUT04.OS", "前日比")</f>
        <v>0</v>
      </c>
      <c r="H132" s="2">
        <f t="array" ref="H132">_xll.RssIndexMarket("SILVER.FUT04.OS", "前日比率")</f>
        <v>0</v>
      </c>
      <c r="I132" s="2">
        <f t="array" ref="I132">_xll.RssIndexMarket("SILVER.FUT04.OS", "前日終値")</f>
        <v>435</v>
      </c>
      <c r="J132" s="1" t="str">
        <f t="array" ref="J132">_xll.RssIndexMarket("SILVER.FUT04.OS", "前日日付")</f>
        <v>2026/02/25</v>
      </c>
      <c r="K132" s="2">
        <f t="array" ref="K132">_xll.RssIndexMarket("SILVER.FUT04.OS", "始値")</f>
        <v>435</v>
      </c>
      <c r="L132" s="2">
        <f t="array" ref="L132">_xll.RssIndexMarket("SILVER.FUT04.OS", "高値")</f>
        <v>435</v>
      </c>
      <c r="M132" s="2">
        <f t="array" ref="M132">_xll.RssIndexMarket("SILVER.FUT04.OS", "安値")</f>
        <v>435</v>
      </c>
      <c r="N132" s="1" t="str">
        <f t="array" ref="N132">_xll.RssIndexMarket("SILVER.FUT04.OS", "始値時刻")</f>
        <v>00:49</v>
      </c>
      <c r="O132" s="1" t="str">
        <f t="array" ref="O132">_xll.RssIndexMarket("SILVER.FUT04.OS", "高値時刻")</f>
        <v>00:49</v>
      </c>
      <c r="P132" s="1" t="str">
        <f t="array" ref="P132">_xll.RssIndexMarket("SILVER.FUT04.OS", "安値時刻")</f>
        <v>00:49</v>
      </c>
      <c r="Q132" s="2">
        <f t="array" ref="Q132">_xll.RssIndexMarket("SILVER.FUT04.OS", "出来高")</f>
        <v>1</v>
      </c>
      <c r="R132" s="2">
        <f t="array" ref="R132">_xll.RssIndexMarket("SILVER.FUT04.OS", "売買代金")</f>
        <v>13050</v>
      </c>
      <c r="S132" s="2" t="str">
        <f t="array" ref="S132">_xll.RssIndexMarket("SILVER.FUT04.OS", "前年最高値")</f>
        <v/>
      </c>
      <c r="T132" s="2" t="str">
        <f t="array" ref="T132">_xll.RssIndexMarket("SILVER.FUT04.OS", "前年最安値")</f>
        <v/>
      </c>
      <c r="U132" s="2" t="str">
        <f t="array" ref="U132">_xll.RssIndexMarket("SILVER.FUT04.OS", "前年終値")</f>
        <v/>
      </c>
      <c r="V132" s="2" t="str">
        <f t="array" ref="V132">_xll.RssIndexMarket("SILVER.FUT04.OS", "年初来高値")</f>
        <v/>
      </c>
      <c r="W132" s="2" t="str">
        <f t="array" ref="W132">_xll.RssIndexMarket("SILVER.FUT04.OS", "年初来安値")</f>
        <v/>
      </c>
      <c r="X132" s="2" t="str">
        <f t="array" ref="X132">_xll.RssIndexMarket("SILVER.FUT04.OS", "上場来高値")</f>
        <v/>
      </c>
      <c r="Y132" s="2" t="str">
        <f t="array" ref="Y132">_xll.RssIndexMarket("SILVER.FUT04.OS", "上場来安値")</f>
        <v/>
      </c>
      <c r="Z132" s="1" t="str">
        <f t="array" ref="Z132">_xll.RssIndexMarket("SILVER.FUT04.OS", "上場来高値日付")</f>
        <v/>
      </c>
      <c r="AA132" s="1" t="str">
        <f t="array" ref="AA132">_xll.RssIndexMarket("SILVER.FUT04.OS", "上場来安値日付")</f>
        <v/>
      </c>
    </row>
    <row r="133" spans="1:27">
      <c r="A133" s="1" t="str">
        <f t="array" ref="A133">_xll.RssIndexMarket("SILVER.FUT05.OS", "指標コード")</f>
        <v/>
      </c>
      <c r="B133" s="1" t="str">
        <f t="array" ref="B133">_xll.RssIndexMarket("SILVER.FUT05.OS", "指標名称")</f>
        <v/>
      </c>
      <c r="C133" s="1" t="str">
        <f t="array" ref="C133">_xll.RssIndexMarket("SILVER.FUT05.OS", "現在日付")</f>
        <v>2026/02/28</v>
      </c>
      <c r="D133" s="1" t="str">
        <f t="array" ref="D133">_xll.RssIndexMarket("SILVER.FUT05.OS", "更新時刻")</f>
        <v/>
      </c>
      <c r="E133" s="2">
        <f t="array" ref="E133">_xll.RssIndexMarket("SILVER.FUT05.OS", "現在値")</f>
        <v>455.6</v>
      </c>
      <c r="F133" s="1" t="str">
        <f t="array" ref="F133">_xll.RssIndexMarket("SILVER.FUT05.OS", "現在値ティック")</f>
        <v>↑</v>
      </c>
      <c r="G133" s="2">
        <f t="array" ref="G133">_xll.RssIndexMarket("SILVER.FUT05.OS", "前日比")</f>
        <v>7.8</v>
      </c>
      <c r="H133" s="2">
        <f t="array" ref="H133">_xll.RssIndexMarket("SILVER.FUT05.OS", "前日比率")</f>
        <v>1.74</v>
      </c>
      <c r="I133" s="2">
        <f t="array" ref="I133">_xll.RssIndexMarket("SILVER.FUT05.OS", "前日終値")</f>
        <v>447.8</v>
      </c>
      <c r="J133" s="1" t="str">
        <f t="array" ref="J133">_xll.RssIndexMarket("SILVER.FUT05.OS", "前日日付")</f>
        <v>2026/02/25</v>
      </c>
      <c r="K133" s="2">
        <f t="array" ref="K133">_xll.RssIndexMarket("SILVER.FUT05.OS", "始値")</f>
        <v>455.6</v>
      </c>
      <c r="L133" s="2">
        <f t="array" ref="L133">_xll.RssIndexMarket("SILVER.FUT05.OS", "高値")</f>
        <v>455.6</v>
      </c>
      <c r="M133" s="2">
        <f t="array" ref="M133">_xll.RssIndexMarket("SILVER.FUT05.OS", "安値")</f>
        <v>455.6</v>
      </c>
      <c r="N133" s="1" t="str">
        <f t="array" ref="N133">_xll.RssIndexMarket("SILVER.FUT05.OS", "始値時刻")</f>
        <v>00:57</v>
      </c>
      <c r="O133" s="1" t="str">
        <f t="array" ref="O133">_xll.RssIndexMarket("SILVER.FUT05.OS", "高値時刻")</f>
        <v>00:57</v>
      </c>
      <c r="P133" s="1" t="str">
        <f t="array" ref="P133">_xll.RssIndexMarket("SILVER.FUT05.OS", "安値時刻")</f>
        <v>00:57</v>
      </c>
      <c r="Q133" s="2">
        <f t="array" ref="Q133">_xll.RssIndexMarket("SILVER.FUT05.OS", "出来高")</f>
        <v>1</v>
      </c>
      <c r="R133" s="2">
        <f t="array" ref="R133">_xll.RssIndexMarket("SILVER.FUT05.OS", "売買代金")</f>
        <v>13668</v>
      </c>
      <c r="S133" s="2" t="str">
        <f t="array" ref="S133">_xll.RssIndexMarket("SILVER.FUT05.OS", "前年最高値")</f>
        <v/>
      </c>
      <c r="T133" s="2" t="str">
        <f t="array" ref="T133">_xll.RssIndexMarket("SILVER.FUT05.OS", "前年最安値")</f>
        <v/>
      </c>
      <c r="U133" s="2" t="str">
        <f t="array" ref="U133">_xll.RssIndexMarket("SILVER.FUT05.OS", "前年終値")</f>
        <v/>
      </c>
      <c r="V133" s="2" t="str">
        <f t="array" ref="V133">_xll.RssIndexMarket("SILVER.FUT05.OS", "年初来高値")</f>
        <v/>
      </c>
      <c r="W133" s="2" t="str">
        <f t="array" ref="W133">_xll.RssIndexMarket("SILVER.FUT05.OS", "年初来安値")</f>
        <v/>
      </c>
      <c r="X133" s="2" t="str">
        <f t="array" ref="X133">_xll.RssIndexMarket("SILVER.FUT05.OS", "上場来高値")</f>
        <v/>
      </c>
      <c r="Y133" s="2" t="str">
        <f t="array" ref="Y133">_xll.RssIndexMarket("SILVER.FUT05.OS", "上場来安値")</f>
        <v/>
      </c>
      <c r="Z133" s="1" t="str">
        <f t="array" ref="Z133">_xll.RssIndexMarket("SILVER.FUT05.OS", "上場来高値日付")</f>
        <v/>
      </c>
      <c r="AA133" s="1" t="str">
        <f t="array" ref="AA133">_xll.RssIndexMarket("SILVER.FUT05.OS", "上場来安値日付")</f>
        <v/>
      </c>
    </row>
    <row r="134" spans="1:27">
      <c r="A134" s="1" t="str">
        <f t="array" ref="A134">_xll.RssIndexMarket("SILVER.FUT06.OS", "指標コード")</f>
        <v/>
      </c>
      <c r="B134" s="1" t="str">
        <f t="array" ref="B134">_xll.RssIndexMarket("SILVER.FUT06.OS", "指標名称")</f>
        <v/>
      </c>
      <c r="C134" s="1" t="str">
        <f t="array" ref="C134">_xll.RssIndexMarket("SILVER.FUT06.OS", "現在日付")</f>
        <v>2026/02/27</v>
      </c>
      <c r="D134" s="1" t="str">
        <f t="array" ref="D134">_xll.RssIndexMarket("SILVER.FUT06.OS", "更新時刻")</f>
        <v/>
      </c>
      <c r="E134" s="2">
        <f t="array" ref="E134">_xll.RssIndexMarket("SILVER.FUT06.OS", "現在値")</f>
        <v>0</v>
      </c>
      <c r="F134" s="1" t="str">
        <f t="array" ref="F134">_xll.RssIndexMarket("SILVER.FUT06.OS", "現在値ティック")</f>
        <v/>
      </c>
      <c r="G134" s="2">
        <f t="array" ref="G134">_xll.RssIndexMarket("SILVER.FUT06.OS", "前日比")</f>
        <v>0</v>
      </c>
      <c r="H134" s="2">
        <f t="array" ref="H134">_xll.RssIndexMarket("SILVER.FUT06.OS", "前日比率")</f>
        <v>0</v>
      </c>
      <c r="I134" s="2">
        <f t="array" ref="I134">_xll.RssIndexMarket("SILVER.FUT06.OS", "前日終値")</f>
        <v>450</v>
      </c>
      <c r="J134" s="1" t="str">
        <f t="array" ref="J134">_xll.RssIndexMarket("SILVER.FUT06.OS", "前日日付")</f>
        <v>2026/02/27</v>
      </c>
      <c r="K134" s="2">
        <f t="array" ref="K134">_xll.RssIndexMarket("SILVER.FUT06.OS", "始値")</f>
        <v>0</v>
      </c>
      <c r="L134" s="2">
        <f t="array" ref="L134">_xll.RssIndexMarket("SILVER.FUT06.OS", "高値")</f>
        <v>0</v>
      </c>
      <c r="M134" s="2">
        <f t="array" ref="M134">_xll.RssIndexMarket("SILVER.FUT06.OS", "安値")</f>
        <v>0</v>
      </c>
      <c r="N134" s="1" t="str">
        <f t="array" ref="N134">_xll.RssIndexMarket("SILVER.FUT06.OS", "始値時刻")</f>
        <v xml:space="preserve">  :  </v>
      </c>
      <c r="O134" s="1" t="str">
        <f t="array" ref="O134">_xll.RssIndexMarket("SILVER.FUT06.OS", "高値時刻")</f>
        <v xml:space="preserve">  :  </v>
      </c>
      <c r="P134" s="1" t="str">
        <f t="array" ref="P134">_xll.RssIndexMarket("SILVER.FUT06.OS", "安値時刻")</f>
        <v xml:space="preserve">  :  </v>
      </c>
      <c r="Q134" s="2">
        <f t="array" ref="Q134">_xll.RssIndexMarket("SILVER.FUT06.OS", "出来高")</f>
        <v>0</v>
      </c>
      <c r="R134" s="2">
        <f t="array" ref="R134">_xll.RssIndexMarket("SILVER.FUT06.OS", "売買代金")</f>
        <v>0</v>
      </c>
      <c r="S134" s="2" t="str">
        <f t="array" ref="S134">_xll.RssIndexMarket("SILVER.FUT06.OS", "前年最高値")</f>
        <v/>
      </c>
      <c r="T134" s="2" t="str">
        <f t="array" ref="T134">_xll.RssIndexMarket("SILVER.FUT06.OS", "前年最安値")</f>
        <v/>
      </c>
      <c r="U134" s="2" t="str">
        <f t="array" ref="U134">_xll.RssIndexMarket("SILVER.FUT06.OS", "前年終値")</f>
        <v/>
      </c>
      <c r="V134" s="2" t="str">
        <f t="array" ref="V134">_xll.RssIndexMarket("SILVER.FUT06.OS", "年初来高値")</f>
        <v/>
      </c>
      <c r="W134" s="2" t="str">
        <f t="array" ref="W134">_xll.RssIndexMarket("SILVER.FUT06.OS", "年初来安値")</f>
        <v/>
      </c>
      <c r="X134" s="2" t="str">
        <f t="array" ref="X134">_xll.RssIndexMarket("SILVER.FUT06.OS", "上場来高値")</f>
        <v/>
      </c>
      <c r="Y134" s="2" t="str">
        <f t="array" ref="Y134">_xll.RssIndexMarket("SILVER.FUT06.OS", "上場来安値")</f>
        <v/>
      </c>
      <c r="Z134" s="1" t="str">
        <f t="array" ref="Z134">_xll.RssIndexMarket("SILVER.FUT06.OS", "上場来高値日付")</f>
        <v/>
      </c>
      <c r="AA134" s="1" t="str">
        <f t="array" ref="AA134">_xll.RssIndexMarket("SILVER.FUT06.OS", "上場来安値日付")</f>
        <v/>
      </c>
    </row>
    <row r="135" spans="1:27">
      <c r="A135" s="1" t="str" cm="1">
        <f t="array" ref="A135">_xll.RssIndexMarket("PALLADIUM.FUT01.OS", "指標コード")</f>
        <v/>
      </c>
      <c r="B135" s="1" t="str">
        <f t="array" ref="B135">_xll.RssIndexMarket("PALLADIUM.FUT01.OS", "指標名称")</f>
        <v/>
      </c>
      <c r="C135" s="1" t="str">
        <f t="array" ref="C135">_xll.RssIndexMarket("PALLADIUM.FUT01.OS", "現在日付")</f>
        <v/>
      </c>
      <c r="D135" s="1" t="str">
        <f t="array" ref="D135">_xll.RssIndexMarket("PALLADIUM.FUT01.OS", "更新時刻")</f>
        <v/>
      </c>
      <c r="E135" s="2">
        <f t="array" ref="E135">_xll.RssIndexMarket("PALLADIUM.FUT01.OS", "現在値")</f>
        <v>0</v>
      </c>
      <c r="F135" s="1" t="str">
        <f t="array" ref="F135">_xll.RssIndexMarket("PALLADIUM.FUT01.OS", "現在値ティック")</f>
        <v/>
      </c>
      <c r="G135" s="2">
        <f t="array" ref="G135">_xll.RssIndexMarket("PALLADIUM.FUT01.OS", "前日比")</f>
        <v>0</v>
      </c>
      <c r="H135" s="2">
        <f t="array" ref="H135">_xll.RssIndexMarket("PALLADIUM.FUT01.OS", "前日比率")</f>
        <v>0</v>
      </c>
      <c r="I135" s="2">
        <f t="array" ref="I135">_xll.RssIndexMarket("PALLADIUM.FUT01.OS", "前日終値")</f>
        <v>0</v>
      </c>
      <c r="J135" s="1" t="str">
        <f t="array" ref="J135">_xll.RssIndexMarket("PALLADIUM.FUT01.OS", "前日日付")</f>
        <v/>
      </c>
      <c r="K135" s="2">
        <f t="array" ref="K135">_xll.RssIndexMarket("PALLADIUM.FUT01.OS", "始値")</f>
        <v>0</v>
      </c>
      <c r="L135" s="2">
        <f t="array" ref="L135">_xll.RssIndexMarket("PALLADIUM.FUT01.OS", "高値")</f>
        <v>0</v>
      </c>
      <c r="M135" s="2">
        <f t="array" ref="M135">_xll.RssIndexMarket("PALLADIUM.FUT01.OS", "安値")</f>
        <v>0</v>
      </c>
      <c r="N135" s="1" t="str">
        <f t="array" ref="N135">_xll.RssIndexMarket("PALLADIUM.FUT01.OS", "始値時刻")</f>
        <v xml:space="preserve">  :  </v>
      </c>
      <c r="O135" s="1" t="str">
        <f t="array" ref="O135">_xll.RssIndexMarket("PALLADIUM.FUT01.OS", "高値時刻")</f>
        <v xml:space="preserve">  :  </v>
      </c>
      <c r="P135" s="1" t="str">
        <f t="array" ref="P135">_xll.RssIndexMarket("PALLADIUM.FUT01.OS", "安値時刻")</f>
        <v xml:space="preserve">  :  </v>
      </c>
      <c r="Q135" s="2">
        <f t="array" ref="Q135">_xll.RssIndexMarket("PALLADIUM.FUT01.OS", "出来高")</f>
        <v>0</v>
      </c>
      <c r="R135" s="2">
        <f t="array" ref="R135">_xll.RssIndexMarket("PALLADIUM.FUT01.OS", "売買代金")</f>
        <v>0</v>
      </c>
      <c r="S135" s="2" t="str">
        <f t="array" ref="S135">_xll.RssIndexMarket("PALLADIUM.FUT01.OS", "前年最高値")</f>
        <v/>
      </c>
      <c r="T135" s="2" t="str">
        <f t="array" ref="T135">_xll.RssIndexMarket("PALLADIUM.FUT01.OS", "前年最安値")</f>
        <v/>
      </c>
      <c r="U135" s="2" t="str">
        <f t="array" ref="U135">_xll.RssIndexMarket("PALLADIUM.FUT01.OS", "前年終値")</f>
        <v/>
      </c>
      <c r="V135" s="2" t="str">
        <f t="array" ref="V135">_xll.RssIndexMarket("PALLADIUM.FUT01.OS", "年初来高値")</f>
        <v/>
      </c>
      <c r="W135" s="2" t="str">
        <f t="array" ref="W135">_xll.RssIndexMarket("PALLADIUM.FUT01.OS", "年初来安値")</f>
        <v/>
      </c>
      <c r="X135" s="2" t="str">
        <f t="array" ref="X135">_xll.RssIndexMarket("PALLADIUM.FUT01.OS", "上場来高値")</f>
        <v/>
      </c>
      <c r="Y135" s="2" t="str">
        <f t="array" ref="Y135">_xll.RssIndexMarket("PALLADIUM.FUT01.OS", "上場来安値")</f>
        <v/>
      </c>
      <c r="Z135" s="1" t="str">
        <f t="array" ref="Z135">_xll.RssIndexMarket("PALLADIUM.FUT01.OS", "上場来高値日付")</f>
        <v/>
      </c>
      <c r="AA135" s="1" t="str">
        <f t="array" ref="AA135">_xll.RssIndexMarket("PALLADIUM.FUT01.OS", "上場来安値日付")</f>
        <v/>
      </c>
    </row>
    <row r="136" spans="1:27">
      <c r="A136" s="1" t="str">
        <f t="array" ref="A136">_xll.RssIndexMarket("PALLADIUM.FUT02.OS", "指標コード")</f>
        <v/>
      </c>
      <c r="B136" s="1" t="str">
        <f t="array" ref="B136">_xll.RssIndexMarket("PALLADIUM.FUT02.OS", "指標名称")</f>
        <v/>
      </c>
      <c r="C136" s="1" t="str">
        <f t="array" ref="C136">_xll.RssIndexMarket("PALLADIUM.FUT02.OS", "現在日付")</f>
        <v/>
      </c>
      <c r="D136" s="1" t="str">
        <f t="array" ref="D136">_xll.RssIndexMarket("PALLADIUM.FUT02.OS", "更新時刻")</f>
        <v/>
      </c>
      <c r="E136" s="2">
        <f t="array" ref="E136">_xll.RssIndexMarket("PALLADIUM.FUT02.OS", "現在値")</f>
        <v>0</v>
      </c>
      <c r="F136" s="1" t="str">
        <f t="array" ref="F136">_xll.RssIndexMarket("PALLADIUM.FUT02.OS", "現在値ティック")</f>
        <v/>
      </c>
      <c r="G136" s="2">
        <f t="array" ref="G136">_xll.RssIndexMarket("PALLADIUM.FUT02.OS", "前日比")</f>
        <v>0</v>
      </c>
      <c r="H136" s="2">
        <f t="array" ref="H136">_xll.RssIndexMarket("PALLADIUM.FUT02.OS", "前日比率")</f>
        <v>0</v>
      </c>
      <c r="I136" s="2">
        <f t="array" ref="I136">_xll.RssIndexMarket("PALLADIUM.FUT02.OS", "前日終値")</f>
        <v>0</v>
      </c>
      <c r="J136" s="1" t="str">
        <f t="array" ref="J136">_xll.RssIndexMarket("PALLADIUM.FUT02.OS", "前日日付")</f>
        <v/>
      </c>
      <c r="K136" s="2">
        <f t="array" ref="K136">_xll.RssIndexMarket("PALLADIUM.FUT02.OS", "始値")</f>
        <v>0</v>
      </c>
      <c r="L136" s="2">
        <f t="array" ref="L136">_xll.RssIndexMarket("PALLADIUM.FUT02.OS", "高値")</f>
        <v>0</v>
      </c>
      <c r="M136" s="2">
        <f t="array" ref="M136">_xll.RssIndexMarket("PALLADIUM.FUT02.OS", "安値")</f>
        <v>0</v>
      </c>
      <c r="N136" s="1" t="str">
        <f t="array" ref="N136">_xll.RssIndexMarket("PALLADIUM.FUT02.OS", "始値時刻")</f>
        <v xml:space="preserve">  :  </v>
      </c>
      <c r="O136" s="1" t="str">
        <f t="array" ref="O136">_xll.RssIndexMarket("PALLADIUM.FUT02.OS", "高値時刻")</f>
        <v xml:space="preserve">  :  </v>
      </c>
      <c r="P136" s="1" t="str">
        <f t="array" ref="P136">_xll.RssIndexMarket("PALLADIUM.FUT02.OS", "安値時刻")</f>
        <v xml:space="preserve">  :  </v>
      </c>
      <c r="Q136" s="2">
        <f t="array" ref="Q136">_xll.RssIndexMarket("PALLADIUM.FUT02.OS", "出来高")</f>
        <v>0</v>
      </c>
      <c r="R136" s="2">
        <f t="array" ref="R136">_xll.RssIndexMarket("PALLADIUM.FUT02.OS", "売買代金")</f>
        <v>0</v>
      </c>
      <c r="S136" s="2" t="str">
        <f t="array" ref="S136">_xll.RssIndexMarket("PALLADIUM.FUT02.OS", "前年最高値")</f>
        <v/>
      </c>
      <c r="T136" s="2" t="str">
        <f t="array" ref="T136">_xll.RssIndexMarket("PALLADIUM.FUT02.OS", "前年最安値")</f>
        <v/>
      </c>
      <c r="U136" s="2" t="str">
        <f t="array" ref="U136">_xll.RssIndexMarket("PALLADIUM.FUT02.OS", "前年終値")</f>
        <v/>
      </c>
      <c r="V136" s="2" t="str">
        <f t="array" ref="V136">_xll.RssIndexMarket("PALLADIUM.FUT02.OS", "年初来高値")</f>
        <v/>
      </c>
      <c r="W136" s="2" t="str">
        <f t="array" ref="W136">_xll.RssIndexMarket("PALLADIUM.FUT02.OS", "年初来安値")</f>
        <v/>
      </c>
      <c r="X136" s="2" t="str">
        <f t="array" ref="X136">_xll.RssIndexMarket("PALLADIUM.FUT02.OS", "上場来高値")</f>
        <v/>
      </c>
      <c r="Y136" s="2" t="str">
        <f t="array" ref="Y136">_xll.RssIndexMarket("PALLADIUM.FUT02.OS", "上場来安値")</f>
        <v/>
      </c>
      <c r="Z136" s="1" t="str">
        <f t="array" ref="Z136">_xll.RssIndexMarket("PALLADIUM.FUT02.OS", "上場来高値日付")</f>
        <v/>
      </c>
      <c r="AA136" s="1" t="str">
        <f t="array" ref="AA136">_xll.RssIndexMarket("PALLADIUM.FUT02.OS", "上場来安値日付")</f>
        <v/>
      </c>
    </row>
    <row r="137" spans="1:27">
      <c r="A137" s="1" t="str">
        <f t="array" ref="A137">_xll.RssIndexMarket("PALLADIUM.FUT03.OS", "指標コード")</f>
        <v/>
      </c>
      <c r="B137" s="1" t="str">
        <f t="array" ref="B137">_xll.RssIndexMarket("PALLADIUM.FUT03.OS", "指標名称")</f>
        <v/>
      </c>
      <c r="C137" s="1" t="str">
        <f t="array" ref="C137">_xll.RssIndexMarket("PALLADIUM.FUT03.OS", "現在日付")</f>
        <v/>
      </c>
      <c r="D137" s="1" t="str">
        <f t="array" ref="D137">_xll.RssIndexMarket("PALLADIUM.FUT03.OS", "更新時刻")</f>
        <v/>
      </c>
      <c r="E137" s="2">
        <f t="array" ref="E137">_xll.RssIndexMarket("PALLADIUM.FUT03.OS", "現在値")</f>
        <v>0</v>
      </c>
      <c r="F137" s="1" t="str">
        <f t="array" ref="F137">_xll.RssIndexMarket("PALLADIUM.FUT03.OS", "現在値ティック")</f>
        <v/>
      </c>
      <c r="G137" s="2">
        <f t="array" ref="G137">_xll.RssIndexMarket("PALLADIUM.FUT03.OS", "前日比")</f>
        <v>0</v>
      </c>
      <c r="H137" s="2">
        <f t="array" ref="H137">_xll.RssIndexMarket("PALLADIUM.FUT03.OS", "前日比率")</f>
        <v>0</v>
      </c>
      <c r="I137" s="2">
        <f t="array" ref="I137">_xll.RssIndexMarket("PALLADIUM.FUT03.OS", "前日終値")</f>
        <v>0</v>
      </c>
      <c r="J137" s="1" t="str">
        <f t="array" ref="J137">_xll.RssIndexMarket("PALLADIUM.FUT03.OS", "前日日付")</f>
        <v/>
      </c>
      <c r="K137" s="2">
        <f t="array" ref="K137">_xll.RssIndexMarket("PALLADIUM.FUT03.OS", "始値")</f>
        <v>0</v>
      </c>
      <c r="L137" s="2">
        <f t="array" ref="L137">_xll.RssIndexMarket("PALLADIUM.FUT03.OS", "高値")</f>
        <v>0</v>
      </c>
      <c r="M137" s="2">
        <f t="array" ref="M137">_xll.RssIndexMarket("PALLADIUM.FUT03.OS", "安値")</f>
        <v>0</v>
      </c>
      <c r="N137" s="1" t="str">
        <f t="array" ref="N137">_xll.RssIndexMarket("PALLADIUM.FUT03.OS", "始値時刻")</f>
        <v xml:space="preserve">  :  </v>
      </c>
      <c r="O137" s="1" t="str">
        <f t="array" ref="O137">_xll.RssIndexMarket("PALLADIUM.FUT03.OS", "高値時刻")</f>
        <v xml:space="preserve">  :  </v>
      </c>
      <c r="P137" s="1" t="str">
        <f t="array" ref="P137">_xll.RssIndexMarket("PALLADIUM.FUT03.OS", "安値時刻")</f>
        <v xml:space="preserve">  :  </v>
      </c>
      <c r="Q137" s="2">
        <f t="array" ref="Q137">_xll.RssIndexMarket("PALLADIUM.FUT03.OS", "出来高")</f>
        <v>0</v>
      </c>
      <c r="R137" s="2">
        <f t="array" ref="R137">_xll.RssIndexMarket("PALLADIUM.FUT03.OS", "売買代金")</f>
        <v>0</v>
      </c>
      <c r="S137" s="2" t="str">
        <f t="array" ref="S137">_xll.RssIndexMarket("PALLADIUM.FUT03.OS", "前年最高値")</f>
        <v/>
      </c>
      <c r="T137" s="2" t="str">
        <f t="array" ref="T137">_xll.RssIndexMarket("PALLADIUM.FUT03.OS", "前年最安値")</f>
        <v/>
      </c>
      <c r="U137" s="2" t="str">
        <f t="array" ref="U137">_xll.RssIndexMarket("PALLADIUM.FUT03.OS", "前年終値")</f>
        <v/>
      </c>
      <c r="V137" s="2" t="str">
        <f t="array" ref="V137">_xll.RssIndexMarket("PALLADIUM.FUT03.OS", "年初来高値")</f>
        <v/>
      </c>
      <c r="W137" s="2" t="str">
        <f t="array" ref="W137">_xll.RssIndexMarket("PALLADIUM.FUT03.OS", "年初来安値")</f>
        <v/>
      </c>
      <c r="X137" s="2" t="str">
        <f t="array" ref="X137">_xll.RssIndexMarket("PALLADIUM.FUT03.OS", "上場来高値")</f>
        <v/>
      </c>
      <c r="Y137" s="2" t="str">
        <f t="array" ref="Y137">_xll.RssIndexMarket("PALLADIUM.FUT03.OS", "上場来安値")</f>
        <v/>
      </c>
      <c r="Z137" s="1" t="str">
        <f t="array" ref="Z137">_xll.RssIndexMarket("PALLADIUM.FUT03.OS", "上場来高値日付")</f>
        <v/>
      </c>
      <c r="AA137" s="1" t="str">
        <f t="array" ref="AA137">_xll.RssIndexMarket("PALLADIUM.FUT03.OS", "上場来安値日付")</f>
        <v/>
      </c>
    </row>
    <row r="138" spans="1:27">
      <c r="A138" s="1" t="str">
        <f t="array" ref="A138">_xll.RssIndexMarket("PALLADIUM.FUT04.OS", "指標コード")</f>
        <v/>
      </c>
      <c r="B138" s="1" t="str">
        <f t="array" ref="B138">_xll.RssIndexMarket("PALLADIUM.FUT04.OS", "指標名称")</f>
        <v/>
      </c>
      <c r="C138" s="1" t="str">
        <f t="array" ref="C138">_xll.RssIndexMarket("PALLADIUM.FUT04.OS", "現在日付")</f>
        <v/>
      </c>
      <c r="D138" s="1" t="str">
        <f t="array" ref="D138">_xll.RssIndexMarket("PALLADIUM.FUT04.OS", "更新時刻")</f>
        <v/>
      </c>
      <c r="E138" s="2">
        <f t="array" ref="E138">_xll.RssIndexMarket("PALLADIUM.FUT04.OS", "現在値")</f>
        <v>0</v>
      </c>
      <c r="F138" s="1" t="str">
        <f t="array" ref="F138">_xll.RssIndexMarket("PALLADIUM.FUT04.OS", "現在値ティック")</f>
        <v/>
      </c>
      <c r="G138" s="2">
        <f t="array" ref="G138">_xll.RssIndexMarket("PALLADIUM.FUT04.OS", "前日比")</f>
        <v>0</v>
      </c>
      <c r="H138" s="2">
        <f t="array" ref="H138">_xll.RssIndexMarket("PALLADIUM.FUT04.OS", "前日比率")</f>
        <v>0</v>
      </c>
      <c r="I138" s="2">
        <f t="array" ref="I138">_xll.RssIndexMarket("PALLADIUM.FUT04.OS", "前日終値")</f>
        <v>0</v>
      </c>
      <c r="J138" s="1" t="str">
        <f t="array" ref="J138">_xll.RssIndexMarket("PALLADIUM.FUT04.OS", "前日日付")</f>
        <v/>
      </c>
      <c r="K138" s="2">
        <f t="array" ref="K138">_xll.RssIndexMarket("PALLADIUM.FUT04.OS", "始値")</f>
        <v>0</v>
      </c>
      <c r="L138" s="2">
        <f t="array" ref="L138">_xll.RssIndexMarket("PALLADIUM.FUT04.OS", "高値")</f>
        <v>0</v>
      </c>
      <c r="M138" s="2">
        <f t="array" ref="M138">_xll.RssIndexMarket("PALLADIUM.FUT04.OS", "安値")</f>
        <v>0</v>
      </c>
      <c r="N138" s="1" t="str">
        <f t="array" ref="N138">_xll.RssIndexMarket("PALLADIUM.FUT04.OS", "始値時刻")</f>
        <v xml:space="preserve">  :  </v>
      </c>
      <c r="O138" s="1" t="str">
        <f t="array" ref="O138">_xll.RssIndexMarket("PALLADIUM.FUT04.OS", "高値時刻")</f>
        <v xml:space="preserve">  :  </v>
      </c>
      <c r="P138" s="1" t="str">
        <f t="array" ref="P138">_xll.RssIndexMarket("PALLADIUM.FUT04.OS", "安値時刻")</f>
        <v xml:space="preserve">  :  </v>
      </c>
      <c r="Q138" s="2">
        <f t="array" ref="Q138">_xll.RssIndexMarket("PALLADIUM.FUT04.OS", "出来高")</f>
        <v>0</v>
      </c>
      <c r="R138" s="2">
        <f t="array" ref="R138">_xll.RssIndexMarket("PALLADIUM.FUT04.OS", "売買代金")</f>
        <v>0</v>
      </c>
      <c r="S138" s="2" t="str">
        <f t="array" ref="S138">_xll.RssIndexMarket("PALLADIUM.FUT04.OS", "前年最高値")</f>
        <v/>
      </c>
      <c r="T138" s="2" t="str">
        <f t="array" ref="T138">_xll.RssIndexMarket("PALLADIUM.FUT04.OS", "前年最安値")</f>
        <v/>
      </c>
      <c r="U138" s="2" t="str">
        <f t="array" ref="U138">_xll.RssIndexMarket("PALLADIUM.FUT04.OS", "前年終値")</f>
        <v/>
      </c>
      <c r="V138" s="2" t="str">
        <f t="array" ref="V138">_xll.RssIndexMarket("PALLADIUM.FUT04.OS", "年初来高値")</f>
        <v/>
      </c>
      <c r="W138" s="2" t="str">
        <f t="array" ref="W138">_xll.RssIndexMarket("PALLADIUM.FUT04.OS", "年初来安値")</f>
        <v/>
      </c>
      <c r="X138" s="2" t="str">
        <f t="array" ref="X138">_xll.RssIndexMarket("PALLADIUM.FUT04.OS", "上場来高値")</f>
        <v/>
      </c>
      <c r="Y138" s="2" t="str">
        <f t="array" ref="Y138">_xll.RssIndexMarket("PALLADIUM.FUT04.OS", "上場来安値")</f>
        <v/>
      </c>
      <c r="Z138" s="1" t="str">
        <f t="array" ref="Z138">_xll.RssIndexMarket("PALLADIUM.FUT04.OS", "上場来高値日付")</f>
        <v/>
      </c>
      <c r="AA138" s="1" t="str">
        <f t="array" ref="AA138">_xll.RssIndexMarket("PALLADIUM.FUT04.OS", "上場来安値日付")</f>
        <v/>
      </c>
    </row>
    <row r="139" spans="1:27">
      <c r="A139" s="1" t="str">
        <f t="array" ref="A139">_xll.RssIndexMarket("PALLADIUM.FUT05.OS", "指標コード")</f>
        <v/>
      </c>
      <c r="B139" s="1" t="str">
        <f t="array" ref="B139">_xll.RssIndexMarket("PALLADIUM.FUT05.OS", "指標名称")</f>
        <v/>
      </c>
      <c r="C139" s="1" t="str">
        <f t="array" ref="C139">_xll.RssIndexMarket("PALLADIUM.FUT05.OS", "現在日付")</f>
        <v/>
      </c>
      <c r="D139" s="1" t="str">
        <f t="array" ref="D139">_xll.RssIndexMarket("PALLADIUM.FUT05.OS", "更新時刻")</f>
        <v/>
      </c>
      <c r="E139" s="2">
        <f t="array" ref="E139">_xll.RssIndexMarket("PALLADIUM.FUT05.OS", "現在値")</f>
        <v>0</v>
      </c>
      <c r="F139" s="1" t="str">
        <f t="array" ref="F139">_xll.RssIndexMarket("PALLADIUM.FUT05.OS", "現在値ティック")</f>
        <v/>
      </c>
      <c r="G139" s="2">
        <f t="array" ref="G139">_xll.RssIndexMarket("PALLADIUM.FUT05.OS", "前日比")</f>
        <v>0</v>
      </c>
      <c r="H139" s="2">
        <f t="array" ref="H139">_xll.RssIndexMarket("PALLADIUM.FUT05.OS", "前日比率")</f>
        <v>0</v>
      </c>
      <c r="I139" s="2">
        <f t="array" ref="I139">_xll.RssIndexMarket("PALLADIUM.FUT05.OS", "前日終値")</f>
        <v>0</v>
      </c>
      <c r="J139" s="1" t="str">
        <f t="array" ref="J139">_xll.RssIndexMarket("PALLADIUM.FUT05.OS", "前日日付")</f>
        <v/>
      </c>
      <c r="K139" s="2">
        <f t="array" ref="K139">_xll.RssIndexMarket("PALLADIUM.FUT05.OS", "始値")</f>
        <v>0</v>
      </c>
      <c r="L139" s="2">
        <f t="array" ref="L139">_xll.RssIndexMarket("PALLADIUM.FUT05.OS", "高値")</f>
        <v>0</v>
      </c>
      <c r="M139" s="2">
        <f t="array" ref="M139">_xll.RssIndexMarket("PALLADIUM.FUT05.OS", "安値")</f>
        <v>0</v>
      </c>
      <c r="N139" s="1" t="str">
        <f t="array" ref="N139">_xll.RssIndexMarket("PALLADIUM.FUT05.OS", "始値時刻")</f>
        <v xml:space="preserve">  :  </v>
      </c>
      <c r="O139" s="1" t="str">
        <f t="array" ref="O139">_xll.RssIndexMarket("PALLADIUM.FUT05.OS", "高値時刻")</f>
        <v xml:space="preserve">  :  </v>
      </c>
      <c r="P139" s="1" t="str">
        <f t="array" ref="P139">_xll.RssIndexMarket("PALLADIUM.FUT05.OS", "安値時刻")</f>
        <v xml:space="preserve">  :  </v>
      </c>
      <c r="Q139" s="2">
        <f t="array" ref="Q139">_xll.RssIndexMarket("PALLADIUM.FUT05.OS", "出来高")</f>
        <v>0</v>
      </c>
      <c r="R139" s="2">
        <f t="array" ref="R139">_xll.RssIndexMarket("PALLADIUM.FUT05.OS", "売買代金")</f>
        <v>0</v>
      </c>
      <c r="S139" s="2" t="str">
        <f t="array" ref="S139">_xll.RssIndexMarket("PALLADIUM.FUT05.OS", "前年最高値")</f>
        <v/>
      </c>
      <c r="T139" s="2" t="str">
        <f t="array" ref="T139">_xll.RssIndexMarket("PALLADIUM.FUT05.OS", "前年最安値")</f>
        <v/>
      </c>
      <c r="U139" s="2" t="str">
        <f t="array" ref="U139">_xll.RssIndexMarket("PALLADIUM.FUT05.OS", "前年終値")</f>
        <v/>
      </c>
      <c r="V139" s="2" t="str">
        <f t="array" ref="V139">_xll.RssIndexMarket("PALLADIUM.FUT05.OS", "年初来高値")</f>
        <v/>
      </c>
      <c r="W139" s="2" t="str">
        <f t="array" ref="W139">_xll.RssIndexMarket("PALLADIUM.FUT05.OS", "年初来安値")</f>
        <v/>
      </c>
      <c r="X139" s="2" t="str">
        <f t="array" ref="X139">_xll.RssIndexMarket("PALLADIUM.FUT05.OS", "上場来高値")</f>
        <v/>
      </c>
      <c r="Y139" s="2" t="str">
        <f t="array" ref="Y139">_xll.RssIndexMarket("PALLADIUM.FUT05.OS", "上場来安値")</f>
        <v/>
      </c>
      <c r="Z139" s="1" t="str">
        <f t="array" ref="Z139">_xll.RssIndexMarket("PALLADIUM.FUT05.OS", "上場来高値日付")</f>
        <v/>
      </c>
      <c r="AA139" s="1" t="str">
        <f t="array" ref="AA139">_xll.RssIndexMarket("PALLADIUM.FUT05.OS", "上場来安値日付")</f>
        <v/>
      </c>
    </row>
    <row r="140" spans="1:27">
      <c r="A140" s="1" t="str">
        <f t="array" ref="A140">_xll.RssIndexMarket("PALLADIUM.FUT06.OS", "指標コード")</f>
        <v/>
      </c>
      <c r="B140" s="1" t="str">
        <f t="array" ref="B140">_xll.RssIndexMarket("PALLADIUM.FUT06.OS", "指標名称")</f>
        <v/>
      </c>
      <c r="C140" s="1" t="str">
        <f t="array" ref="C140">_xll.RssIndexMarket("PALLADIUM.FUT06.OS", "現在日付")</f>
        <v/>
      </c>
      <c r="D140" s="1" t="str">
        <f t="array" ref="D140">_xll.RssIndexMarket("PALLADIUM.FUT06.OS", "更新時刻")</f>
        <v/>
      </c>
      <c r="E140" s="2">
        <f t="array" ref="E140">_xll.RssIndexMarket("PALLADIUM.FUT06.OS", "現在値")</f>
        <v>0</v>
      </c>
      <c r="F140" s="1" t="str">
        <f t="array" ref="F140">_xll.RssIndexMarket("PALLADIUM.FUT06.OS", "現在値ティック")</f>
        <v/>
      </c>
      <c r="G140" s="2">
        <f t="array" ref="G140">_xll.RssIndexMarket("PALLADIUM.FUT06.OS", "前日比")</f>
        <v>0</v>
      </c>
      <c r="H140" s="2">
        <f t="array" ref="H140">_xll.RssIndexMarket("PALLADIUM.FUT06.OS", "前日比率")</f>
        <v>0</v>
      </c>
      <c r="I140" s="2">
        <f t="array" ref="I140">_xll.RssIndexMarket("PALLADIUM.FUT06.OS", "前日終値")</f>
        <v>0</v>
      </c>
      <c r="J140" s="1" t="str">
        <f t="array" ref="J140">_xll.RssIndexMarket("PALLADIUM.FUT06.OS", "前日日付")</f>
        <v/>
      </c>
      <c r="K140" s="2">
        <f t="array" ref="K140">_xll.RssIndexMarket("PALLADIUM.FUT06.OS", "始値")</f>
        <v>0</v>
      </c>
      <c r="L140" s="2">
        <f t="array" ref="L140">_xll.RssIndexMarket("PALLADIUM.FUT06.OS", "高値")</f>
        <v>0</v>
      </c>
      <c r="M140" s="2">
        <f t="array" ref="M140">_xll.RssIndexMarket("PALLADIUM.FUT06.OS", "安値")</f>
        <v>0</v>
      </c>
      <c r="N140" s="1" t="str">
        <f t="array" ref="N140">_xll.RssIndexMarket("PALLADIUM.FUT06.OS", "始値時刻")</f>
        <v xml:space="preserve">  :  </v>
      </c>
      <c r="O140" s="1" t="str">
        <f t="array" ref="O140">_xll.RssIndexMarket("PALLADIUM.FUT06.OS", "高値時刻")</f>
        <v xml:space="preserve">  :  </v>
      </c>
      <c r="P140" s="1" t="str">
        <f t="array" ref="P140">_xll.RssIndexMarket("PALLADIUM.FUT06.OS", "安値時刻")</f>
        <v xml:space="preserve">  :  </v>
      </c>
      <c r="Q140" s="2">
        <f t="array" ref="Q140">_xll.RssIndexMarket("PALLADIUM.FUT06.OS", "出来高")</f>
        <v>0</v>
      </c>
      <c r="R140" s="2">
        <f t="array" ref="R140">_xll.RssIndexMarket("PALLADIUM.FUT06.OS", "売買代金")</f>
        <v>0</v>
      </c>
      <c r="S140" s="2" t="str">
        <f t="array" ref="S140">_xll.RssIndexMarket("PALLADIUM.FUT06.OS", "前年最高値")</f>
        <v/>
      </c>
      <c r="T140" s="2" t="str">
        <f t="array" ref="T140">_xll.RssIndexMarket("PALLADIUM.FUT06.OS", "前年最安値")</f>
        <v/>
      </c>
      <c r="U140" s="2" t="str">
        <f t="array" ref="U140">_xll.RssIndexMarket("PALLADIUM.FUT06.OS", "前年終値")</f>
        <v/>
      </c>
      <c r="V140" s="2" t="str">
        <f t="array" ref="V140">_xll.RssIndexMarket("PALLADIUM.FUT06.OS", "年初来高値")</f>
        <v/>
      </c>
      <c r="W140" s="2" t="str">
        <f t="array" ref="W140">_xll.RssIndexMarket("PALLADIUM.FUT06.OS", "年初来安値")</f>
        <v/>
      </c>
      <c r="X140" s="2" t="str">
        <f t="array" ref="X140">_xll.RssIndexMarket("PALLADIUM.FUT06.OS", "上場来高値")</f>
        <v/>
      </c>
      <c r="Y140" s="2" t="str">
        <f t="array" ref="Y140">_xll.RssIndexMarket("PALLADIUM.FUT06.OS", "上場来安値")</f>
        <v/>
      </c>
      <c r="Z140" s="1" t="str">
        <f t="array" ref="Z140">_xll.RssIndexMarket("PALLADIUM.FUT06.OS", "上場来高値日付")</f>
        <v/>
      </c>
      <c r="AA140" s="1" t="str">
        <f t="array" ref="AA140">_xll.RssIndexMarket("PALLADIUM.FUT06.OS", "上場来安値日付")</f>
        <v/>
      </c>
    </row>
    <row r="141" spans="1:27">
      <c r="A141" s="1" t="str">
        <f t="array" ref="A141">_xll.RssIndexMarket("RSS3.FUT01.OS", "指標コード")</f>
        <v/>
      </c>
      <c r="B141" s="1" t="str">
        <f t="array" ref="B141">_xll.RssIndexMarket("RSS3.FUT01.OS", "指標名称")</f>
        <v/>
      </c>
      <c r="C141" s="1" t="str">
        <f t="array" ref="C141">_xll.RssIndexMarket("RSS3.FUT01.OS", "現在日付")</f>
        <v>2026/02/27</v>
      </c>
      <c r="D141" s="1" t="str">
        <f t="array" ref="D141">_xll.RssIndexMarket("RSS3.FUT01.OS", "更新時刻")</f>
        <v/>
      </c>
      <c r="E141" s="2">
        <f t="array" ref="E141">_xll.RssIndexMarket("RSS3.FUT01.OS", "現在値")</f>
        <v>0</v>
      </c>
      <c r="F141" s="1" t="str">
        <f t="array" ref="F141">_xll.RssIndexMarket("RSS3.FUT01.OS", "現在値ティック")</f>
        <v/>
      </c>
      <c r="G141" s="2">
        <f t="array" ref="G141">_xll.RssIndexMarket("RSS3.FUT01.OS", "前日比")</f>
        <v>0</v>
      </c>
      <c r="H141" s="2">
        <f t="array" ref="H141">_xll.RssIndexMarket("RSS3.FUT01.OS", "前日比率")</f>
        <v>0</v>
      </c>
      <c r="I141" s="2">
        <f t="array" ref="I141">_xll.RssIndexMarket("RSS3.FUT01.OS", "前日終値")</f>
        <v>373.3</v>
      </c>
      <c r="J141" s="1" t="str">
        <f t="array" ref="J141">_xll.RssIndexMarket("RSS3.FUT01.OS", "前日日付")</f>
        <v>2026/02/27</v>
      </c>
      <c r="K141" s="2">
        <f t="array" ref="K141">_xll.RssIndexMarket("RSS3.FUT01.OS", "始値")</f>
        <v>0</v>
      </c>
      <c r="L141" s="2">
        <f t="array" ref="L141">_xll.RssIndexMarket("RSS3.FUT01.OS", "高値")</f>
        <v>0</v>
      </c>
      <c r="M141" s="2">
        <f t="array" ref="M141">_xll.RssIndexMarket("RSS3.FUT01.OS", "安値")</f>
        <v>0</v>
      </c>
      <c r="N141" s="1" t="str">
        <f t="array" ref="N141">_xll.RssIndexMarket("RSS3.FUT01.OS", "始値時刻")</f>
        <v xml:space="preserve">  :  </v>
      </c>
      <c r="O141" s="1" t="str">
        <f t="array" ref="O141">_xll.RssIndexMarket("RSS3.FUT01.OS", "高値時刻")</f>
        <v xml:space="preserve">  :  </v>
      </c>
      <c r="P141" s="1" t="str">
        <f t="array" ref="P141">_xll.RssIndexMarket("RSS3.FUT01.OS", "安値時刻")</f>
        <v xml:space="preserve">  :  </v>
      </c>
      <c r="Q141" s="2">
        <f t="array" ref="Q141">_xll.RssIndexMarket("RSS3.FUT01.OS", "出来高")</f>
        <v>0</v>
      </c>
      <c r="R141" s="2">
        <f t="array" ref="R141">_xll.RssIndexMarket("RSS3.FUT01.OS", "売買代金")</f>
        <v>0</v>
      </c>
      <c r="S141" s="2" t="str">
        <f t="array" ref="S141">_xll.RssIndexMarket("RSS3.FUT01.OS", "前年最高値")</f>
        <v/>
      </c>
      <c r="T141" s="2" t="str">
        <f t="array" ref="T141">_xll.RssIndexMarket("RSS3.FUT01.OS", "前年最安値")</f>
        <v/>
      </c>
      <c r="U141" s="2" t="str">
        <f t="array" ref="U141">_xll.RssIndexMarket("RSS3.FUT01.OS", "前年終値")</f>
        <v/>
      </c>
      <c r="V141" s="2" t="str">
        <f t="array" ref="V141">_xll.RssIndexMarket("RSS3.FUT01.OS", "年初来高値")</f>
        <v/>
      </c>
      <c r="W141" s="2" t="str">
        <f t="array" ref="W141">_xll.RssIndexMarket("RSS3.FUT01.OS", "年初来安値")</f>
        <v/>
      </c>
      <c r="X141" s="2" t="str">
        <f t="array" ref="X141">_xll.RssIndexMarket("RSS3.FUT01.OS", "上場来高値")</f>
        <v/>
      </c>
      <c r="Y141" s="2" t="str">
        <f t="array" ref="Y141">_xll.RssIndexMarket("RSS3.FUT01.OS", "上場来安値")</f>
        <v/>
      </c>
      <c r="Z141" s="1" t="str">
        <f t="array" ref="Z141">_xll.RssIndexMarket("RSS3.FUT01.OS", "上場来高値日付")</f>
        <v/>
      </c>
      <c r="AA141" s="1" t="str">
        <f t="array" ref="AA141">_xll.RssIndexMarket("RSS3.FUT01.OS", "上場来安値日付")</f>
        <v/>
      </c>
    </row>
    <row r="142" spans="1:27">
      <c r="A142" s="1" t="str">
        <f t="array" ref="A142">_xll.RssIndexMarket("RSS3.FUT02.OS", "指標コード")</f>
        <v/>
      </c>
      <c r="B142" s="1" t="str">
        <f t="array" ref="B142">_xll.RssIndexMarket("RSS3.FUT02.OS", "指標名称")</f>
        <v/>
      </c>
      <c r="C142" s="1" t="str">
        <f t="array" ref="C142">_xll.RssIndexMarket("RSS3.FUT02.OS", "現在日付")</f>
        <v>2026/02/27</v>
      </c>
      <c r="D142" s="1" t="str">
        <f t="array" ref="D142">_xll.RssIndexMarket("RSS3.FUT02.OS", "更新時刻")</f>
        <v/>
      </c>
      <c r="E142" s="2">
        <f t="array" ref="E142">_xll.RssIndexMarket("RSS3.FUT02.OS", "現在値")</f>
        <v>0</v>
      </c>
      <c r="F142" s="1" t="str">
        <f t="array" ref="F142">_xll.RssIndexMarket("RSS3.FUT02.OS", "現在値ティック")</f>
        <v/>
      </c>
      <c r="G142" s="2">
        <f t="array" ref="G142">_xll.RssIndexMarket("RSS3.FUT02.OS", "前日比")</f>
        <v>0</v>
      </c>
      <c r="H142" s="2">
        <f t="array" ref="H142">_xll.RssIndexMarket("RSS3.FUT02.OS", "前日比率")</f>
        <v>0</v>
      </c>
      <c r="I142" s="2">
        <f t="array" ref="I142">_xll.RssIndexMarket("RSS3.FUT02.OS", "前日終値")</f>
        <v>372.9</v>
      </c>
      <c r="J142" s="1" t="str">
        <f t="array" ref="J142">_xll.RssIndexMarket("RSS3.FUT02.OS", "前日日付")</f>
        <v>2026/02/27</v>
      </c>
      <c r="K142" s="2">
        <f t="array" ref="K142">_xll.RssIndexMarket("RSS3.FUT02.OS", "始値")</f>
        <v>0</v>
      </c>
      <c r="L142" s="2">
        <f t="array" ref="L142">_xll.RssIndexMarket("RSS3.FUT02.OS", "高値")</f>
        <v>0</v>
      </c>
      <c r="M142" s="2">
        <f t="array" ref="M142">_xll.RssIndexMarket("RSS3.FUT02.OS", "安値")</f>
        <v>0</v>
      </c>
      <c r="N142" s="1" t="str">
        <f t="array" ref="N142">_xll.RssIndexMarket("RSS3.FUT02.OS", "始値時刻")</f>
        <v xml:space="preserve">  :  </v>
      </c>
      <c r="O142" s="1" t="str">
        <f t="array" ref="O142">_xll.RssIndexMarket("RSS3.FUT02.OS", "高値時刻")</f>
        <v xml:space="preserve">  :  </v>
      </c>
      <c r="P142" s="1" t="str">
        <f t="array" ref="P142">_xll.RssIndexMarket("RSS3.FUT02.OS", "安値時刻")</f>
        <v xml:space="preserve">  :  </v>
      </c>
      <c r="Q142" s="2">
        <f t="array" ref="Q142">_xll.RssIndexMarket("RSS3.FUT02.OS", "出来高")</f>
        <v>0</v>
      </c>
      <c r="R142" s="2">
        <f t="array" ref="R142">_xll.RssIndexMarket("RSS3.FUT02.OS", "売買代金")</f>
        <v>0</v>
      </c>
      <c r="S142" s="2" t="str">
        <f t="array" ref="S142">_xll.RssIndexMarket("RSS3.FUT02.OS", "前年最高値")</f>
        <v/>
      </c>
      <c r="T142" s="2" t="str">
        <f t="array" ref="T142">_xll.RssIndexMarket("RSS3.FUT02.OS", "前年最安値")</f>
        <v/>
      </c>
      <c r="U142" s="2" t="str">
        <f t="array" ref="U142">_xll.RssIndexMarket("RSS3.FUT02.OS", "前年終値")</f>
        <v/>
      </c>
      <c r="V142" s="2" t="str">
        <f t="array" ref="V142">_xll.RssIndexMarket("RSS3.FUT02.OS", "年初来高値")</f>
        <v/>
      </c>
      <c r="W142" s="2" t="str">
        <f t="array" ref="W142">_xll.RssIndexMarket("RSS3.FUT02.OS", "年初来安値")</f>
        <v/>
      </c>
      <c r="X142" s="2" t="str">
        <f t="array" ref="X142">_xll.RssIndexMarket("RSS3.FUT02.OS", "上場来高値")</f>
        <v/>
      </c>
      <c r="Y142" s="2" t="str">
        <f t="array" ref="Y142">_xll.RssIndexMarket("RSS3.FUT02.OS", "上場来安値")</f>
        <v/>
      </c>
      <c r="Z142" s="1" t="str">
        <f t="array" ref="Z142">_xll.RssIndexMarket("RSS3.FUT02.OS", "上場来高値日付")</f>
        <v/>
      </c>
      <c r="AA142" s="1" t="str">
        <f t="array" ref="AA142">_xll.RssIndexMarket("RSS3.FUT02.OS", "上場来安値日付")</f>
        <v/>
      </c>
    </row>
    <row r="143" spans="1:27">
      <c r="A143" s="1" t="str">
        <f t="array" ref="A143">_xll.RssIndexMarket("RSS3.FUT03.OS", "指標コード")</f>
        <v/>
      </c>
      <c r="B143" s="1" t="str">
        <f t="array" ref="B143">_xll.RssIndexMarket("RSS3.FUT03.OS", "指標名称")</f>
        <v/>
      </c>
      <c r="C143" s="1" t="str">
        <f t="array" ref="C143">_xll.RssIndexMarket("RSS3.FUT03.OS", "現在日付")</f>
        <v>2026/02/27</v>
      </c>
      <c r="D143" s="1" t="str">
        <f t="array" ref="D143">_xll.RssIndexMarket("RSS3.FUT03.OS", "更新時刻")</f>
        <v/>
      </c>
      <c r="E143" s="2">
        <f t="array" ref="E143">_xll.RssIndexMarket("RSS3.FUT03.OS", "現在値")</f>
        <v>0</v>
      </c>
      <c r="F143" s="1" t="str">
        <f t="array" ref="F143">_xll.RssIndexMarket("RSS3.FUT03.OS", "現在値ティック")</f>
        <v/>
      </c>
      <c r="G143" s="2">
        <f t="array" ref="G143">_xll.RssIndexMarket("RSS3.FUT03.OS", "前日比")</f>
        <v>0</v>
      </c>
      <c r="H143" s="2">
        <f t="array" ref="H143">_xll.RssIndexMarket("RSS3.FUT03.OS", "前日比率")</f>
        <v>0</v>
      </c>
      <c r="I143" s="2">
        <f t="array" ref="I143">_xll.RssIndexMarket("RSS3.FUT03.OS", "前日終値")</f>
        <v>373.2</v>
      </c>
      <c r="J143" s="1" t="str">
        <f t="array" ref="J143">_xll.RssIndexMarket("RSS3.FUT03.OS", "前日日付")</f>
        <v>2026/02/27</v>
      </c>
      <c r="K143" s="2">
        <f t="array" ref="K143">_xll.RssIndexMarket("RSS3.FUT03.OS", "始値")</f>
        <v>0</v>
      </c>
      <c r="L143" s="2">
        <f t="array" ref="L143">_xll.RssIndexMarket("RSS3.FUT03.OS", "高値")</f>
        <v>0</v>
      </c>
      <c r="M143" s="2">
        <f t="array" ref="M143">_xll.RssIndexMarket("RSS3.FUT03.OS", "安値")</f>
        <v>0</v>
      </c>
      <c r="N143" s="1" t="str">
        <f t="array" ref="N143">_xll.RssIndexMarket("RSS3.FUT03.OS", "始値時刻")</f>
        <v xml:space="preserve">  :  </v>
      </c>
      <c r="O143" s="1" t="str">
        <f t="array" ref="O143">_xll.RssIndexMarket("RSS3.FUT03.OS", "高値時刻")</f>
        <v xml:space="preserve">  :  </v>
      </c>
      <c r="P143" s="1" t="str">
        <f t="array" ref="P143">_xll.RssIndexMarket("RSS3.FUT03.OS", "安値時刻")</f>
        <v xml:space="preserve">  :  </v>
      </c>
      <c r="Q143" s="2">
        <f t="array" ref="Q143">_xll.RssIndexMarket("RSS3.FUT03.OS", "出来高")</f>
        <v>0</v>
      </c>
      <c r="R143" s="2">
        <f t="array" ref="R143">_xll.RssIndexMarket("RSS3.FUT03.OS", "売買代金")</f>
        <v>0</v>
      </c>
      <c r="S143" s="2" t="str">
        <f t="array" ref="S143">_xll.RssIndexMarket("RSS3.FUT03.OS", "前年最高値")</f>
        <v/>
      </c>
      <c r="T143" s="2" t="str">
        <f t="array" ref="T143">_xll.RssIndexMarket("RSS3.FUT03.OS", "前年最安値")</f>
        <v/>
      </c>
      <c r="U143" s="2" t="str">
        <f t="array" ref="U143">_xll.RssIndexMarket("RSS3.FUT03.OS", "前年終値")</f>
        <v/>
      </c>
      <c r="V143" s="2" t="str">
        <f t="array" ref="V143">_xll.RssIndexMarket("RSS3.FUT03.OS", "年初来高値")</f>
        <v/>
      </c>
      <c r="W143" s="2" t="str">
        <f t="array" ref="W143">_xll.RssIndexMarket("RSS3.FUT03.OS", "年初来安値")</f>
        <v/>
      </c>
      <c r="X143" s="2" t="str">
        <f t="array" ref="X143">_xll.RssIndexMarket("RSS3.FUT03.OS", "上場来高値")</f>
        <v/>
      </c>
      <c r="Y143" s="2" t="str">
        <f t="array" ref="Y143">_xll.RssIndexMarket("RSS3.FUT03.OS", "上場来安値")</f>
        <v/>
      </c>
      <c r="Z143" s="1" t="str">
        <f t="array" ref="Z143">_xll.RssIndexMarket("RSS3.FUT03.OS", "上場来高値日付")</f>
        <v/>
      </c>
      <c r="AA143" s="1" t="str">
        <f t="array" ref="AA143">_xll.RssIndexMarket("RSS3.FUT03.OS", "上場来安値日付")</f>
        <v/>
      </c>
    </row>
    <row r="144" spans="1:27">
      <c r="A144" s="1" t="str">
        <f t="array" ref="A144">_xll.RssIndexMarket("RSS3.FUT04.OS", "指標コード")</f>
        <v/>
      </c>
      <c r="B144" s="1" t="str">
        <f t="array" ref="B144">_xll.RssIndexMarket("RSS3.FUT04.OS", "指標名称")</f>
        <v/>
      </c>
      <c r="C144" s="1" t="str">
        <f t="array" ref="C144">_xll.RssIndexMarket("RSS3.FUT04.OS", "現在日付")</f>
        <v>2026/02/27</v>
      </c>
      <c r="D144" s="1" t="str">
        <f t="array" ref="D144">_xll.RssIndexMarket("RSS3.FUT04.OS", "更新時刻")</f>
        <v/>
      </c>
      <c r="E144" s="2">
        <f t="array" ref="E144">_xll.RssIndexMarket("RSS3.FUT04.OS", "現在値")</f>
        <v>371.5</v>
      </c>
      <c r="F144" s="1" t="str">
        <f t="array" ref="F144">_xll.RssIndexMarket("RSS3.FUT04.OS", "現在値ティック")</f>
        <v>↓</v>
      </c>
      <c r="G144" s="2">
        <f t="array" ref="G144">_xll.RssIndexMarket("RSS3.FUT04.OS", "前日比")</f>
        <v>1.8</v>
      </c>
      <c r="H144" s="2">
        <f t="array" ref="H144">_xll.RssIndexMarket("RSS3.FUT04.OS", "前日比率")</f>
        <v>0.49</v>
      </c>
      <c r="I144" s="2">
        <f t="array" ref="I144">_xll.RssIndexMarket("RSS3.FUT04.OS", "前日終値")</f>
        <v>369.7</v>
      </c>
      <c r="J144" s="1" t="str">
        <f t="array" ref="J144">_xll.RssIndexMarket("RSS3.FUT04.OS", "前日日付")</f>
        <v>2026/02/27</v>
      </c>
      <c r="K144" s="2">
        <f t="array" ref="K144">_xll.RssIndexMarket("RSS3.FUT04.OS", "始値")</f>
        <v>367.5</v>
      </c>
      <c r="L144" s="2">
        <f t="array" ref="L144">_xll.RssIndexMarket("RSS3.FUT04.OS", "高値")</f>
        <v>371.6</v>
      </c>
      <c r="M144" s="2">
        <f t="array" ref="M144">_xll.RssIndexMarket("RSS3.FUT04.OS", "安値")</f>
        <v>367.5</v>
      </c>
      <c r="N144" s="1" t="str">
        <f t="array" ref="N144">_xll.RssIndexMarket("RSS3.FUT04.OS", "始値時刻")</f>
        <v>17:20</v>
      </c>
      <c r="O144" s="1" t="str">
        <f t="array" ref="O144">_xll.RssIndexMarket("RSS3.FUT04.OS", "高値時刻")</f>
        <v>18:28</v>
      </c>
      <c r="P144" s="1" t="str">
        <f t="array" ref="P144">_xll.RssIndexMarket("RSS3.FUT04.OS", "安値時刻")</f>
        <v>17:20</v>
      </c>
      <c r="Q144" s="2">
        <f t="array" ref="Q144">_xll.RssIndexMarket("RSS3.FUT04.OS", "出来高")</f>
        <v>3</v>
      </c>
      <c r="R144" s="2">
        <f t="array" ref="R144">_xll.RssIndexMarket("RSS3.FUT04.OS", "売買代金")</f>
        <v>5553</v>
      </c>
      <c r="S144" s="2" t="str">
        <f t="array" ref="S144">_xll.RssIndexMarket("RSS3.FUT04.OS", "前年最高値")</f>
        <v/>
      </c>
      <c r="T144" s="2" t="str">
        <f t="array" ref="T144">_xll.RssIndexMarket("RSS3.FUT04.OS", "前年最安値")</f>
        <v/>
      </c>
      <c r="U144" s="2" t="str">
        <f t="array" ref="U144">_xll.RssIndexMarket("RSS3.FUT04.OS", "前年終値")</f>
        <v/>
      </c>
      <c r="V144" s="2" t="str">
        <f t="array" ref="V144">_xll.RssIndexMarket("RSS3.FUT04.OS", "年初来高値")</f>
        <v/>
      </c>
      <c r="W144" s="2" t="str">
        <f t="array" ref="W144">_xll.RssIndexMarket("RSS3.FUT04.OS", "年初来安値")</f>
        <v/>
      </c>
      <c r="X144" s="2" t="str">
        <f t="array" ref="X144">_xll.RssIndexMarket("RSS3.FUT04.OS", "上場来高値")</f>
        <v/>
      </c>
      <c r="Y144" s="2" t="str">
        <f t="array" ref="Y144">_xll.RssIndexMarket("RSS3.FUT04.OS", "上場来安値")</f>
        <v/>
      </c>
      <c r="Z144" s="1" t="str">
        <f t="array" ref="Z144">_xll.RssIndexMarket("RSS3.FUT04.OS", "上場来高値日付")</f>
        <v/>
      </c>
      <c r="AA144" s="1" t="str">
        <f t="array" ref="AA144">_xll.RssIndexMarket("RSS3.FUT04.OS", "上場来安値日付")</f>
        <v/>
      </c>
    </row>
    <row r="145" spans="1:27">
      <c r="A145" s="1" t="str">
        <f t="array" ref="A145">_xll.RssIndexMarket("RSS3.FUT05.OS", "指標コード")</f>
        <v/>
      </c>
      <c r="B145" s="1" t="str">
        <f t="array" ref="B145">_xll.RssIndexMarket("RSS3.FUT05.OS", "指標名称")</f>
        <v/>
      </c>
      <c r="C145" s="1" t="str">
        <f t="array" ref="C145">_xll.RssIndexMarket("RSS3.FUT05.OS", "現在日付")</f>
        <v>2026/02/27</v>
      </c>
      <c r="D145" s="1" t="str">
        <f t="array" ref="D145">_xll.RssIndexMarket("RSS3.FUT05.OS", "更新時刻")</f>
        <v/>
      </c>
      <c r="E145" s="2">
        <f t="array" ref="E145">_xll.RssIndexMarket("RSS3.FUT05.OS", "現在値")</f>
        <v>374</v>
      </c>
      <c r="F145" s="1" t="str">
        <f t="array" ref="F145">_xll.RssIndexMarket("RSS3.FUT05.OS", "現在値ティック")</f>
        <v>↓</v>
      </c>
      <c r="G145" s="2">
        <f t="array" ref="G145">_xll.RssIndexMarket("RSS3.FUT05.OS", "前日比")</f>
        <v>2.1</v>
      </c>
      <c r="H145" s="2">
        <f t="array" ref="H145">_xll.RssIndexMarket("RSS3.FUT05.OS", "前日比率")</f>
        <v>0.56000000000000005</v>
      </c>
      <c r="I145" s="2">
        <f t="array" ref="I145">_xll.RssIndexMarket("RSS3.FUT05.OS", "前日終値")</f>
        <v>371.9</v>
      </c>
      <c r="J145" s="1" t="str">
        <f t="array" ref="J145">_xll.RssIndexMarket("RSS3.FUT05.OS", "前日日付")</f>
        <v>2026/02/27</v>
      </c>
      <c r="K145" s="2">
        <f t="array" ref="K145">_xll.RssIndexMarket("RSS3.FUT05.OS", "始値")</f>
        <v>371.5</v>
      </c>
      <c r="L145" s="2">
        <f t="array" ref="L145">_xll.RssIndexMarket("RSS3.FUT05.OS", "高値")</f>
        <v>376.4</v>
      </c>
      <c r="M145" s="2">
        <f t="array" ref="M145">_xll.RssIndexMarket("RSS3.FUT05.OS", "安値")</f>
        <v>371.5</v>
      </c>
      <c r="N145" s="1" t="str">
        <f t="array" ref="N145">_xll.RssIndexMarket("RSS3.FUT05.OS", "始値時刻")</f>
        <v>17:20</v>
      </c>
      <c r="O145" s="1" t="str">
        <f t="array" ref="O145">_xll.RssIndexMarket("RSS3.FUT05.OS", "高値時刻")</f>
        <v>17:33</v>
      </c>
      <c r="P145" s="1" t="str">
        <f t="array" ref="P145">_xll.RssIndexMarket("RSS3.FUT05.OS", "安値時刻")</f>
        <v>17:20</v>
      </c>
      <c r="Q145" s="2">
        <f t="array" ref="Q145">_xll.RssIndexMarket("RSS3.FUT05.OS", "出来高")</f>
        <v>30</v>
      </c>
      <c r="R145" s="2">
        <f t="array" ref="R145">_xll.RssIndexMarket("RSS3.FUT05.OS", "売買代金")</f>
        <v>56169</v>
      </c>
      <c r="S145" s="2" t="str">
        <f t="array" ref="S145">_xll.RssIndexMarket("RSS3.FUT05.OS", "前年最高値")</f>
        <v/>
      </c>
      <c r="T145" s="2" t="str">
        <f t="array" ref="T145">_xll.RssIndexMarket("RSS3.FUT05.OS", "前年最安値")</f>
        <v/>
      </c>
      <c r="U145" s="2" t="str">
        <f t="array" ref="U145">_xll.RssIndexMarket("RSS3.FUT05.OS", "前年終値")</f>
        <v/>
      </c>
      <c r="V145" s="2" t="str">
        <f t="array" ref="V145">_xll.RssIndexMarket("RSS3.FUT05.OS", "年初来高値")</f>
        <v/>
      </c>
      <c r="W145" s="2" t="str">
        <f t="array" ref="W145">_xll.RssIndexMarket("RSS3.FUT05.OS", "年初来安値")</f>
        <v/>
      </c>
      <c r="X145" s="2" t="str">
        <f t="array" ref="X145">_xll.RssIndexMarket("RSS3.FUT05.OS", "上場来高値")</f>
        <v/>
      </c>
      <c r="Y145" s="2" t="str">
        <f t="array" ref="Y145">_xll.RssIndexMarket("RSS3.FUT05.OS", "上場来安値")</f>
        <v/>
      </c>
      <c r="Z145" s="1" t="str">
        <f t="array" ref="Z145">_xll.RssIndexMarket("RSS3.FUT05.OS", "上場来高値日付")</f>
        <v/>
      </c>
      <c r="AA145" s="1" t="str">
        <f t="array" ref="AA145">_xll.RssIndexMarket("RSS3.FUT05.OS", "上場来安値日付")</f>
        <v/>
      </c>
    </row>
    <row r="146" spans="1:27">
      <c r="A146" s="1" t="str">
        <f t="array" ref="A146">_xll.RssIndexMarket("RSS3.FUT06.OS", "指標コード")</f>
        <v/>
      </c>
      <c r="B146" s="1" t="str">
        <f t="array" ref="B146">_xll.RssIndexMarket("RSS3.FUT06.OS", "指標名称")</f>
        <v/>
      </c>
      <c r="C146" s="1" t="str">
        <f t="array" ref="C146">_xll.RssIndexMarket("RSS3.FUT06.OS", "現在日付")</f>
        <v>2026/02/27</v>
      </c>
      <c r="D146" s="1" t="str">
        <f t="array" ref="D146">_xll.RssIndexMarket("RSS3.FUT06.OS", "更新時刻")</f>
        <v/>
      </c>
      <c r="E146" s="2">
        <f t="array" ref="E146">_xll.RssIndexMarket("RSS3.FUT06.OS", "現在値")</f>
        <v>377.1</v>
      </c>
      <c r="F146" s="1" t="str">
        <f t="array" ref="F146">_xll.RssIndexMarket("RSS3.FUT06.OS", "現在値ティック")</f>
        <v>↓</v>
      </c>
      <c r="G146" s="2">
        <f t="array" ref="G146">_xll.RssIndexMarket("RSS3.FUT06.OS", "前日比")</f>
        <v>1.6</v>
      </c>
      <c r="H146" s="2">
        <f t="array" ref="H146">_xll.RssIndexMarket("RSS3.FUT06.OS", "前日比率")</f>
        <v>0.43</v>
      </c>
      <c r="I146" s="2">
        <f t="array" ref="I146">_xll.RssIndexMarket("RSS3.FUT06.OS", "前日終値")</f>
        <v>375.5</v>
      </c>
      <c r="J146" s="1" t="str">
        <f t="array" ref="J146">_xll.RssIndexMarket("RSS3.FUT06.OS", "前日日付")</f>
        <v>2026/02/27</v>
      </c>
      <c r="K146" s="2">
        <f t="array" ref="K146">_xll.RssIndexMarket("RSS3.FUT06.OS", "始値")</f>
        <v>375.8</v>
      </c>
      <c r="L146" s="2">
        <f t="array" ref="L146">_xll.RssIndexMarket("RSS3.FUT06.OS", "高値")</f>
        <v>379</v>
      </c>
      <c r="M146" s="2">
        <f t="array" ref="M146">_xll.RssIndexMarket("RSS3.FUT06.OS", "安値")</f>
        <v>375.7</v>
      </c>
      <c r="N146" s="1" t="str">
        <f t="array" ref="N146">_xll.RssIndexMarket("RSS3.FUT06.OS", "始値時刻")</f>
        <v>17:26</v>
      </c>
      <c r="O146" s="1" t="str">
        <f t="array" ref="O146">_xll.RssIndexMarket("RSS3.FUT06.OS", "高値時刻")</f>
        <v>17:33</v>
      </c>
      <c r="P146" s="1" t="str">
        <f t="array" ref="P146">_xll.RssIndexMarket("RSS3.FUT06.OS", "安値時刻")</f>
        <v>17:26</v>
      </c>
      <c r="Q146" s="2">
        <f t="array" ref="Q146">_xll.RssIndexMarket("RSS3.FUT06.OS", "出来高")</f>
        <v>73</v>
      </c>
      <c r="R146" s="2">
        <f t="array" ref="R146">_xll.RssIndexMarket("RSS3.FUT06.OS", "売買代金")</f>
        <v>137819</v>
      </c>
      <c r="S146" s="2" t="str">
        <f t="array" ref="S146">_xll.RssIndexMarket("RSS3.FUT06.OS", "前年最高値")</f>
        <v/>
      </c>
      <c r="T146" s="2" t="str">
        <f t="array" ref="T146">_xll.RssIndexMarket("RSS3.FUT06.OS", "前年最安値")</f>
        <v/>
      </c>
      <c r="U146" s="2" t="str">
        <f t="array" ref="U146">_xll.RssIndexMarket("RSS3.FUT06.OS", "前年終値")</f>
        <v/>
      </c>
      <c r="V146" s="2" t="str">
        <f t="array" ref="V146">_xll.RssIndexMarket("RSS3.FUT06.OS", "年初来高値")</f>
        <v/>
      </c>
      <c r="W146" s="2" t="str">
        <f t="array" ref="W146">_xll.RssIndexMarket("RSS3.FUT06.OS", "年初来安値")</f>
        <v/>
      </c>
      <c r="X146" s="2" t="str">
        <f t="array" ref="X146">_xll.RssIndexMarket("RSS3.FUT06.OS", "上場来高値")</f>
        <v/>
      </c>
      <c r="Y146" s="2" t="str">
        <f t="array" ref="Y146">_xll.RssIndexMarket("RSS3.FUT06.OS", "上場来安値")</f>
        <v/>
      </c>
      <c r="Z146" s="1" t="str">
        <f t="array" ref="Z146">_xll.RssIndexMarket("RSS3.FUT06.OS", "上場来高値日付")</f>
        <v/>
      </c>
      <c r="AA146" s="1" t="str">
        <f t="array" ref="AA146">_xll.RssIndexMarket("RSS3.FUT06.OS", "上場来安値日付")</f>
        <v/>
      </c>
    </row>
    <row r="147" spans="1:27">
      <c r="A147" s="1" t="str">
        <f t="array" ref="A147">_xll.RssIndexMarket("RSS3.FUT07.OS", "指標コード")</f>
        <v/>
      </c>
      <c r="B147" s="1" t="str">
        <f t="array" ref="B147">_xll.RssIndexMarket("RSS3.FUT07.OS", "指標名称")</f>
        <v/>
      </c>
      <c r="C147" s="1" t="str">
        <f t="array" ref="C147">_xll.RssIndexMarket("RSS3.FUT07.OS", "現在日付")</f>
        <v/>
      </c>
      <c r="D147" s="1" t="str">
        <f t="array" ref="D147">_xll.RssIndexMarket("RSS3.FUT07.OS", "更新時刻")</f>
        <v/>
      </c>
      <c r="E147" s="2">
        <f t="array" ref="E147">_xll.RssIndexMarket("RSS3.FUT07.OS", "現在値")</f>
        <v>0</v>
      </c>
      <c r="F147" s="1" t="str">
        <f t="array" ref="F147">_xll.RssIndexMarket("RSS3.FUT07.OS", "現在値ティック")</f>
        <v/>
      </c>
      <c r="G147" s="2">
        <f t="array" ref="G147">_xll.RssIndexMarket("RSS3.FUT07.OS", "前日比")</f>
        <v>0</v>
      </c>
      <c r="H147" s="2">
        <f t="array" ref="H147">_xll.RssIndexMarket("RSS3.FUT07.OS", "前日比率")</f>
        <v>0</v>
      </c>
      <c r="I147" s="2">
        <f t="array" ref="I147">_xll.RssIndexMarket("RSS3.FUT07.OS", "前日終値")</f>
        <v>0</v>
      </c>
      <c r="J147" s="1" t="str">
        <f t="array" ref="J147">_xll.RssIndexMarket("RSS3.FUT07.OS", "前日日付")</f>
        <v/>
      </c>
      <c r="K147" s="2">
        <f t="array" ref="K147">_xll.RssIndexMarket("RSS3.FUT07.OS", "始値")</f>
        <v>0</v>
      </c>
      <c r="L147" s="2">
        <f t="array" ref="L147">_xll.RssIndexMarket("RSS3.FUT07.OS", "高値")</f>
        <v>0</v>
      </c>
      <c r="M147" s="2">
        <f t="array" ref="M147">_xll.RssIndexMarket("RSS3.FUT07.OS", "安値")</f>
        <v>0</v>
      </c>
      <c r="N147" s="1" t="str">
        <f t="array" ref="N147">_xll.RssIndexMarket("RSS3.FUT07.OS", "始値時刻")</f>
        <v xml:space="preserve">  :  </v>
      </c>
      <c r="O147" s="1" t="str">
        <f t="array" ref="O147">_xll.RssIndexMarket("RSS3.FUT07.OS", "高値時刻")</f>
        <v xml:space="preserve">  :  </v>
      </c>
      <c r="P147" s="1" t="str">
        <f t="array" ref="P147">_xll.RssIndexMarket("RSS3.FUT07.OS", "安値時刻")</f>
        <v xml:space="preserve">  :  </v>
      </c>
      <c r="Q147" s="2">
        <f t="array" ref="Q147">_xll.RssIndexMarket("RSS3.FUT07.OS", "出来高")</f>
        <v>0</v>
      </c>
      <c r="R147" s="2">
        <f t="array" ref="R147">_xll.RssIndexMarket("RSS3.FUT07.OS", "売買代金")</f>
        <v>0</v>
      </c>
      <c r="S147" s="2" t="str">
        <f t="array" ref="S147">_xll.RssIndexMarket("RSS3.FUT07.OS", "前年最高値")</f>
        <v/>
      </c>
      <c r="T147" s="2" t="str">
        <f t="array" ref="T147">_xll.RssIndexMarket("RSS3.FUT07.OS", "前年最安値")</f>
        <v/>
      </c>
      <c r="U147" s="2" t="str">
        <f t="array" ref="U147">_xll.RssIndexMarket("RSS3.FUT07.OS", "前年終値")</f>
        <v/>
      </c>
      <c r="V147" s="2" t="str">
        <f t="array" ref="V147">_xll.RssIndexMarket("RSS3.FUT07.OS", "年初来高値")</f>
        <v/>
      </c>
      <c r="W147" s="2" t="str">
        <f t="array" ref="W147">_xll.RssIndexMarket("RSS3.FUT07.OS", "年初来安値")</f>
        <v/>
      </c>
      <c r="X147" s="2" t="str">
        <f t="array" ref="X147">_xll.RssIndexMarket("RSS3.FUT07.OS", "上場来高値")</f>
        <v/>
      </c>
      <c r="Y147" s="2" t="str">
        <f t="array" ref="Y147">_xll.RssIndexMarket("RSS3.FUT07.OS", "上場来安値")</f>
        <v/>
      </c>
      <c r="Z147" s="1" t="str">
        <f t="array" ref="Z147">_xll.RssIndexMarket("RSS3.FUT07.OS", "上場来高値日付")</f>
        <v/>
      </c>
      <c r="AA147" s="1" t="str">
        <f t="array" ref="AA147">_xll.RssIndexMarket("RSS3.FUT07.OS", "上場来安値日付")</f>
        <v/>
      </c>
    </row>
    <row r="148" spans="1:27">
      <c r="A148" s="1" t="str">
        <f t="array" ref="A148">_xll.RssIndexMarket("RSS3.FUT08.OS", "指標コード")</f>
        <v/>
      </c>
      <c r="B148" s="1" t="str">
        <f t="array" ref="B148">_xll.RssIndexMarket("RSS3.FUT08.OS", "指標名称")</f>
        <v/>
      </c>
      <c r="C148" s="1" t="str">
        <f t="array" ref="C148">_xll.RssIndexMarket("RSS3.FUT08.OS", "現在日付")</f>
        <v/>
      </c>
      <c r="D148" s="1" t="str">
        <f t="array" ref="D148">_xll.RssIndexMarket("RSS3.FUT08.OS", "更新時刻")</f>
        <v/>
      </c>
      <c r="E148" s="2">
        <f t="array" ref="E148">_xll.RssIndexMarket("RSS3.FUT08.OS", "現在値")</f>
        <v>0</v>
      </c>
      <c r="F148" s="1" t="str">
        <f t="array" ref="F148">_xll.RssIndexMarket("RSS3.FUT08.OS", "現在値ティック")</f>
        <v/>
      </c>
      <c r="G148" s="2">
        <f t="array" ref="G148">_xll.RssIndexMarket("RSS3.FUT08.OS", "前日比")</f>
        <v>0</v>
      </c>
      <c r="H148" s="2">
        <f t="array" ref="H148">_xll.RssIndexMarket("RSS3.FUT08.OS", "前日比率")</f>
        <v>0</v>
      </c>
      <c r="I148" s="2">
        <f t="array" ref="I148">_xll.RssIndexMarket("RSS3.FUT08.OS", "前日終値")</f>
        <v>0</v>
      </c>
      <c r="J148" s="1" t="str">
        <f t="array" ref="J148">_xll.RssIndexMarket("RSS3.FUT08.OS", "前日日付")</f>
        <v/>
      </c>
      <c r="K148" s="2">
        <f t="array" ref="K148">_xll.RssIndexMarket("RSS3.FUT08.OS", "始値")</f>
        <v>0</v>
      </c>
      <c r="L148" s="2">
        <f t="array" ref="L148">_xll.RssIndexMarket("RSS3.FUT08.OS", "高値")</f>
        <v>0</v>
      </c>
      <c r="M148" s="2">
        <f t="array" ref="M148">_xll.RssIndexMarket("RSS3.FUT08.OS", "安値")</f>
        <v>0</v>
      </c>
      <c r="N148" s="1" t="str">
        <f t="array" ref="N148">_xll.RssIndexMarket("RSS3.FUT08.OS", "始値時刻")</f>
        <v xml:space="preserve">  :  </v>
      </c>
      <c r="O148" s="1" t="str">
        <f t="array" ref="O148">_xll.RssIndexMarket("RSS3.FUT08.OS", "高値時刻")</f>
        <v xml:space="preserve">  :  </v>
      </c>
      <c r="P148" s="1" t="str">
        <f t="array" ref="P148">_xll.RssIndexMarket("RSS3.FUT08.OS", "安値時刻")</f>
        <v xml:space="preserve">  :  </v>
      </c>
      <c r="Q148" s="2">
        <f t="array" ref="Q148">_xll.RssIndexMarket("RSS3.FUT08.OS", "出来高")</f>
        <v>0</v>
      </c>
      <c r="R148" s="2">
        <f t="array" ref="R148">_xll.RssIndexMarket("RSS3.FUT08.OS", "売買代金")</f>
        <v>0</v>
      </c>
      <c r="S148" s="2" t="str">
        <f t="array" ref="S148">_xll.RssIndexMarket("RSS3.FUT08.OS", "前年最高値")</f>
        <v/>
      </c>
      <c r="T148" s="2" t="str">
        <f t="array" ref="T148">_xll.RssIndexMarket("RSS3.FUT08.OS", "前年最安値")</f>
        <v/>
      </c>
      <c r="U148" s="2" t="str">
        <f t="array" ref="U148">_xll.RssIndexMarket("RSS3.FUT08.OS", "前年終値")</f>
        <v/>
      </c>
      <c r="V148" s="2" t="str">
        <f t="array" ref="V148">_xll.RssIndexMarket("RSS3.FUT08.OS", "年初来高値")</f>
        <v/>
      </c>
      <c r="W148" s="2" t="str">
        <f t="array" ref="W148">_xll.RssIndexMarket("RSS3.FUT08.OS", "年初来安値")</f>
        <v/>
      </c>
      <c r="X148" s="2" t="str">
        <f t="array" ref="X148">_xll.RssIndexMarket("RSS3.FUT08.OS", "上場来高値")</f>
        <v/>
      </c>
      <c r="Y148" s="2" t="str">
        <f t="array" ref="Y148">_xll.RssIndexMarket("RSS3.FUT08.OS", "上場来安値")</f>
        <v/>
      </c>
      <c r="Z148" s="1" t="str">
        <f t="array" ref="Z148">_xll.RssIndexMarket("RSS3.FUT08.OS", "上場来高値日付")</f>
        <v/>
      </c>
      <c r="AA148" s="1" t="str">
        <f t="array" ref="AA148">_xll.RssIndexMarket("RSS3.FUT08.OS", "上場来安値日付")</f>
        <v/>
      </c>
    </row>
    <row r="149" spans="1:27">
      <c r="A149" s="1" t="str">
        <f t="array" ref="A149">_xll.RssIndexMarket("RSS3.FUT09.OS", "指標コード")</f>
        <v/>
      </c>
      <c r="B149" s="1" t="str">
        <f t="array" ref="B149">_xll.RssIndexMarket("RSS3.FUT09.OS", "指標名称")</f>
        <v/>
      </c>
      <c r="C149" s="1" t="str">
        <f t="array" ref="C149">_xll.RssIndexMarket("RSS3.FUT09.OS", "現在日付")</f>
        <v>2025/12/11</v>
      </c>
      <c r="D149" s="1" t="str">
        <f t="array" ref="D149">_xll.RssIndexMarket("RSS3.FUT09.OS", "更新時刻")</f>
        <v/>
      </c>
      <c r="E149" s="2">
        <f t="array" ref="E149">_xll.RssIndexMarket("RSS3.FUT09.OS", "現在値")</f>
        <v>0</v>
      </c>
      <c r="F149" s="1" t="str">
        <f t="array" ref="F149">_xll.RssIndexMarket("RSS3.FUT09.OS", "現在値ティック")</f>
        <v/>
      </c>
      <c r="G149" s="2">
        <f t="array" ref="G149">_xll.RssIndexMarket("RSS3.FUT09.OS", "前日比")</f>
        <v>0</v>
      </c>
      <c r="H149" s="2">
        <f t="array" ref="H149">_xll.RssIndexMarket("RSS3.FUT09.OS", "前日比率")</f>
        <v>0</v>
      </c>
      <c r="I149" s="2">
        <f t="array" ref="I149">_xll.RssIndexMarket("RSS3.FUT09.OS", "前日終値")</f>
        <v>327.5</v>
      </c>
      <c r="J149" s="1" t="str">
        <f t="array" ref="J149">_xll.RssIndexMarket("RSS3.FUT09.OS", "前日日付")</f>
        <v>2025/12/11</v>
      </c>
      <c r="K149" s="2">
        <f t="array" ref="K149">_xll.RssIndexMarket("RSS3.FUT09.OS", "始値")</f>
        <v>0</v>
      </c>
      <c r="L149" s="2">
        <f t="array" ref="L149">_xll.RssIndexMarket("RSS3.FUT09.OS", "高値")</f>
        <v>0</v>
      </c>
      <c r="M149" s="2">
        <f t="array" ref="M149">_xll.RssIndexMarket("RSS3.FUT09.OS", "安値")</f>
        <v>0</v>
      </c>
      <c r="N149" s="1" t="str">
        <f t="array" ref="N149">_xll.RssIndexMarket("RSS3.FUT09.OS", "始値時刻")</f>
        <v xml:space="preserve">  :  </v>
      </c>
      <c r="O149" s="1" t="str">
        <f t="array" ref="O149">_xll.RssIndexMarket("RSS3.FUT09.OS", "高値時刻")</f>
        <v xml:space="preserve">  :  </v>
      </c>
      <c r="P149" s="1" t="str">
        <f t="array" ref="P149">_xll.RssIndexMarket("RSS3.FUT09.OS", "安値時刻")</f>
        <v xml:space="preserve">  :  </v>
      </c>
      <c r="Q149" s="2">
        <f t="array" ref="Q149">_xll.RssIndexMarket("RSS3.FUT09.OS", "出来高")</f>
        <v>0</v>
      </c>
      <c r="R149" s="2">
        <f t="array" ref="R149">_xll.RssIndexMarket("RSS3.FUT09.OS", "売買代金")</f>
        <v>0</v>
      </c>
      <c r="S149" s="2" t="str">
        <f t="array" ref="S149">_xll.RssIndexMarket("RSS3.FUT09.OS", "前年最高値")</f>
        <v/>
      </c>
      <c r="T149" s="2" t="str">
        <f t="array" ref="T149">_xll.RssIndexMarket("RSS3.FUT09.OS", "前年最安値")</f>
        <v/>
      </c>
      <c r="U149" s="2" t="str">
        <f t="array" ref="U149">_xll.RssIndexMarket("RSS3.FUT09.OS", "前年終値")</f>
        <v/>
      </c>
      <c r="V149" s="2" t="str">
        <f t="array" ref="V149">_xll.RssIndexMarket("RSS3.FUT09.OS", "年初来高値")</f>
        <v/>
      </c>
      <c r="W149" s="2" t="str">
        <f t="array" ref="W149">_xll.RssIndexMarket("RSS3.FUT09.OS", "年初来安値")</f>
        <v/>
      </c>
      <c r="X149" s="2" t="str">
        <f t="array" ref="X149">_xll.RssIndexMarket("RSS3.FUT09.OS", "上場来高値")</f>
        <v/>
      </c>
      <c r="Y149" s="2" t="str">
        <f t="array" ref="Y149">_xll.RssIndexMarket("RSS3.FUT09.OS", "上場来安値")</f>
        <v/>
      </c>
      <c r="Z149" s="1" t="str">
        <f t="array" ref="Z149">_xll.RssIndexMarket("RSS3.FUT09.OS", "上場来高値日付")</f>
        <v/>
      </c>
      <c r="AA149" s="1" t="str">
        <f t="array" ref="AA149">_xll.RssIndexMarket("RSS3.FUT09.OS", "上場来安値日付")</f>
        <v/>
      </c>
    </row>
    <row r="150" spans="1:27">
      <c r="A150" s="1" t="str">
        <f t="array" ref="A150">_xll.RssIndexMarket("RSS3.FUT10.OS", "指標コード")</f>
        <v/>
      </c>
      <c r="B150" s="1" t="str">
        <f t="array" ref="B150">_xll.RssIndexMarket("RSS3.FUT10.OS", "指標名称")</f>
        <v/>
      </c>
      <c r="C150" s="1" t="str">
        <f t="array" ref="C150">_xll.RssIndexMarket("RSS3.FUT10.OS", "現在日付")</f>
        <v/>
      </c>
      <c r="D150" s="1" t="str">
        <f t="array" ref="D150">_xll.RssIndexMarket("RSS3.FUT10.OS", "更新時刻")</f>
        <v/>
      </c>
      <c r="E150" s="2">
        <f t="array" ref="E150">_xll.RssIndexMarket("RSS3.FUT10.OS", "現在値")</f>
        <v>0</v>
      </c>
      <c r="F150" s="1" t="str">
        <f t="array" ref="F150">_xll.RssIndexMarket("RSS3.FUT10.OS", "現在値ティック")</f>
        <v/>
      </c>
      <c r="G150" s="2">
        <f t="array" ref="G150">_xll.RssIndexMarket("RSS3.FUT10.OS", "前日比")</f>
        <v>0</v>
      </c>
      <c r="H150" s="2">
        <f t="array" ref="H150">_xll.RssIndexMarket("RSS3.FUT10.OS", "前日比率")</f>
        <v>0</v>
      </c>
      <c r="I150" s="2">
        <f t="array" ref="I150">_xll.RssIndexMarket("RSS3.FUT10.OS", "前日終値")</f>
        <v>0</v>
      </c>
      <c r="J150" s="1" t="str">
        <f t="array" ref="J150">_xll.RssIndexMarket("RSS3.FUT10.OS", "前日日付")</f>
        <v/>
      </c>
      <c r="K150" s="2">
        <f t="array" ref="K150">_xll.RssIndexMarket("RSS3.FUT10.OS", "始値")</f>
        <v>0</v>
      </c>
      <c r="L150" s="2">
        <f t="array" ref="L150">_xll.RssIndexMarket("RSS3.FUT10.OS", "高値")</f>
        <v>0</v>
      </c>
      <c r="M150" s="2">
        <f t="array" ref="M150">_xll.RssIndexMarket("RSS3.FUT10.OS", "安値")</f>
        <v>0</v>
      </c>
      <c r="N150" s="1" t="str">
        <f t="array" ref="N150">_xll.RssIndexMarket("RSS3.FUT10.OS", "始値時刻")</f>
        <v xml:space="preserve">  :  </v>
      </c>
      <c r="O150" s="1" t="str">
        <f t="array" ref="O150">_xll.RssIndexMarket("RSS3.FUT10.OS", "高値時刻")</f>
        <v xml:space="preserve">  :  </v>
      </c>
      <c r="P150" s="1" t="str">
        <f t="array" ref="P150">_xll.RssIndexMarket("RSS3.FUT10.OS", "安値時刻")</f>
        <v xml:space="preserve">  :  </v>
      </c>
      <c r="Q150" s="2">
        <f t="array" ref="Q150">_xll.RssIndexMarket("RSS3.FUT10.OS", "出来高")</f>
        <v>0</v>
      </c>
      <c r="R150" s="2">
        <f t="array" ref="R150">_xll.RssIndexMarket("RSS3.FUT10.OS", "売買代金")</f>
        <v>0</v>
      </c>
      <c r="S150" s="2" t="str">
        <f t="array" ref="S150">_xll.RssIndexMarket("RSS3.FUT10.OS", "前年最高値")</f>
        <v/>
      </c>
      <c r="T150" s="2" t="str">
        <f t="array" ref="T150">_xll.RssIndexMarket("RSS3.FUT10.OS", "前年最安値")</f>
        <v/>
      </c>
      <c r="U150" s="2" t="str">
        <f t="array" ref="U150">_xll.RssIndexMarket("RSS3.FUT10.OS", "前年終値")</f>
        <v/>
      </c>
      <c r="V150" s="2" t="str">
        <f t="array" ref="V150">_xll.RssIndexMarket("RSS3.FUT10.OS", "年初来高値")</f>
        <v/>
      </c>
      <c r="W150" s="2" t="str">
        <f t="array" ref="W150">_xll.RssIndexMarket("RSS3.FUT10.OS", "年初来安値")</f>
        <v/>
      </c>
      <c r="X150" s="2" t="str">
        <f t="array" ref="X150">_xll.RssIndexMarket("RSS3.FUT10.OS", "上場来高値")</f>
        <v/>
      </c>
      <c r="Y150" s="2" t="str">
        <f t="array" ref="Y150">_xll.RssIndexMarket("RSS3.FUT10.OS", "上場来安値")</f>
        <v/>
      </c>
      <c r="Z150" s="1" t="str">
        <f t="array" ref="Z150">_xll.RssIndexMarket("RSS3.FUT10.OS", "上場来高値日付")</f>
        <v/>
      </c>
      <c r="AA150" s="1" t="str">
        <f t="array" ref="AA150">_xll.RssIndexMarket("RSS3.FUT10.OS", "上場来安値日付")</f>
        <v/>
      </c>
    </row>
    <row r="151" spans="1:27">
      <c r="A151" s="1" t="str">
        <f t="array" ref="A151">_xll.RssIndexMarket("RSS3.FUT11.OS", "指標コード")</f>
        <v/>
      </c>
      <c r="B151" s="1" t="str">
        <f t="array" ref="B151">_xll.RssIndexMarket("RSS3.FUT11.OS", "指標名称")</f>
        <v/>
      </c>
      <c r="C151" s="1" t="str">
        <f t="array" ref="C151">_xll.RssIndexMarket("RSS3.FUT11.OS", "現在日付")</f>
        <v>2026/02/20</v>
      </c>
      <c r="D151" s="1" t="str">
        <f t="array" ref="D151">_xll.RssIndexMarket("RSS3.FUT11.OS", "更新時刻")</f>
        <v/>
      </c>
      <c r="E151" s="2">
        <f t="array" ref="E151">_xll.RssIndexMarket("RSS3.FUT11.OS", "現在値")</f>
        <v>0</v>
      </c>
      <c r="F151" s="1" t="str">
        <f t="array" ref="F151">_xll.RssIndexMarket("RSS3.FUT11.OS", "現在値ティック")</f>
        <v/>
      </c>
      <c r="G151" s="2">
        <f t="array" ref="G151">_xll.RssIndexMarket("RSS3.FUT11.OS", "前日比")</f>
        <v>0</v>
      </c>
      <c r="H151" s="2">
        <f t="array" ref="H151">_xll.RssIndexMarket("RSS3.FUT11.OS", "前日比率")</f>
        <v>0</v>
      </c>
      <c r="I151" s="2">
        <f t="array" ref="I151">_xll.RssIndexMarket("RSS3.FUT11.OS", "前日終値")</f>
        <v>359</v>
      </c>
      <c r="J151" s="1" t="str">
        <f t="array" ref="J151">_xll.RssIndexMarket("RSS3.FUT11.OS", "前日日付")</f>
        <v>2026/02/20</v>
      </c>
      <c r="K151" s="2">
        <f t="array" ref="K151">_xll.RssIndexMarket("RSS3.FUT11.OS", "始値")</f>
        <v>0</v>
      </c>
      <c r="L151" s="2">
        <f t="array" ref="L151">_xll.RssIndexMarket("RSS3.FUT11.OS", "高値")</f>
        <v>0</v>
      </c>
      <c r="M151" s="2">
        <f t="array" ref="M151">_xll.RssIndexMarket("RSS3.FUT11.OS", "安値")</f>
        <v>0</v>
      </c>
      <c r="N151" s="1" t="str">
        <f t="array" ref="N151">_xll.RssIndexMarket("RSS3.FUT11.OS", "始値時刻")</f>
        <v xml:space="preserve">  :  </v>
      </c>
      <c r="O151" s="1" t="str">
        <f t="array" ref="O151">_xll.RssIndexMarket("RSS3.FUT11.OS", "高値時刻")</f>
        <v xml:space="preserve">  :  </v>
      </c>
      <c r="P151" s="1" t="str">
        <f t="array" ref="P151">_xll.RssIndexMarket("RSS3.FUT11.OS", "安値時刻")</f>
        <v xml:space="preserve">  :  </v>
      </c>
      <c r="Q151" s="2">
        <f t="array" ref="Q151">_xll.RssIndexMarket("RSS3.FUT11.OS", "出来高")</f>
        <v>0</v>
      </c>
      <c r="R151" s="2">
        <f t="array" ref="R151">_xll.RssIndexMarket("RSS3.FUT11.OS", "売買代金")</f>
        <v>0</v>
      </c>
      <c r="S151" s="2" t="str">
        <f t="array" ref="S151">_xll.RssIndexMarket("RSS3.FUT11.OS", "前年最高値")</f>
        <v/>
      </c>
      <c r="T151" s="2" t="str">
        <f t="array" ref="T151">_xll.RssIndexMarket("RSS3.FUT11.OS", "前年最安値")</f>
        <v/>
      </c>
      <c r="U151" s="2" t="str">
        <f t="array" ref="U151">_xll.RssIndexMarket("RSS3.FUT11.OS", "前年終値")</f>
        <v/>
      </c>
      <c r="V151" s="2" t="str">
        <f t="array" ref="V151">_xll.RssIndexMarket("RSS3.FUT11.OS", "年初来高値")</f>
        <v/>
      </c>
      <c r="W151" s="2" t="str">
        <f t="array" ref="W151">_xll.RssIndexMarket("RSS3.FUT11.OS", "年初来安値")</f>
        <v/>
      </c>
      <c r="X151" s="2" t="str">
        <f t="array" ref="X151">_xll.RssIndexMarket("RSS3.FUT11.OS", "上場来高値")</f>
        <v/>
      </c>
      <c r="Y151" s="2" t="str">
        <f t="array" ref="Y151">_xll.RssIndexMarket("RSS3.FUT11.OS", "上場来安値")</f>
        <v/>
      </c>
      <c r="Z151" s="1" t="str">
        <f t="array" ref="Z151">_xll.RssIndexMarket("RSS3.FUT11.OS", "上場来高値日付")</f>
        <v/>
      </c>
      <c r="AA151" s="1" t="str">
        <f t="array" ref="AA151">_xll.RssIndexMarket("RSS3.FUT11.OS", "上場来安値日付")</f>
        <v/>
      </c>
    </row>
    <row r="152" spans="1:27">
      <c r="A152" s="1" t="str">
        <f t="array" ref="A152">_xll.RssIndexMarket("RSS3.FUT12.OS", "指標コード")</f>
        <v/>
      </c>
      <c r="B152" s="1" t="str">
        <f t="array" ref="B152">_xll.RssIndexMarket("RSS3.FUT12.OS", "指標名称")</f>
        <v/>
      </c>
      <c r="C152" s="1" t="str">
        <f t="array" ref="C152">_xll.RssIndexMarket("RSS3.FUT12.OS", "現在日付")</f>
        <v/>
      </c>
      <c r="D152" s="1" t="str">
        <f t="array" ref="D152">_xll.RssIndexMarket("RSS3.FUT12.OS", "更新時刻")</f>
        <v/>
      </c>
      <c r="E152" s="2">
        <f t="array" ref="E152">_xll.RssIndexMarket("RSS3.FUT12.OS", "現在値")</f>
        <v>0</v>
      </c>
      <c r="F152" s="1" t="str">
        <f t="array" ref="F152">_xll.RssIndexMarket("RSS3.FUT12.OS", "現在値ティック")</f>
        <v/>
      </c>
      <c r="G152" s="2">
        <f t="array" ref="G152">_xll.RssIndexMarket("RSS3.FUT12.OS", "前日比")</f>
        <v>0</v>
      </c>
      <c r="H152" s="2">
        <f t="array" ref="H152">_xll.RssIndexMarket("RSS3.FUT12.OS", "前日比率")</f>
        <v>0</v>
      </c>
      <c r="I152" s="2">
        <f t="array" ref="I152">_xll.RssIndexMarket("RSS3.FUT12.OS", "前日終値")</f>
        <v>0</v>
      </c>
      <c r="J152" s="1" t="str">
        <f t="array" ref="J152">_xll.RssIndexMarket("RSS3.FUT12.OS", "前日日付")</f>
        <v/>
      </c>
      <c r="K152" s="2">
        <f t="array" ref="K152">_xll.RssIndexMarket("RSS3.FUT12.OS", "始値")</f>
        <v>0</v>
      </c>
      <c r="L152" s="2">
        <f t="array" ref="L152">_xll.RssIndexMarket("RSS3.FUT12.OS", "高値")</f>
        <v>0</v>
      </c>
      <c r="M152" s="2">
        <f t="array" ref="M152">_xll.RssIndexMarket("RSS3.FUT12.OS", "安値")</f>
        <v>0</v>
      </c>
      <c r="N152" s="1" t="str">
        <f t="array" ref="N152">_xll.RssIndexMarket("RSS3.FUT12.OS", "始値時刻")</f>
        <v xml:space="preserve">  :  </v>
      </c>
      <c r="O152" s="1" t="str">
        <f t="array" ref="O152">_xll.RssIndexMarket("RSS3.FUT12.OS", "高値時刻")</f>
        <v xml:space="preserve">  :  </v>
      </c>
      <c r="P152" s="1" t="str">
        <f t="array" ref="P152">_xll.RssIndexMarket("RSS3.FUT12.OS", "安値時刻")</f>
        <v xml:space="preserve">  :  </v>
      </c>
      <c r="Q152" s="2">
        <f t="array" ref="Q152">_xll.RssIndexMarket("RSS3.FUT12.OS", "出来高")</f>
        <v>0</v>
      </c>
      <c r="R152" s="2">
        <f t="array" ref="R152">_xll.RssIndexMarket("RSS3.FUT12.OS", "売買代金")</f>
        <v>0</v>
      </c>
      <c r="S152" s="2" t="str">
        <f t="array" ref="S152">_xll.RssIndexMarket("RSS3.FUT12.OS", "前年最高値")</f>
        <v/>
      </c>
      <c r="T152" s="2" t="str">
        <f t="array" ref="T152">_xll.RssIndexMarket("RSS3.FUT12.OS", "前年最安値")</f>
        <v/>
      </c>
      <c r="U152" s="2" t="str">
        <f t="array" ref="U152">_xll.RssIndexMarket("RSS3.FUT12.OS", "前年終値")</f>
        <v/>
      </c>
      <c r="V152" s="2" t="str">
        <f t="array" ref="V152">_xll.RssIndexMarket("RSS3.FUT12.OS", "年初来高値")</f>
        <v/>
      </c>
      <c r="W152" s="2" t="str">
        <f t="array" ref="W152">_xll.RssIndexMarket("RSS3.FUT12.OS", "年初来安値")</f>
        <v/>
      </c>
      <c r="X152" s="2" t="str">
        <f t="array" ref="X152">_xll.RssIndexMarket("RSS3.FUT12.OS", "上場来高値")</f>
        <v/>
      </c>
      <c r="Y152" s="2" t="str">
        <f t="array" ref="Y152">_xll.RssIndexMarket("RSS3.FUT12.OS", "上場来安値")</f>
        <v/>
      </c>
      <c r="Z152" s="1" t="str">
        <f t="array" ref="Z152">_xll.RssIndexMarket("RSS3.FUT12.OS", "上場来高値日付")</f>
        <v/>
      </c>
      <c r="AA152" s="1" t="str">
        <f t="array" ref="AA152">_xll.RssIndexMarket("RSS3.FUT12.OS", "上場来安値日付")</f>
        <v/>
      </c>
    </row>
    <row r="153" spans="1:27">
      <c r="A153" s="1" t="str">
        <f t="array" ref="A153">_xll.RssIndexMarket("TSR20.FUT01.OS", "指標コード")</f>
        <v/>
      </c>
      <c r="B153" s="1" t="str">
        <f t="array" ref="B153">_xll.RssIndexMarket("TSR20.FUT01.OS", "指標名称")</f>
        <v/>
      </c>
      <c r="C153" s="1" t="str">
        <f t="array" ref="C153">_xll.RssIndexMarket("TSR20.FUT01.OS", "現在日付")</f>
        <v/>
      </c>
      <c r="D153" s="1" t="str">
        <f t="array" ref="D153">_xll.RssIndexMarket("TSR20.FUT01.OS", "更新時刻")</f>
        <v/>
      </c>
      <c r="E153" s="2">
        <f t="array" ref="E153">_xll.RssIndexMarket("TSR20.FUT01.OS", "現在値")</f>
        <v>0</v>
      </c>
      <c r="F153" s="1" t="str">
        <f t="array" ref="F153">_xll.RssIndexMarket("TSR20.FUT01.OS", "現在値ティック")</f>
        <v/>
      </c>
      <c r="G153" s="2">
        <f t="array" ref="G153">_xll.RssIndexMarket("TSR20.FUT01.OS", "前日比")</f>
        <v>0</v>
      </c>
      <c r="H153" s="2">
        <f t="array" ref="H153">_xll.RssIndexMarket("TSR20.FUT01.OS", "前日比率")</f>
        <v>0</v>
      </c>
      <c r="I153" s="2">
        <f t="array" ref="I153">_xll.RssIndexMarket("TSR20.FUT01.OS", "前日終値")</f>
        <v>0</v>
      </c>
      <c r="J153" s="1" t="str">
        <f t="array" ref="J153">_xll.RssIndexMarket("TSR20.FUT01.OS", "前日日付")</f>
        <v/>
      </c>
      <c r="K153" s="2">
        <f t="array" ref="K153">_xll.RssIndexMarket("TSR20.FUT01.OS", "始値")</f>
        <v>0</v>
      </c>
      <c r="L153" s="2">
        <f t="array" ref="L153">_xll.RssIndexMarket("TSR20.FUT01.OS", "高値")</f>
        <v>0</v>
      </c>
      <c r="M153" s="2">
        <f t="array" ref="M153">_xll.RssIndexMarket("TSR20.FUT01.OS", "安値")</f>
        <v>0</v>
      </c>
      <c r="N153" s="1" t="str">
        <f t="array" ref="N153">_xll.RssIndexMarket("TSR20.FUT01.OS", "始値時刻")</f>
        <v xml:space="preserve">  :  </v>
      </c>
      <c r="O153" s="1" t="str">
        <f t="array" ref="O153">_xll.RssIndexMarket("TSR20.FUT01.OS", "高値時刻")</f>
        <v xml:space="preserve">  :  </v>
      </c>
      <c r="P153" s="1" t="str">
        <f t="array" ref="P153">_xll.RssIndexMarket("TSR20.FUT01.OS", "安値時刻")</f>
        <v xml:space="preserve">  :  </v>
      </c>
      <c r="Q153" s="2">
        <f t="array" ref="Q153">_xll.RssIndexMarket("TSR20.FUT01.OS", "出来高")</f>
        <v>0</v>
      </c>
      <c r="R153" s="2">
        <f t="array" ref="R153">_xll.RssIndexMarket("TSR20.FUT01.OS", "売買代金")</f>
        <v>0</v>
      </c>
      <c r="S153" s="2" t="str">
        <f t="array" ref="S153">_xll.RssIndexMarket("TSR20.FUT01.OS", "前年最高値")</f>
        <v/>
      </c>
      <c r="T153" s="2" t="str">
        <f t="array" ref="T153">_xll.RssIndexMarket("TSR20.FUT01.OS", "前年最安値")</f>
        <v/>
      </c>
      <c r="U153" s="2" t="str">
        <f t="array" ref="U153">_xll.RssIndexMarket("TSR20.FUT01.OS", "前年終値")</f>
        <v/>
      </c>
      <c r="V153" s="2" t="str">
        <f t="array" ref="V153">_xll.RssIndexMarket("TSR20.FUT01.OS", "年初来高値")</f>
        <v/>
      </c>
      <c r="W153" s="2" t="str">
        <f t="array" ref="W153">_xll.RssIndexMarket("TSR20.FUT01.OS", "年初来安値")</f>
        <v/>
      </c>
      <c r="X153" s="2" t="str">
        <f t="array" ref="X153">_xll.RssIndexMarket("TSR20.FUT01.OS", "上場来高値")</f>
        <v/>
      </c>
      <c r="Y153" s="2" t="str">
        <f t="array" ref="Y153">_xll.RssIndexMarket("TSR20.FUT01.OS", "上場来安値")</f>
        <v/>
      </c>
      <c r="Z153" s="1" t="str">
        <f t="array" ref="Z153">_xll.RssIndexMarket("TSR20.FUT01.OS", "上場来高値日付")</f>
        <v/>
      </c>
      <c r="AA153" s="1" t="str">
        <f t="array" ref="AA153">_xll.RssIndexMarket("TSR20.FUT01.OS", "上場来安値日付")</f>
        <v/>
      </c>
    </row>
    <row r="154" spans="1:27">
      <c r="A154" s="1" t="str">
        <f t="array" ref="A154">_xll.RssIndexMarket("TSR20.FUT02.OS", "指標コード")</f>
        <v/>
      </c>
      <c r="B154" s="1" t="str">
        <f t="array" ref="B154">_xll.RssIndexMarket("TSR20.FUT02.OS", "指標名称")</f>
        <v/>
      </c>
      <c r="C154" s="1" t="str">
        <f t="array" ref="C154">_xll.RssIndexMarket("TSR20.FUT02.OS", "現在日付")</f>
        <v/>
      </c>
      <c r="D154" s="1" t="str">
        <f t="array" ref="D154">_xll.RssIndexMarket("TSR20.FUT02.OS", "更新時刻")</f>
        <v/>
      </c>
      <c r="E154" s="2">
        <f t="array" ref="E154">_xll.RssIndexMarket("TSR20.FUT02.OS", "現在値")</f>
        <v>0</v>
      </c>
      <c r="F154" s="1" t="str">
        <f t="array" ref="F154">_xll.RssIndexMarket("TSR20.FUT02.OS", "現在値ティック")</f>
        <v/>
      </c>
      <c r="G154" s="2">
        <f t="array" ref="G154">_xll.RssIndexMarket("TSR20.FUT02.OS", "前日比")</f>
        <v>0</v>
      </c>
      <c r="H154" s="2">
        <f t="array" ref="H154">_xll.RssIndexMarket("TSR20.FUT02.OS", "前日比率")</f>
        <v>0</v>
      </c>
      <c r="I154" s="2">
        <f t="array" ref="I154">_xll.RssIndexMarket("TSR20.FUT02.OS", "前日終値")</f>
        <v>0</v>
      </c>
      <c r="J154" s="1" t="str">
        <f t="array" ref="J154">_xll.RssIndexMarket("TSR20.FUT02.OS", "前日日付")</f>
        <v/>
      </c>
      <c r="K154" s="2">
        <f t="array" ref="K154">_xll.RssIndexMarket("TSR20.FUT02.OS", "始値")</f>
        <v>0</v>
      </c>
      <c r="L154" s="2">
        <f t="array" ref="L154">_xll.RssIndexMarket("TSR20.FUT02.OS", "高値")</f>
        <v>0</v>
      </c>
      <c r="M154" s="2">
        <f t="array" ref="M154">_xll.RssIndexMarket("TSR20.FUT02.OS", "安値")</f>
        <v>0</v>
      </c>
      <c r="N154" s="1" t="str">
        <f t="array" ref="N154">_xll.RssIndexMarket("TSR20.FUT02.OS", "始値時刻")</f>
        <v xml:space="preserve">  :  </v>
      </c>
      <c r="O154" s="1" t="str">
        <f t="array" ref="O154">_xll.RssIndexMarket("TSR20.FUT02.OS", "高値時刻")</f>
        <v xml:space="preserve">  :  </v>
      </c>
      <c r="P154" s="1" t="str">
        <f t="array" ref="P154">_xll.RssIndexMarket("TSR20.FUT02.OS", "安値時刻")</f>
        <v xml:space="preserve">  :  </v>
      </c>
      <c r="Q154" s="2">
        <f t="array" ref="Q154">_xll.RssIndexMarket("TSR20.FUT02.OS", "出来高")</f>
        <v>0</v>
      </c>
      <c r="R154" s="2">
        <f t="array" ref="R154">_xll.RssIndexMarket("TSR20.FUT02.OS", "売買代金")</f>
        <v>0</v>
      </c>
      <c r="S154" s="2" t="str">
        <f t="array" ref="S154">_xll.RssIndexMarket("TSR20.FUT02.OS", "前年最高値")</f>
        <v/>
      </c>
      <c r="T154" s="2" t="str">
        <f t="array" ref="T154">_xll.RssIndexMarket("TSR20.FUT02.OS", "前年最安値")</f>
        <v/>
      </c>
      <c r="U154" s="2" t="str">
        <f t="array" ref="U154">_xll.RssIndexMarket("TSR20.FUT02.OS", "前年終値")</f>
        <v/>
      </c>
      <c r="V154" s="2" t="str">
        <f t="array" ref="V154">_xll.RssIndexMarket("TSR20.FUT02.OS", "年初来高値")</f>
        <v/>
      </c>
      <c r="W154" s="2" t="str">
        <f t="array" ref="W154">_xll.RssIndexMarket("TSR20.FUT02.OS", "年初来安値")</f>
        <v/>
      </c>
      <c r="X154" s="2" t="str">
        <f t="array" ref="X154">_xll.RssIndexMarket("TSR20.FUT02.OS", "上場来高値")</f>
        <v/>
      </c>
      <c r="Y154" s="2" t="str">
        <f t="array" ref="Y154">_xll.RssIndexMarket("TSR20.FUT02.OS", "上場来安値")</f>
        <v/>
      </c>
      <c r="Z154" s="1" t="str">
        <f t="array" ref="Z154">_xll.RssIndexMarket("TSR20.FUT02.OS", "上場来高値日付")</f>
        <v/>
      </c>
      <c r="AA154" s="1" t="str">
        <f t="array" ref="AA154">_xll.RssIndexMarket("TSR20.FUT02.OS", "上場来安値日付")</f>
        <v/>
      </c>
    </row>
    <row r="155" spans="1:27">
      <c r="A155" s="1" t="str">
        <f t="array" ref="A155">_xll.RssIndexMarket("TSR20.FUT03.OS", "指標コード")</f>
        <v/>
      </c>
      <c r="B155" s="1" t="str">
        <f t="array" ref="B155">_xll.RssIndexMarket("TSR20.FUT03.OS", "指標名称")</f>
        <v/>
      </c>
      <c r="C155" s="1" t="str">
        <f t="array" ref="C155">_xll.RssIndexMarket("TSR20.FUT03.OS", "現在日付")</f>
        <v/>
      </c>
      <c r="D155" s="1" t="str">
        <f t="array" ref="D155">_xll.RssIndexMarket("TSR20.FUT03.OS", "更新時刻")</f>
        <v/>
      </c>
      <c r="E155" s="2">
        <f t="array" ref="E155">_xll.RssIndexMarket("TSR20.FUT03.OS", "現在値")</f>
        <v>0</v>
      </c>
      <c r="F155" s="1" t="str">
        <f t="array" ref="F155">_xll.RssIndexMarket("TSR20.FUT03.OS", "現在値ティック")</f>
        <v/>
      </c>
      <c r="G155" s="2">
        <f t="array" ref="G155">_xll.RssIndexMarket("TSR20.FUT03.OS", "前日比")</f>
        <v>0</v>
      </c>
      <c r="H155" s="2">
        <f t="array" ref="H155">_xll.RssIndexMarket("TSR20.FUT03.OS", "前日比率")</f>
        <v>0</v>
      </c>
      <c r="I155" s="2">
        <f t="array" ref="I155">_xll.RssIndexMarket("TSR20.FUT03.OS", "前日終値")</f>
        <v>0</v>
      </c>
      <c r="J155" s="1" t="str">
        <f t="array" ref="J155">_xll.RssIndexMarket("TSR20.FUT03.OS", "前日日付")</f>
        <v/>
      </c>
      <c r="K155" s="2">
        <f t="array" ref="K155">_xll.RssIndexMarket("TSR20.FUT03.OS", "始値")</f>
        <v>0</v>
      </c>
      <c r="L155" s="2">
        <f t="array" ref="L155">_xll.RssIndexMarket("TSR20.FUT03.OS", "高値")</f>
        <v>0</v>
      </c>
      <c r="M155" s="2">
        <f t="array" ref="M155">_xll.RssIndexMarket("TSR20.FUT03.OS", "安値")</f>
        <v>0</v>
      </c>
      <c r="N155" s="1" t="str">
        <f t="array" ref="N155">_xll.RssIndexMarket("TSR20.FUT03.OS", "始値時刻")</f>
        <v xml:space="preserve">  :  </v>
      </c>
      <c r="O155" s="1" t="str">
        <f t="array" ref="O155">_xll.RssIndexMarket("TSR20.FUT03.OS", "高値時刻")</f>
        <v xml:space="preserve">  :  </v>
      </c>
      <c r="P155" s="1" t="str">
        <f t="array" ref="P155">_xll.RssIndexMarket("TSR20.FUT03.OS", "安値時刻")</f>
        <v xml:space="preserve">  :  </v>
      </c>
      <c r="Q155" s="2">
        <f t="array" ref="Q155">_xll.RssIndexMarket("TSR20.FUT03.OS", "出来高")</f>
        <v>0</v>
      </c>
      <c r="R155" s="2">
        <f t="array" ref="R155">_xll.RssIndexMarket("TSR20.FUT03.OS", "売買代金")</f>
        <v>0</v>
      </c>
      <c r="S155" s="2" t="str">
        <f t="array" ref="S155">_xll.RssIndexMarket("TSR20.FUT03.OS", "前年最高値")</f>
        <v/>
      </c>
      <c r="T155" s="2" t="str">
        <f t="array" ref="T155">_xll.RssIndexMarket("TSR20.FUT03.OS", "前年最安値")</f>
        <v/>
      </c>
      <c r="U155" s="2" t="str">
        <f t="array" ref="U155">_xll.RssIndexMarket("TSR20.FUT03.OS", "前年終値")</f>
        <v/>
      </c>
      <c r="V155" s="2" t="str">
        <f t="array" ref="V155">_xll.RssIndexMarket("TSR20.FUT03.OS", "年初来高値")</f>
        <v/>
      </c>
      <c r="W155" s="2" t="str">
        <f t="array" ref="W155">_xll.RssIndexMarket("TSR20.FUT03.OS", "年初来安値")</f>
        <v/>
      </c>
      <c r="X155" s="2" t="str">
        <f t="array" ref="X155">_xll.RssIndexMarket("TSR20.FUT03.OS", "上場来高値")</f>
        <v/>
      </c>
      <c r="Y155" s="2" t="str">
        <f t="array" ref="Y155">_xll.RssIndexMarket("TSR20.FUT03.OS", "上場来安値")</f>
        <v/>
      </c>
      <c r="Z155" s="1" t="str">
        <f t="array" ref="Z155">_xll.RssIndexMarket("TSR20.FUT03.OS", "上場来高値日付")</f>
        <v/>
      </c>
      <c r="AA155" s="1" t="str">
        <f t="array" ref="AA155">_xll.RssIndexMarket("TSR20.FUT03.OS", "上場来安値日付")</f>
        <v/>
      </c>
    </row>
    <row r="156" spans="1:27">
      <c r="A156" s="1" t="str">
        <f t="array" ref="A156">_xll.RssIndexMarket("TSR20.FUT04.OS", "指標コード")</f>
        <v/>
      </c>
      <c r="B156" s="1" t="str">
        <f t="array" ref="B156">_xll.RssIndexMarket("TSR20.FUT04.OS", "指標名称")</f>
        <v/>
      </c>
      <c r="C156" s="1" t="str">
        <f t="array" ref="C156">_xll.RssIndexMarket("TSR20.FUT04.OS", "現在日付")</f>
        <v/>
      </c>
      <c r="D156" s="1" t="str">
        <f t="array" ref="D156">_xll.RssIndexMarket("TSR20.FUT04.OS", "更新時刻")</f>
        <v/>
      </c>
      <c r="E156" s="2">
        <f t="array" ref="E156">_xll.RssIndexMarket("TSR20.FUT04.OS", "現在値")</f>
        <v>0</v>
      </c>
      <c r="F156" s="1" t="str">
        <f t="array" ref="F156">_xll.RssIndexMarket("TSR20.FUT04.OS", "現在値ティック")</f>
        <v/>
      </c>
      <c r="G156" s="2">
        <f t="array" ref="G156">_xll.RssIndexMarket("TSR20.FUT04.OS", "前日比")</f>
        <v>0</v>
      </c>
      <c r="H156" s="2">
        <f t="array" ref="H156">_xll.RssIndexMarket("TSR20.FUT04.OS", "前日比率")</f>
        <v>0</v>
      </c>
      <c r="I156" s="2">
        <f t="array" ref="I156">_xll.RssIndexMarket("TSR20.FUT04.OS", "前日終値")</f>
        <v>0</v>
      </c>
      <c r="J156" s="1" t="str">
        <f t="array" ref="J156">_xll.RssIndexMarket("TSR20.FUT04.OS", "前日日付")</f>
        <v/>
      </c>
      <c r="K156" s="2">
        <f t="array" ref="K156">_xll.RssIndexMarket("TSR20.FUT04.OS", "始値")</f>
        <v>0</v>
      </c>
      <c r="L156" s="2">
        <f t="array" ref="L156">_xll.RssIndexMarket("TSR20.FUT04.OS", "高値")</f>
        <v>0</v>
      </c>
      <c r="M156" s="2">
        <f t="array" ref="M156">_xll.RssIndexMarket("TSR20.FUT04.OS", "安値")</f>
        <v>0</v>
      </c>
      <c r="N156" s="1" t="str">
        <f t="array" ref="N156">_xll.RssIndexMarket("TSR20.FUT04.OS", "始値時刻")</f>
        <v xml:space="preserve">  :  </v>
      </c>
      <c r="O156" s="1" t="str">
        <f t="array" ref="O156">_xll.RssIndexMarket("TSR20.FUT04.OS", "高値時刻")</f>
        <v xml:space="preserve">  :  </v>
      </c>
      <c r="P156" s="1" t="str">
        <f t="array" ref="P156">_xll.RssIndexMarket("TSR20.FUT04.OS", "安値時刻")</f>
        <v xml:space="preserve">  :  </v>
      </c>
      <c r="Q156" s="2">
        <f t="array" ref="Q156">_xll.RssIndexMarket("TSR20.FUT04.OS", "出来高")</f>
        <v>0</v>
      </c>
      <c r="R156" s="2">
        <f t="array" ref="R156">_xll.RssIndexMarket("TSR20.FUT04.OS", "売買代金")</f>
        <v>0</v>
      </c>
      <c r="S156" s="2" t="str">
        <f t="array" ref="S156">_xll.RssIndexMarket("TSR20.FUT04.OS", "前年最高値")</f>
        <v/>
      </c>
      <c r="T156" s="2" t="str">
        <f t="array" ref="T156">_xll.RssIndexMarket("TSR20.FUT04.OS", "前年最安値")</f>
        <v/>
      </c>
      <c r="U156" s="2" t="str">
        <f t="array" ref="U156">_xll.RssIndexMarket("TSR20.FUT04.OS", "前年終値")</f>
        <v/>
      </c>
      <c r="V156" s="2" t="str">
        <f t="array" ref="V156">_xll.RssIndexMarket("TSR20.FUT04.OS", "年初来高値")</f>
        <v/>
      </c>
      <c r="W156" s="2" t="str">
        <f t="array" ref="W156">_xll.RssIndexMarket("TSR20.FUT04.OS", "年初来安値")</f>
        <v/>
      </c>
      <c r="X156" s="2" t="str">
        <f t="array" ref="X156">_xll.RssIndexMarket("TSR20.FUT04.OS", "上場来高値")</f>
        <v/>
      </c>
      <c r="Y156" s="2" t="str">
        <f t="array" ref="Y156">_xll.RssIndexMarket("TSR20.FUT04.OS", "上場来安値")</f>
        <v/>
      </c>
      <c r="Z156" s="1" t="str">
        <f t="array" ref="Z156">_xll.RssIndexMarket("TSR20.FUT04.OS", "上場来高値日付")</f>
        <v/>
      </c>
      <c r="AA156" s="1" t="str">
        <f t="array" ref="AA156">_xll.RssIndexMarket("TSR20.FUT04.OS", "上場来安値日付")</f>
        <v/>
      </c>
    </row>
    <row r="157" spans="1:27">
      <c r="A157" s="1" t="str">
        <f t="array" ref="A157">_xll.RssIndexMarket("TSR20.FUT05.OS", "指標コード")</f>
        <v/>
      </c>
      <c r="B157" s="1" t="str">
        <f t="array" ref="B157">_xll.RssIndexMarket("TSR20.FUT05.OS", "指標名称")</f>
        <v/>
      </c>
      <c r="C157" s="1" t="str">
        <f t="array" ref="C157">_xll.RssIndexMarket("TSR20.FUT05.OS", "現在日付")</f>
        <v/>
      </c>
      <c r="D157" s="1" t="str">
        <f t="array" ref="D157">_xll.RssIndexMarket("TSR20.FUT05.OS", "更新時刻")</f>
        <v/>
      </c>
      <c r="E157" s="2">
        <f t="array" ref="E157">_xll.RssIndexMarket("TSR20.FUT05.OS", "現在値")</f>
        <v>0</v>
      </c>
      <c r="F157" s="1" t="str">
        <f t="array" ref="F157">_xll.RssIndexMarket("TSR20.FUT05.OS", "現在値ティック")</f>
        <v/>
      </c>
      <c r="G157" s="2">
        <f t="array" ref="G157">_xll.RssIndexMarket("TSR20.FUT05.OS", "前日比")</f>
        <v>0</v>
      </c>
      <c r="H157" s="2">
        <f t="array" ref="H157">_xll.RssIndexMarket("TSR20.FUT05.OS", "前日比率")</f>
        <v>0</v>
      </c>
      <c r="I157" s="2">
        <f t="array" ref="I157">_xll.RssIndexMarket("TSR20.FUT05.OS", "前日終値")</f>
        <v>0</v>
      </c>
      <c r="J157" s="1" t="str">
        <f t="array" ref="J157">_xll.RssIndexMarket("TSR20.FUT05.OS", "前日日付")</f>
        <v/>
      </c>
      <c r="K157" s="2">
        <f t="array" ref="K157">_xll.RssIndexMarket("TSR20.FUT05.OS", "始値")</f>
        <v>0</v>
      </c>
      <c r="L157" s="2">
        <f t="array" ref="L157">_xll.RssIndexMarket("TSR20.FUT05.OS", "高値")</f>
        <v>0</v>
      </c>
      <c r="M157" s="2">
        <f t="array" ref="M157">_xll.RssIndexMarket("TSR20.FUT05.OS", "安値")</f>
        <v>0</v>
      </c>
      <c r="N157" s="1" t="str">
        <f t="array" ref="N157">_xll.RssIndexMarket("TSR20.FUT05.OS", "始値時刻")</f>
        <v xml:space="preserve">  :  </v>
      </c>
      <c r="O157" s="1" t="str">
        <f t="array" ref="O157">_xll.RssIndexMarket("TSR20.FUT05.OS", "高値時刻")</f>
        <v xml:space="preserve">  :  </v>
      </c>
      <c r="P157" s="1" t="str">
        <f t="array" ref="P157">_xll.RssIndexMarket("TSR20.FUT05.OS", "安値時刻")</f>
        <v xml:space="preserve">  :  </v>
      </c>
      <c r="Q157" s="2">
        <f t="array" ref="Q157">_xll.RssIndexMarket("TSR20.FUT05.OS", "出来高")</f>
        <v>0</v>
      </c>
      <c r="R157" s="2">
        <f t="array" ref="R157">_xll.RssIndexMarket("TSR20.FUT05.OS", "売買代金")</f>
        <v>0</v>
      </c>
      <c r="S157" s="2" t="str">
        <f t="array" ref="S157">_xll.RssIndexMarket("TSR20.FUT05.OS", "前年最高値")</f>
        <v/>
      </c>
      <c r="T157" s="2" t="str">
        <f t="array" ref="T157">_xll.RssIndexMarket("TSR20.FUT05.OS", "前年最安値")</f>
        <v/>
      </c>
      <c r="U157" s="2" t="str">
        <f t="array" ref="U157">_xll.RssIndexMarket("TSR20.FUT05.OS", "前年終値")</f>
        <v/>
      </c>
      <c r="V157" s="2" t="str">
        <f t="array" ref="V157">_xll.RssIndexMarket("TSR20.FUT05.OS", "年初来高値")</f>
        <v/>
      </c>
      <c r="W157" s="2" t="str">
        <f t="array" ref="W157">_xll.RssIndexMarket("TSR20.FUT05.OS", "年初来安値")</f>
        <v/>
      </c>
      <c r="X157" s="2" t="str">
        <f t="array" ref="X157">_xll.RssIndexMarket("TSR20.FUT05.OS", "上場来高値")</f>
        <v/>
      </c>
      <c r="Y157" s="2" t="str">
        <f t="array" ref="Y157">_xll.RssIndexMarket("TSR20.FUT05.OS", "上場来安値")</f>
        <v/>
      </c>
      <c r="Z157" s="1" t="str">
        <f t="array" ref="Z157">_xll.RssIndexMarket("TSR20.FUT05.OS", "上場来高値日付")</f>
        <v/>
      </c>
      <c r="AA157" s="1" t="str">
        <f t="array" ref="AA157">_xll.RssIndexMarket("TSR20.FUT05.OS", "上場来安値日付")</f>
        <v/>
      </c>
    </row>
    <row r="158" spans="1:27">
      <c r="A158" s="1" t="str">
        <f t="array" ref="A158">_xll.RssIndexMarket("TSR20.FUT06.OS", "指標コード")</f>
        <v/>
      </c>
      <c r="B158" s="1" t="str">
        <f t="array" ref="B158">_xll.RssIndexMarket("TSR20.FUT06.OS", "指標名称")</f>
        <v/>
      </c>
      <c r="C158" s="1" t="str">
        <f t="array" ref="C158">_xll.RssIndexMarket("TSR20.FUT06.OS", "現在日付")</f>
        <v/>
      </c>
      <c r="D158" s="1" t="str">
        <f t="array" ref="D158">_xll.RssIndexMarket("TSR20.FUT06.OS", "更新時刻")</f>
        <v/>
      </c>
      <c r="E158" s="2">
        <f t="array" ref="E158">_xll.RssIndexMarket("TSR20.FUT06.OS", "現在値")</f>
        <v>0</v>
      </c>
      <c r="F158" s="1" t="str">
        <f t="array" ref="F158">_xll.RssIndexMarket("TSR20.FUT06.OS", "現在値ティック")</f>
        <v/>
      </c>
      <c r="G158" s="2">
        <f t="array" ref="G158">_xll.RssIndexMarket("TSR20.FUT06.OS", "前日比")</f>
        <v>0</v>
      </c>
      <c r="H158" s="2">
        <f t="array" ref="H158">_xll.RssIndexMarket("TSR20.FUT06.OS", "前日比率")</f>
        <v>0</v>
      </c>
      <c r="I158" s="2">
        <f t="array" ref="I158">_xll.RssIndexMarket("TSR20.FUT06.OS", "前日終値")</f>
        <v>0</v>
      </c>
      <c r="J158" s="1" t="str">
        <f t="array" ref="J158">_xll.RssIndexMarket("TSR20.FUT06.OS", "前日日付")</f>
        <v/>
      </c>
      <c r="K158" s="2">
        <f t="array" ref="K158">_xll.RssIndexMarket("TSR20.FUT06.OS", "始値")</f>
        <v>0</v>
      </c>
      <c r="L158" s="2">
        <f t="array" ref="L158">_xll.RssIndexMarket("TSR20.FUT06.OS", "高値")</f>
        <v>0</v>
      </c>
      <c r="M158" s="2">
        <f t="array" ref="M158">_xll.RssIndexMarket("TSR20.FUT06.OS", "安値")</f>
        <v>0</v>
      </c>
      <c r="N158" s="1" t="str">
        <f t="array" ref="N158">_xll.RssIndexMarket("TSR20.FUT06.OS", "始値時刻")</f>
        <v xml:space="preserve">  :  </v>
      </c>
      <c r="O158" s="1" t="str">
        <f t="array" ref="O158">_xll.RssIndexMarket("TSR20.FUT06.OS", "高値時刻")</f>
        <v xml:space="preserve">  :  </v>
      </c>
      <c r="P158" s="1" t="str">
        <f t="array" ref="P158">_xll.RssIndexMarket("TSR20.FUT06.OS", "安値時刻")</f>
        <v xml:space="preserve">  :  </v>
      </c>
      <c r="Q158" s="2">
        <f t="array" ref="Q158">_xll.RssIndexMarket("TSR20.FUT06.OS", "出来高")</f>
        <v>0</v>
      </c>
      <c r="R158" s="2">
        <f t="array" ref="R158">_xll.RssIndexMarket("TSR20.FUT06.OS", "売買代金")</f>
        <v>0</v>
      </c>
      <c r="S158" s="2" t="str">
        <f t="array" ref="S158">_xll.RssIndexMarket("TSR20.FUT06.OS", "前年最高値")</f>
        <v/>
      </c>
      <c r="T158" s="2" t="str">
        <f t="array" ref="T158">_xll.RssIndexMarket("TSR20.FUT06.OS", "前年最安値")</f>
        <v/>
      </c>
      <c r="U158" s="2" t="str">
        <f t="array" ref="U158">_xll.RssIndexMarket("TSR20.FUT06.OS", "前年終値")</f>
        <v/>
      </c>
      <c r="V158" s="2" t="str">
        <f t="array" ref="V158">_xll.RssIndexMarket("TSR20.FUT06.OS", "年初来高値")</f>
        <v/>
      </c>
      <c r="W158" s="2" t="str">
        <f t="array" ref="W158">_xll.RssIndexMarket("TSR20.FUT06.OS", "年初来安値")</f>
        <v/>
      </c>
      <c r="X158" s="2" t="str">
        <f t="array" ref="X158">_xll.RssIndexMarket("TSR20.FUT06.OS", "上場来高値")</f>
        <v/>
      </c>
      <c r="Y158" s="2" t="str">
        <f t="array" ref="Y158">_xll.RssIndexMarket("TSR20.FUT06.OS", "上場来安値")</f>
        <v/>
      </c>
      <c r="Z158" s="1" t="str">
        <f t="array" ref="Z158">_xll.RssIndexMarket("TSR20.FUT06.OS", "上場来高値日付")</f>
        <v/>
      </c>
      <c r="AA158" s="1" t="str">
        <f t="array" ref="AA158">_xll.RssIndexMarket("TSR20.FUT06.OS", "上場来安値日付")</f>
        <v/>
      </c>
    </row>
    <row r="159" spans="1:27">
      <c r="A159" s="1" t="str">
        <f t="array" ref="A159">_xll.RssIndexMarket("TSR20.FUT07.OS", "指標コード")</f>
        <v/>
      </c>
      <c r="B159" s="1" t="str">
        <f t="array" ref="B159">_xll.RssIndexMarket("TSR20.FUT07.OS", "指標名称")</f>
        <v/>
      </c>
      <c r="C159" s="1" t="str">
        <f t="array" ref="C159">_xll.RssIndexMarket("TSR20.FUT07.OS", "現在日付")</f>
        <v/>
      </c>
      <c r="D159" s="1" t="str">
        <f t="array" ref="D159">_xll.RssIndexMarket("TSR20.FUT07.OS", "更新時刻")</f>
        <v/>
      </c>
      <c r="E159" s="2">
        <f t="array" ref="E159">_xll.RssIndexMarket("TSR20.FUT07.OS", "現在値")</f>
        <v>0</v>
      </c>
      <c r="F159" s="1" t="str">
        <f t="array" ref="F159">_xll.RssIndexMarket("TSR20.FUT07.OS", "現在値ティック")</f>
        <v/>
      </c>
      <c r="G159" s="2">
        <f t="array" ref="G159">_xll.RssIndexMarket("TSR20.FUT07.OS", "前日比")</f>
        <v>0</v>
      </c>
      <c r="H159" s="2">
        <f t="array" ref="H159">_xll.RssIndexMarket("TSR20.FUT07.OS", "前日比率")</f>
        <v>0</v>
      </c>
      <c r="I159" s="2">
        <f t="array" ref="I159">_xll.RssIndexMarket("TSR20.FUT07.OS", "前日終値")</f>
        <v>0</v>
      </c>
      <c r="J159" s="1" t="str">
        <f t="array" ref="J159">_xll.RssIndexMarket("TSR20.FUT07.OS", "前日日付")</f>
        <v/>
      </c>
      <c r="K159" s="2">
        <f t="array" ref="K159">_xll.RssIndexMarket("TSR20.FUT07.OS", "始値")</f>
        <v>0</v>
      </c>
      <c r="L159" s="2">
        <f t="array" ref="L159">_xll.RssIndexMarket("TSR20.FUT07.OS", "高値")</f>
        <v>0</v>
      </c>
      <c r="M159" s="2">
        <f t="array" ref="M159">_xll.RssIndexMarket("TSR20.FUT07.OS", "安値")</f>
        <v>0</v>
      </c>
      <c r="N159" s="1" t="str">
        <f t="array" ref="N159">_xll.RssIndexMarket("TSR20.FUT07.OS", "始値時刻")</f>
        <v xml:space="preserve">  :  </v>
      </c>
      <c r="O159" s="1" t="str">
        <f t="array" ref="O159">_xll.RssIndexMarket("TSR20.FUT07.OS", "高値時刻")</f>
        <v xml:space="preserve">  :  </v>
      </c>
      <c r="P159" s="1" t="str">
        <f t="array" ref="P159">_xll.RssIndexMarket("TSR20.FUT07.OS", "安値時刻")</f>
        <v xml:space="preserve">  :  </v>
      </c>
      <c r="Q159" s="2">
        <f t="array" ref="Q159">_xll.RssIndexMarket("TSR20.FUT07.OS", "出来高")</f>
        <v>0</v>
      </c>
      <c r="R159" s="2">
        <f t="array" ref="R159">_xll.RssIndexMarket("TSR20.FUT07.OS", "売買代金")</f>
        <v>0</v>
      </c>
      <c r="S159" s="2" t="str">
        <f t="array" ref="S159">_xll.RssIndexMarket("TSR20.FUT07.OS", "前年最高値")</f>
        <v/>
      </c>
      <c r="T159" s="2" t="str">
        <f t="array" ref="T159">_xll.RssIndexMarket("TSR20.FUT07.OS", "前年最安値")</f>
        <v/>
      </c>
      <c r="U159" s="2" t="str">
        <f t="array" ref="U159">_xll.RssIndexMarket("TSR20.FUT07.OS", "前年終値")</f>
        <v/>
      </c>
      <c r="V159" s="2" t="str">
        <f t="array" ref="V159">_xll.RssIndexMarket("TSR20.FUT07.OS", "年初来高値")</f>
        <v/>
      </c>
      <c r="W159" s="2" t="str">
        <f t="array" ref="W159">_xll.RssIndexMarket("TSR20.FUT07.OS", "年初来安値")</f>
        <v/>
      </c>
      <c r="X159" s="2" t="str">
        <f t="array" ref="X159">_xll.RssIndexMarket("TSR20.FUT07.OS", "上場来高値")</f>
        <v/>
      </c>
      <c r="Y159" s="2" t="str">
        <f t="array" ref="Y159">_xll.RssIndexMarket("TSR20.FUT07.OS", "上場来安値")</f>
        <v/>
      </c>
      <c r="Z159" s="1" t="str">
        <f t="array" ref="Z159">_xll.RssIndexMarket("TSR20.FUT07.OS", "上場来高値日付")</f>
        <v/>
      </c>
      <c r="AA159" s="1" t="str">
        <f t="array" ref="AA159">_xll.RssIndexMarket("TSR20.FUT07.OS", "上場来安値日付")</f>
        <v/>
      </c>
    </row>
    <row r="160" spans="1:27">
      <c r="A160" s="1" t="str">
        <f t="array" ref="A160">_xll.RssIndexMarket("TSR20.FUT08.OS", "指標コード")</f>
        <v/>
      </c>
      <c r="B160" s="1" t="str">
        <f t="array" ref="B160">_xll.RssIndexMarket("TSR20.FUT08.OS", "指標名称")</f>
        <v/>
      </c>
      <c r="C160" s="1" t="str">
        <f t="array" ref="C160">_xll.RssIndexMarket("TSR20.FUT08.OS", "現在日付")</f>
        <v/>
      </c>
      <c r="D160" s="1" t="str">
        <f t="array" ref="D160">_xll.RssIndexMarket("TSR20.FUT08.OS", "更新時刻")</f>
        <v/>
      </c>
      <c r="E160" s="2">
        <f t="array" ref="E160">_xll.RssIndexMarket("TSR20.FUT08.OS", "現在値")</f>
        <v>0</v>
      </c>
      <c r="F160" s="1" t="str">
        <f t="array" ref="F160">_xll.RssIndexMarket("TSR20.FUT08.OS", "現在値ティック")</f>
        <v/>
      </c>
      <c r="G160" s="2">
        <f t="array" ref="G160">_xll.RssIndexMarket("TSR20.FUT08.OS", "前日比")</f>
        <v>0</v>
      </c>
      <c r="H160" s="2">
        <f t="array" ref="H160">_xll.RssIndexMarket("TSR20.FUT08.OS", "前日比率")</f>
        <v>0</v>
      </c>
      <c r="I160" s="2">
        <f t="array" ref="I160">_xll.RssIndexMarket("TSR20.FUT08.OS", "前日終値")</f>
        <v>0</v>
      </c>
      <c r="J160" s="1" t="str">
        <f t="array" ref="J160">_xll.RssIndexMarket("TSR20.FUT08.OS", "前日日付")</f>
        <v/>
      </c>
      <c r="K160" s="2">
        <f t="array" ref="K160">_xll.RssIndexMarket("TSR20.FUT08.OS", "始値")</f>
        <v>0</v>
      </c>
      <c r="L160" s="2">
        <f t="array" ref="L160">_xll.RssIndexMarket("TSR20.FUT08.OS", "高値")</f>
        <v>0</v>
      </c>
      <c r="M160" s="2">
        <f t="array" ref="M160">_xll.RssIndexMarket("TSR20.FUT08.OS", "安値")</f>
        <v>0</v>
      </c>
      <c r="N160" s="1" t="str">
        <f t="array" ref="N160">_xll.RssIndexMarket("TSR20.FUT08.OS", "始値時刻")</f>
        <v xml:space="preserve">  :  </v>
      </c>
      <c r="O160" s="1" t="str">
        <f t="array" ref="O160">_xll.RssIndexMarket("TSR20.FUT08.OS", "高値時刻")</f>
        <v xml:space="preserve">  :  </v>
      </c>
      <c r="P160" s="1" t="str">
        <f t="array" ref="P160">_xll.RssIndexMarket("TSR20.FUT08.OS", "安値時刻")</f>
        <v xml:space="preserve">  :  </v>
      </c>
      <c r="Q160" s="2">
        <f t="array" ref="Q160">_xll.RssIndexMarket("TSR20.FUT08.OS", "出来高")</f>
        <v>0</v>
      </c>
      <c r="R160" s="2">
        <f t="array" ref="R160">_xll.RssIndexMarket("TSR20.FUT08.OS", "売買代金")</f>
        <v>0</v>
      </c>
      <c r="S160" s="2" t="str">
        <f t="array" ref="S160">_xll.RssIndexMarket("TSR20.FUT08.OS", "前年最高値")</f>
        <v/>
      </c>
      <c r="T160" s="2" t="str">
        <f t="array" ref="T160">_xll.RssIndexMarket("TSR20.FUT08.OS", "前年最安値")</f>
        <v/>
      </c>
      <c r="U160" s="2" t="str">
        <f t="array" ref="U160">_xll.RssIndexMarket("TSR20.FUT08.OS", "前年終値")</f>
        <v/>
      </c>
      <c r="V160" s="2" t="str">
        <f t="array" ref="V160">_xll.RssIndexMarket("TSR20.FUT08.OS", "年初来高値")</f>
        <v/>
      </c>
      <c r="W160" s="2" t="str">
        <f t="array" ref="W160">_xll.RssIndexMarket("TSR20.FUT08.OS", "年初来安値")</f>
        <v/>
      </c>
      <c r="X160" s="2" t="str">
        <f t="array" ref="X160">_xll.RssIndexMarket("TSR20.FUT08.OS", "上場来高値")</f>
        <v/>
      </c>
      <c r="Y160" s="2" t="str">
        <f t="array" ref="Y160">_xll.RssIndexMarket("TSR20.FUT08.OS", "上場来安値")</f>
        <v/>
      </c>
      <c r="Z160" s="1" t="str">
        <f t="array" ref="Z160">_xll.RssIndexMarket("TSR20.FUT08.OS", "上場来高値日付")</f>
        <v/>
      </c>
      <c r="AA160" s="1" t="str">
        <f t="array" ref="AA160">_xll.RssIndexMarket("TSR20.FUT08.OS", "上場来安値日付")</f>
        <v/>
      </c>
    </row>
    <row r="161" spans="1:27">
      <c r="A161" s="1" t="str">
        <f t="array" ref="A161">_xll.RssIndexMarket("TSR20.FUT09.OS", "指標コード")</f>
        <v/>
      </c>
      <c r="B161" s="1" t="str">
        <f t="array" ref="B161">_xll.RssIndexMarket("TSR20.FUT09.OS", "指標名称")</f>
        <v/>
      </c>
      <c r="C161" s="1" t="str">
        <f t="array" ref="C161">_xll.RssIndexMarket("TSR20.FUT09.OS", "現在日付")</f>
        <v/>
      </c>
      <c r="D161" s="1" t="str">
        <f t="array" ref="D161">_xll.RssIndexMarket("TSR20.FUT09.OS", "更新時刻")</f>
        <v/>
      </c>
      <c r="E161" s="2">
        <f t="array" ref="E161">_xll.RssIndexMarket("TSR20.FUT09.OS", "現在値")</f>
        <v>0</v>
      </c>
      <c r="F161" s="1" t="str">
        <f t="array" ref="F161">_xll.RssIndexMarket("TSR20.FUT09.OS", "現在値ティック")</f>
        <v/>
      </c>
      <c r="G161" s="2">
        <f t="array" ref="G161">_xll.RssIndexMarket("TSR20.FUT09.OS", "前日比")</f>
        <v>0</v>
      </c>
      <c r="H161" s="2">
        <f t="array" ref="H161">_xll.RssIndexMarket("TSR20.FUT09.OS", "前日比率")</f>
        <v>0</v>
      </c>
      <c r="I161" s="2">
        <f t="array" ref="I161">_xll.RssIndexMarket("TSR20.FUT09.OS", "前日終値")</f>
        <v>0</v>
      </c>
      <c r="J161" s="1" t="str">
        <f t="array" ref="J161">_xll.RssIndexMarket("TSR20.FUT09.OS", "前日日付")</f>
        <v/>
      </c>
      <c r="K161" s="2">
        <f t="array" ref="K161">_xll.RssIndexMarket("TSR20.FUT09.OS", "始値")</f>
        <v>0</v>
      </c>
      <c r="L161" s="2">
        <f t="array" ref="L161">_xll.RssIndexMarket("TSR20.FUT09.OS", "高値")</f>
        <v>0</v>
      </c>
      <c r="M161" s="2">
        <f t="array" ref="M161">_xll.RssIndexMarket("TSR20.FUT09.OS", "安値")</f>
        <v>0</v>
      </c>
      <c r="N161" s="1" t="str">
        <f t="array" ref="N161">_xll.RssIndexMarket("TSR20.FUT09.OS", "始値時刻")</f>
        <v xml:space="preserve">  :  </v>
      </c>
      <c r="O161" s="1" t="str">
        <f t="array" ref="O161">_xll.RssIndexMarket("TSR20.FUT09.OS", "高値時刻")</f>
        <v xml:space="preserve">  :  </v>
      </c>
      <c r="P161" s="1" t="str">
        <f t="array" ref="P161">_xll.RssIndexMarket("TSR20.FUT09.OS", "安値時刻")</f>
        <v xml:space="preserve">  :  </v>
      </c>
      <c r="Q161" s="2">
        <f t="array" ref="Q161">_xll.RssIndexMarket("TSR20.FUT09.OS", "出来高")</f>
        <v>0</v>
      </c>
      <c r="R161" s="2">
        <f t="array" ref="R161">_xll.RssIndexMarket("TSR20.FUT09.OS", "売買代金")</f>
        <v>0</v>
      </c>
      <c r="S161" s="2" t="str">
        <f t="array" ref="S161">_xll.RssIndexMarket("TSR20.FUT09.OS", "前年最高値")</f>
        <v/>
      </c>
      <c r="T161" s="2" t="str">
        <f t="array" ref="T161">_xll.RssIndexMarket("TSR20.FUT09.OS", "前年最安値")</f>
        <v/>
      </c>
      <c r="U161" s="2" t="str">
        <f t="array" ref="U161">_xll.RssIndexMarket("TSR20.FUT09.OS", "前年終値")</f>
        <v/>
      </c>
      <c r="V161" s="2" t="str">
        <f t="array" ref="V161">_xll.RssIndexMarket("TSR20.FUT09.OS", "年初来高値")</f>
        <v/>
      </c>
      <c r="W161" s="2" t="str">
        <f t="array" ref="W161">_xll.RssIndexMarket("TSR20.FUT09.OS", "年初来安値")</f>
        <v/>
      </c>
      <c r="X161" s="2" t="str">
        <f t="array" ref="X161">_xll.RssIndexMarket("TSR20.FUT09.OS", "上場来高値")</f>
        <v/>
      </c>
      <c r="Y161" s="2" t="str">
        <f t="array" ref="Y161">_xll.RssIndexMarket("TSR20.FUT09.OS", "上場来安値")</f>
        <v/>
      </c>
      <c r="Z161" s="1" t="str">
        <f t="array" ref="Z161">_xll.RssIndexMarket("TSR20.FUT09.OS", "上場来高値日付")</f>
        <v/>
      </c>
      <c r="AA161" s="1" t="str">
        <f t="array" ref="AA161">_xll.RssIndexMarket("TSR20.FUT09.OS", "上場来安値日付")</f>
        <v/>
      </c>
    </row>
    <row r="162" spans="1:27">
      <c r="A162" s="1" t="str">
        <f t="array" ref="A162">_xll.RssIndexMarket("TSR20.FUT10.OS", "指標コード")</f>
        <v/>
      </c>
      <c r="B162" s="1" t="str">
        <f t="array" ref="B162">_xll.RssIndexMarket("TSR20.FUT10.OS", "指標名称")</f>
        <v/>
      </c>
      <c r="C162" s="1" t="str">
        <f t="array" ref="C162">_xll.RssIndexMarket("TSR20.FUT10.OS", "現在日付")</f>
        <v/>
      </c>
      <c r="D162" s="1" t="str">
        <f t="array" ref="D162">_xll.RssIndexMarket("TSR20.FUT10.OS", "更新時刻")</f>
        <v/>
      </c>
      <c r="E162" s="2">
        <f t="array" ref="E162">_xll.RssIndexMarket("TSR20.FUT10.OS", "現在値")</f>
        <v>0</v>
      </c>
      <c r="F162" s="1" t="str">
        <f t="array" ref="F162">_xll.RssIndexMarket("TSR20.FUT10.OS", "現在値ティック")</f>
        <v/>
      </c>
      <c r="G162" s="2">
        <f t="array" ref="G162">_xll.RssIndexMarket("TSR20.FUT10.OS", "前日比")</f>
        <v>0</v>
      </c>
      <c r="H162" s="2">
        <f t="array" ref="H162">_xll.RssIndexMarket("TSR20.FUT10.OS", "前日比率")</f>
        <v>0</v>
      </c>
      <c r="I162" s="2">
        <f t="array" ref="I162">_xll.RssIndexMarket("TSR20.FUT10.OS", "前日終値")</f>
        <v>0</v>
      </c>
      <c r="J162" s="1" t="str">
        <f t="array" ref="J162">_xll.RssIndexMarket("TSR20.FUT10.OS", "前日日付")</f>
        <v/>
      </c>
      <c r="K162" s="2">
        <f t="array" ref="K162">_xll.RssIndexMarket("TSR20.FUT10.OS", "始値")</f>
        <v>0</v>
      </c>
      <c r="L162" s="2">
        <f t="array" ref="L162">_xll.RssIndexMarket("TSR20.FUT10.OS", "高値")</f>
        <v>0</v>
      </c>
      <c r="M162" s="2">
        <f t="array" ref="M162">_xll.RssIndexMarket("TSR20.FUT10.OS", "安値")</f>
        <v>0</v>
      </c>
      <c r="N162" s="1" t="str">
        <f t="array" ref="N162">_xll.RssIndexMarket("TSR20.FUT10.OS", "始値時刻")</f>
        <v xml:space="preserve">  :  </v>
      </c>
      <c r="O162" s="1" t="str">
        <f t="array" ref="O162">_xll.RssIndexMarket("TSR20.FUT10.OS", "高値時刻")</f>
        <v xml:space="preserve">  :  </v>
      </c>
      <c r="P162" s="1" t="str">
        <f t="array" ref="P162">_xll.RssIndexMarket("TSR20.FUT10.OS", "安値時刻")</f>
        <v xml:space="preserve">  :  </v>
      </c>
      <c r="Q162" s="2">
        <f t="array" ref="Q162">_xll.RssIndexMarket("TSR20.FUT10.OS", "出来高")</f>
        <v>0</v>
      </c>
      <c r="R162" s="2">
        <f t="array" ref="R162">_xll.RssIndexMarket("TSR20.FUT10.OS", "売買代金")</f>
        <v>0</v>
      </c>
      <c r="S162" s="2" t="str">
        <f t="array" ref="S162">_xll.RssIndexMarket("TSR20.FUT10.OS", "前年最高値")</f>
        <v/>
      </c>
      <c r="T162" s="2" t="str">
        <f t="array" ref="T162">_xll.RssIndexMarket("TSR20.FUT10.OS", "前年最安値")</f>
        <v/>
      </c>
      <c r="U162" s="2" t="str">
        <f t="array" ref="U162">_xll.RssIndexMarket("TSR20.FUT10.OS", "前年終値")</f>
        <v/>
      </c>
      <c r="V162" s="2" t="str">
        <f t="array" ref="V162">_xll.RssIndexMarket("TSR20.FUT10.OS", "年初来高値")</f>
        <v/>
      </c>
      <c r="W162" s="2" t="str">
        <f t="array" ref="W162">_xll.RssIndexMarket("TSR20.FUT10.OS", "年初来安値")</f>
        <v/>
      </c>
      <c r="X162" s="2" t="str">
        <f t="array" ref="X162">_xll.RssIndexMarket("TSR20.FUT10.OS", "上場来高値")</f>
        <v/>
      </c>
      <c r="Y162" s="2" t="str">
        <f t="array" ref="Y162">_xll.RssIndexMarket("TSR20.FUT10.OS", "上場来安値")</f>
        <v/>
      </c>
      <c r="Z162" s="1" t="str">
        <f t="array" ref="Z162">_xll.RssIndexMarket("TSR20.FUT10.OS", "上場来高値日付")</f>
        <v/>
      </c>
      <c r="AA162" s="1" t="str">
        <f t="array" ref="AA162">_xll.RssIndexMarket("TSR20.FUT10.OS", "上場来安値日付")</f>
        <v/>
      </c>
    </row>
    <row r="163" spans="1:27">
      <c r="A163" s="1" t="str">
        <f t="array" ref="A163">_xll.RssIndexMarket("TSR20.FUT11.OS", "指標コード")</f>
        <v/>
      </c>
      <c r="B163" s="1" t="str">
        <f t="array" ref="B163">_xll.RssIndexMarket("TSR20.FUT11.OS", "指標名称")</f>
        <v/>
      </c>
      <c r="C163" s="1" t="str">
        <f t="array" ref="C163">_xll.RssIndexMarket("TSR20.FUT11.OS", "現在日付")</f>
        <v/>
      </c>
      <c r="D163" s="1" t="str">
        <f t="array" ref="D163">_xll.RssIndexMarket("TSR20.FUT11.OS", "更新時刻")</f>
        <v/>
      </c>
      <c r="E163" s="2">
        <f t="array" ref="E163">_xll.RssIndexMarket("TSR20.FUT11.OS", "現在値")</f>
        <v>0</v>
      </c>
      <c r="F163" s="1" t="str">
        <f t="array" ref="F163">_xll.RssIndexMarket("TSR20.FUT11.OS", "現在値ティック")</f>
        <v/>
      </c>
      <c r="G163" s="2">
        <f t="array" ref="G163">_xll.RssIndexMarket("TSR20.FUT11.OS", "前日比")</f>
        <v>0</v>
      </c>
      <c r="H163" s="2">
        <f t="array" ref="H163">_xll.RssIndexMarket("TSR20.FUT11.OS", "前日比率")</f>
        <v>0</v>
      </c>
      <c r="I163" s="2">
        <f t="array" ref="I163">_xll.RssIndexMarket("TSR20.FUT11.OS", "前日終値")</f>
        <v>0</v>
      </c>
      <c r="J163" s="1" t="str">
        <f t="array" ref="J163">_xll.RssIndexMarket("TSR20.FUT11.OS", "前日日付")</f>
        <v/>
      </c>
      <c r="K163" s="2">
        <f t="array" ref="K163">_xll.RssIndexMarket("TSR20.FUT11.OS", "始値")</f>
        <v>0</v>
      </c>
      <c r="L163" s="2">
        <f t="array" ref="L163">_xll.RssIndexMarket("TSR20.FUT11.OS", "高値")</f>
        <v>0</v>
      </c>
      <c r="M163" s="2">
        <f t="array" ref="M163">_xll.RssIndexMarket("TSR20.FUT11.OS", "安値")</f>
        <v>0</v>
      </c>
      <c r="N163" s="1" t="str">
        <f t="array" ref="N163">_xll.RssIndexMarket("TSR20.FUT11.OS", "始値時刻")</f>
        <v xml:space="preserve">  :  </v>
      </c>
      <c r="O163" s="1" t="str">
        <f t="array" ref="O163">_xll.RssIndexMarket("TSR20.FUT11.OS", "高値時刻")</f>
        <v xml:space="preserve">  :  </v>
      </c>
      <c r="P163" s="1" t="str">
        <f t="array" ref="P163">_xll.RssIndexMarket("TSR20.FUT11.OS", "安値時刻")</f>
        <v xml:space="preserve">  :  </v>
      </c>
      <c r="Q163" s="2">
        <f t="array" ref="Q163">_xll.RssIndexMarket("TSR20.FUT11.OS", "出来高")</f>
        <v>0</v>
      </c>
      <c r="R163" s="2">
        <f t="array" ref="R163">_xll.RssIndexMarket("TSR20.FUT11.OS", "売買代金")</f>
        <v>0</v>
      </c>
      <c r="S163" s="2" t="str">
        <f t="array" ref="S163">_xll.RssIndexMarket("TSR20.FUT11.OS", "前年最高値")</f>
        <v/>
      </c>
      <c r="T163" s="2" t="str">
        <f t="array" ref="T163">_xll.RssIndexMarket("TSR20.FUT11.OS", "前年最安値")</f>
        <v/>
      </c>
      <c r="U163" s="2" t="str">
        <f t="array" ref="U163">_xll.RssIndexMarket("TSR20.FUT11.OS", "前年終値")</f>
        <v/>
      </c>
      <c r="V163" s="2" t="str">
        <f t="array" ref="V163">_xll.RssIndexMarket("TSR20.FUT11.OS", "年初来高値")</f>
        <v/>
      </c>
      <c r="W163" s="2" t="str">
        <f t="array" ref="W163">_xll.RssIndexMarket("TSR20.FUT11.OS", "年初来安値")</f>
        <v/>
      </c>
      <c r="X163" s="2" t="str">
        <f t="array" ref="X163">_xll.RssIndexMarket("TSR20.FUT11.OS", "上場来高値")</f>
        <v/>
      </c>
      <c r="Y163" s="2" t="str">
        <f t="array" ref="Y163">_xll.RssIndexMarket("TSR20.FUT11.OS", "上場来安値")</f>
        <v/>
      </c>
      <c r="Z163" s="1" t="str">
        <f t="array" ref="Z163">_xll.RssIndexMarket("TSR20.FUT11.OS", "上場来高値日付")</f>
        <v/>
      </c>
      <c r="AA163" s="1" t="str">
        <f t="array" ref="AA163">_xll.RssIndexMarket("TSR20.FUT11.OS", "上場来安値日付")</f>
        <v/>
      </c>
    </row>
    <row r="164" spans="1:27">
      <c r="A164" s="1" t="str">
        <f t="array" ref="A164">_xll.RssIndexMarket("TSR20.FUT12.OS", "指標コード")</f>
        <v/>
      </c>
      <c r="B164" s="1" t="str">
        <f t="array" ref="B164">_xll.RssIndexMarket("TSR20.FUT12.OS", "指標名称")</f>
        <v/>
      </c>
      <c r="C164" s="1" t="str">
        <f t="array" ref="C164">_xll.RssIndexMarket("TSR20.FUT12.OS", "現在日付")</f>
        <v/>
      </c>
      <c r="D164" s="1" t="str">
        <f t="array" ref="D164">_xll.RssIndexMarket("TSR20.FUT12.OS", "更新時刻")</f>
        <v/>
      </c>
      <c r="E164" s="2">
        <f t="array" ref="E164">_xll.RssIndexMarket("TSR20.FUT12.OS", "現在値")</f>
        <v>0</v>
      </c>
      <c r="F164" s="1" t="str">
        <f t="array" ref="F164">_xll.RssIndexMarket("TSR20.FUT12.OS", "現在値ティック")</f>
        <v/>
      </c>
      <c r="G164" s="2">
        <f t="array" ref="G164">_xll.RssIndexMarket("TSR20.FUT12.OS", "前日比")</f>
        <v>0</v>
      </c>
      <c r="H164" s="2">
        <f t="array" ref="H164">_xll.RssIndexMarket("TSR20.FUT12.OS", "前日比率")</f>
        <v>0</v>
      </c>
      <c r="I164" s="2">
        <f t="array" ref="I164">_xll.RssIndexMarket("TSR20.FUT12.OS", "前日終値")</f>
        <v>0</v>
      </c>
      <c r="J164" s="1" t="str">
        <f t="array" ref="J164">_xll.RssIndexMarket("TSR20.FUT12.OS", "前日日付")</f>
        <v/>
      </c>
      <c r="K164" s="2">
        <f t="array" ref="K164">_xll.RssIndexMarket("TSR20.FUT12.OS", "始値")</f>
        <v>0</v>
      </c>
      <c r="L164" s="2">
        <f t="array" ref="L164">_xll.RssIndexMarket("TSR20.FUT12.OS", "高値")</f>
        <v>0</v>
      </c>
      <c r="M164" s="2">
        <f t="array" ref="M164">_xll.RssIndexMarket("TSR20.FUT12.OS", "安値")</f>
        <v>0</v>
      </c>
      <c r="N164" s="1" t="str">
        <f t="array" ref="N164">_xll.RssIndexMarket("TSR20.FUT12.OS", "始値時刻")</f>
        <v xml:space="preserve">  :  </v>
      </c>
      <c r="O164" s="1" t="str">
        <f t="array" ref="O164">_xll.RssIndexMarket("TSR20.FUT12.OS", "高値時刻")</f>
        <v xml:space="preserve">  :  </v>
      </c>
      <c r="P164" s="1" t="str">
        <f t="array" ref="P164">_xll.RssIndexMarket("TSR20.FUT12.OS", "安値時刻")</f>
        <v xml:space="preserve">  :  </v>
      </c>
      <c r="Q164" s="2">
        <f t="array" ref="Q164">_xll.RssIndexMarket("TSR20.FUT12.OS", "出来高")</f>
        <v>0</v>
      </c>
      <c r="R164" s="2">
        <f t="array" ref="R164">_xll.RssIndexMarket("TSR20.FUT12.OS", "売買代金")</f>
        <v>0</v>
      </c>
      <c r="S164" s="2" t="str">
        <f t="array" ref="S164">_xll.RssIndexMarket("TSR20.FUT12.OS", "前年最高値")</f>
        <v/>
      </c>
      <c r="T164" s="2" t="str">
        <f t="array" ref="T164">_xll.RssIndexMarket("TSR20.FUT12.OS", "前年最安値")</f>
        <v/>
      </c>
      <c r="U164" s="2" t="str">
        <f t="array" ref="U164">_xll.RssIndexMarket("TSR20.FUT12.OS", "前年終値")</f>
        <v/>
      </c>
      <c r="V164" s="2" t="str">
        <f t="array" ref="V164">_xll.RssIndexMarket("TSR20.FUT12.OS", "年初来高値")</f>
        <v/>
      </c>
      <c r="W164" s="2" t="str">
        <f t="array" ref="W164">_xll.RssIndexMarket("TSR20.FUT12.OS", "年初来安値")</f>
        <v/>
      </c>
      <c r="X164" s="2" t="str">
        <f t="array" ref="X164">_xll.RssIndexMarket("TSR20.FUT12.OS", "上場来高値")</f>
        <v/>
      </c>
      <c r="Y164" s="2" t="str">
        <f t="array" ref="Y164">_xll.RssIndexMarket("TSR20.FUT12.OS", "上場来安値")</f>
        <v/>
      </c>
      <c r="Z164" s="1" t="str">
        <f t="array" ref="Z164">_xll.RssIndexMarket("TSR20.FUT12.OS", "上場来高値日付")</f>
        <v/>
      </c>
      <c r="AA164" s="1" t="str">
        <f t="array" ref="AA164">_xll.RssIndexMarket("TSR20.FUT12.OS", "上場来安値日付")</f>
        <v/>
      </c>
    </row>
    <row r="165" spans="1:27">
      <c r="A165" s="1" t="str">
        <f t="array" ref="A165">_xll.RssIndexMarket("REDBEAN.FUT01.OS", "指標コード")</f>
        <v/>
      </c>
      <c r="B165" s="1" t="str">
        <f t="array" ref="B165">_xll.RssIndexMarket("REDBEAN.FUT01.OS", "指標名称")</f>
        <v/>
      </c>
      <c r="C165" s="1" t="str">
        <f t="array" ref="C165">_xll.RssIndexMarket("REDBEAN.FUT01.OS", "現在日付")</f>
        <v/>
      </c>
      <c r="D165" s="1" t="str">
        <f t="array" ref="D165">_xll.RssIndexMarket("REDBEAN.FUT01.OS", "更新時刻")</f>
        <v/>
      </c>
      <c r="E165" s="2">
        <f t="array" ref="E165">_xll.RssIndexMarket("REDBEAN.FUT01.OS", "現在値")</f>
        <v>0</v>
      </c>
      <c r="F165" s="1" t="str">
        <f t="array" ref="F165">_xll.RssIndexMarket("REDBEAN.FUT01.OS", "現在値ティック")</f>
        <v/>
      </c>
      <c r="G165" s="2">
        <f t="array" ref="G165">_xll.RssIndexMarket("REDBEAN.FUT01.OS", "前日比")</f>
        <v>0</v>
      </c>
      <c r="H165" s="2">
        <f t="array" ref="H165">_xll.RssIndexMarket("REDBEAN.FUT01.OS", "前日比率")</f>
        <v>0</v>
      </c>
      <c r="I165" s="2">
        <f t="array" ref="I165">_xll.RssIndexMarket("REDBEAN.FUT01.OS", "前日終値")</f>
        <v>0</v>
      </c>
      <c r="J165" s="1" t="str">
        <f t="array" ref="J165">_xll.RssIndexMarket("REDBEAN.FUT01.OS", "前日日付")</f>
        <v/>
      </c>
      <c r="K165" s="2">
        <f t="array" ref="K165">_xll.RssIndexMarket("REDBEAN.FUT01.OS", "始値")</f>
        <v>0</v>
      </c>
      <c r="L165" s="2">
        <f t="array" ref="L165">_xll.RssIndexMarket("REDBEAN.FUT01.OS", "高値")</f>
        <v>0</v>
      </c>
      <c r="M165" s="2">
        <f t="array" ref="M165">_xll.RssIndexMarket("REDBEAN.FUT01.OS", "安値")</f>
        <v>0</v>
      </c>
      <c r="N165" s="1" t="str">
        <f t="array" ref="N165">_xll.RssIndexMarket("REDBEAN.FUT01.OS", "始値時刻")</f>
        <v xml:space="preserve">  :  </v>
      </c>
      <c r="O165" s="1" t="str">
        <f t="array" ref="O165">_xll.RssIndexMarket("REDBEAN.FUT01.OS", "高値時刻")</f>
        <v xml:space="preserve">  :  </v>
      </c>
      <c r="P165" s="1" t="str">
        <f t="array" ref="P165">_xll.RssIndexMarket("REDBEAN.FUT01.OS", "安値時刻")</f>
        <v xml:space="preserve">  :  </v>
      </c>
      <c r="Q165" s="2">
        <f t="array" ref="Q165">_xll.RssIndexMarket("REDBEAN.FUT01.OS", "出来高")</f>
        <v>0</v>
      </c>
      <c r="R165" s="2">
        <f t="array" ref="R165">_xll.RssIndexMarket("REDBEAN.FUT01.OS", "売買代金")</f>
        <v>0</v>
      </c>
      <c r="S165" s="2" t="str">
        <f t="array" ref="S165">_xll.RssIndexMarket("REDBEAN.FUT01.OS", "前年最高値")</f>
        <v/>
      </c>
      <c r="T165" s="2" t="str">
        <f t="array" ref="T165">_xll.RssIndexMarket("REDBEAN.FUT01.OS", "前年最安値")</f>
        <v/>
      </c>
      <c r="U165" s="2" t="str">
        <f t="array" ref="U165">_xll.RssIndexMarket("REDBEAN.FUT01.OS", "前年終値")</f>
        <v/>
      </c>
      <c r="V165" s="2" t="str">
        <f t="array" ref="V165">_xll.RssIndexMarket("REDBEAN.FUT01.OS", "年初来高値")</f>
        <v/>
      </c>
      <c r="W165" s="2" t="str">
        <f t="array" ref="W165">_xll.RssIndexMarket("REDBEAN.FUT01.OS", "年初来安値")</f>
        <v/>
      </c>
      <c r="X165" s="2" t="str">
        <f t="array" ref="X165">_xll.RssIndexMarket("REDBEAN.FUT01.OS", "上場来高値")</f>
        <v/>
      </c>
      <c r="Y165" s="2" t="str">
        <f t="array" ref="Y165">_xll.RssIndexMarket("REDBEAN.FUT01.OS", "上場来安値")</f>
        <v/>
      </c>
      <c r="Z165" s="1" t="str">
        <f t="array" ref="Z165">_xll.RssIndexMarket("REDBEAN.FUT01.OS", "上場来高値日付")</f>
        <v/>
      </c>
      <c r="AA165" s="1" t="str">
        <f t="array" ref="AA165">_xll.RssIndexMarket("REDBEAN.FUT01.OS", "上場来安値日付")</f>
        <v/>
      </c>
    </row>
    <row r="166" spans="1:27">
      <c r="A166" s="1" t="str">
        <f t="array" ref="A166">_xll.RssIndexMarket("REDBEAN.FUT02.OS", "指標コード")</f>
        <v/>
      </c>
      <c r="B166" s="1" t="str">
        <f t="array" ref="B166">_xll.RssIndexMarket("REDBEAN.FUT02.OS", "指標名称")</f>
        <v/>
      </c>
      <c r="C166" s="1" t="str">
        <f t="array" ref="C166">_xll.RssIndexMarket("REDBEAN.FUT02.OS", "現在日付")</f>
        <v/>
      </c>
      <c r="D166" s="1" t="str">
        <f t="array" ref="D166">_xll.RssIndexMarket("REDBEAN.FUT02.OS", "更新時刻")</f>
        <v/>
      </c>
      <c r="E166" s="2">
        <f t="array" ref="E166">_xll.RssIndexMarket("REDBEAN.FUT02.OS", "現在値")</f>
        <v>0</v>
      </c>
      <c r="F166" s="1" t="str">
        <f t="array" ref="F166">_xll.RssIndexMarket("REDBEAN.FUT02.OS", "現在値ティック")</f>
        <v/>
      </c>
      <c r="G166" s="2">
        <f t="array" ref="G166">_xll.RssIndexMarket("REDBEAN.FUT02.OS", "前日比")</f>
        <v>0</v>
      </c>
      <c r="H166" s="2">
        <f t="array" ref="H166">_xll.RssIndexMarket("REDBEAN.FUT02.OS", "前日比率")</f>
        <v>0</v>
      </c>
      <c r="I166" s="2">
        <f t="array" ref="I166">_xll.RssIndexMarket("REDBEAN.FUT02.OS", "前日終値")</f>
        <v>0</v>
      </c>
      <c r="J166" s="1" t="str">
        <f t="array" ref="J166">_xll.RssIndexMarket("REDBEAN.FUT02.OS", "前日日付")</f>
        <v/>
      </c>
      <c r="K166" s="2">
        <f t="array" ref="K166">_xll.RssIndexMarket("REDBEAN.FUT02.OS", "始値")</f>
        <v>0</v>
      </c>
      <c r="L166" s="2">
        <f t="array" ref="L166">_xll.RssIndexMarket("REDBEAN.FUT02.OS", "高値")</f>
        <v>0</v>
      </c>
      <c r="M166" s="2">
        <f t="array" ref="M166">_xll.RssIndexMarket("REDBEAN.FUT02.OS", "安値")</f>
        <v>0</v>
      </c>
      <c r="N166" s="1" t="str">
        <f t="array" ref="N166">_xll.RssIndexMarket("REDBEAN.FUT02.OS", "始値時刻")</f>
        <v xml:space="preserve">  :  </v>
      </c>
      <c r="O166" s="1" t="str">
        <f t="array" ref="O166">_xll.RssIndexMarket("REDBEAN.FUT02.OS", "高値時刻")</f>
        <v xml:space="preserve">  :  </v>
      </c>
      <c r="P166" s="1" t="str">
        <f t="array" ref="P166">_xll.RssIndexMarket("REDBEAN.FUT02.OS", "安値時刻")</f>
        <v xml:space="preserve">  :  </v>
      </c>
      <c r="Q166" s="2">
        <f t="array" ref="Q166">_xll.RssIndexMarket("REDBEAN.FUT02.OS", "出来高")</f>
        <v>0</v>
      </c>
      <c r="R166" s="2">
        <f t="array" ref="R166">_xll.RssIndexMarket("REDBEAN.FUT02.OS", "売買代金")</f>
        <v>0</v>
      </c>
      <c r="S166" s="2" t="str">
        <f t="array" ref="S166">_xll.RssIndexMarket("REDBEAN.FUT02.OS", "前年最高値")</f>
        <v/>
      </c>
      <c r="T166" s="2" t="str">
        <f t="array" ref="T166">_xll.RssIndexMarket("REDBEAN.FUT02.OS", "前年最安値")</f>
        <v/>
      </c>
      <c r="U166" s="2" t="str">
        <f t="array" ref="U166">_xll.RssIndexMarket("REDBEAN.FUT02.OS", "前年終値")</f>
        <v/>
      </c>
      <c r="V166" s="2" t="str">
        <f t="array" ref="V166">_xll.RssIndexMarket("REDBEAN.FUT02.OS", "年初来高値")</f>
        <v/>
      </c>
      <c r="W166" s="2" t="str">
        <f t="array" ref="W166">_xll.RssIndexMarket("REDBEAN.FUT02.OS", "年初来安値")</f>
        <v/>
      </c>
      <c r="X166" s="2" t="str">
        <f t="array" ref="X166">_xll.RssIndexMarket("REDBEAN.FUT02.OS", "上場来高値")</f>
        <v/>
      </c>
      <c r="Y166" s="2" t="str">
        <f t="array" ref="Y166">_xll.RssIndexMarket("REDBEAN.FUT02.OS", "上場来安値")</f>
        <v/>
      </c>
      <c r="Z166" s="1" t="str">
        <f t="array" ref="Z166">_xll.RssIndexMarket("REDBEAN.FUT02.OS", "上場来高値日付")</f>
        <v/>
      </c>
      <c r="AA166" s="1" t="str">
        <f t="array" ref="AA166">_xll.RssIndexMarket("REDBEAN.FUT02.OS", "上場来安値日付")</f>
        <v/>
      </c>
    </row>
    <row r="167" spans="1:27">
      <c r="A167" s="1" t="str">
        <f t="array" ref="A167">_xll.RssIndexMarket("REDBEAN.FUT03.OS", "指標コード")</f>
        <v/>
      </c>
      <c r="B167" s="1" t="str">
        <f t="array" ref="B167">_xll.RssIndexMarket("REDBEAN.FUT03.OS", "指標名称")</f>
        <v/>
      </c>
      <c r="C167" s="1" t="str">
        <f t="array" ref="C167">_xll.RssIndexMarket("REDBEAN.FUT03.OS", "現在日付")</f>
        <v/>
      </c>
      <c r="D167" s="1" t="str">
        <f t="array" ref="D167">_xll.RssIndexMarket("REDBEAN.FUT03.OS", "更新時刻")</f>
        <v/>
      </c>
      <c r="E167" s="2">
        <f t="array" ref="E167">_xll.RssIndexMarket("REDBEAN.FUT03.OS", "現在値")</f>
        <v>0</v>
      </c>
      <c r="F167" s="1" t="str">
        <f t="array" ref="F167">_xll.RssIndexMarket("REDBEAN.FUT03.OS", "現在値ティック")</f>
        <v/>
      </c>
      <c r="G167" s="2">
        <f t="array" ref="G167">_xll.RssIndexMarket("REDBEAN.FUT03.OS", "前日比")</f>
        <v>0</v>
      </c>
      <c r="H167" s="2">
        <f t="array" ref="H167">_xll.RssIndexMarket("REDBEAN.FUT03.OS", "前日比率")</f>
        <v>0</v>
      </c>
      <c r="I167" s="2">
        <f t="array" ref="I167">_xll.RssIndexMarket("REDBEAN.FUT03.OS", "前日終値")</f>
        <v>0</v>
      </c>
      <c r="J167" s="1" t="str">
        <f t="array" ref="J167">_xll.RssIndexMarket("REDBEAN.FUT03.OS", "前日日付")</f>
        <v/>
      </c>
      <c r="K167" s="2">
        <f t="array" ref="K167">_xll.RssIndexMarket("REDBEAN.FUT03.OS", "始値")</f>
        <v>0</v>
      </c>
      <c r="L167" s="2">
        <f t="array" ref="L167">_xll.RssIndexMarket("REDBEAN.FUT03.OS", "高値")</f>
        <v>0</v>
      </c>
      <c r="M167" s="2">
        <f t="array" ref="M167">_xll.RssIndexMarket("REDBEAN.FUT03.OS", "安値")</f>
        <v>0</v>
      </c>
      <c r="N167" s="1" t="str">
        <f t="array" ref="N167">_xll.RssIndexMarket("REDBEAN.FUT03.OS", "始値時刻")</f>
        <v xml:space="preserve">  :  </v>
      </c>
      <c r="O167" s="1" t="str">
        <f t="array" ref="O167">_xll.RssIndexMarket("REDBEAN.FUT03.OS", "高値時刻")</f>
        <v xml:space="preserve">  :  </v>
      </c>
      <c r="P167" s="1" t="str">
        <f t="array" ref="P167">_xll.RssIndexMarket("REDBEAN.FUT03.OS", "安値時刻")</f>
        <v xml:space="preserve">  :  </v>
      </c>
      <c r="Q167" s="2">
        <f t="array" ref="Q167">_xll.RssIndexMarket("REDBEAN.FUT03.OS", "出来高")</f>
        <v>0</v>
      </c>
      <c r="R167" s="2">
        <f t="array" ref="R167">_xll.RssIndexMarket("REDBEAN.FUT03.OS", "売買代金")</f>
        <v>0</v>
      </c>
      <c r="S167" s="2" t="str">
        <f t="array" ref="S167">_xll.RssIndexMarket("REDBEAN.FUT03.OS", "前年最高値")</f>
        <v/>
      </c>
      <c r="T167" s="2" t="str">
        <f t="array" ref="T167">_xll.RssIndexMarket("REDBEAN.FUT03.OS", "前年最安値")</f>
        <v/>
      </c>
      <c r="U167" s="2" t="str">
        <f t="array" ref="U167">_xll.RssIndexMarket("REDBEAN.FUT03.OS", "前年終値")</f>
        <v/>
      </c>
      <c r="V167" s="2" t="str">
        <f t="array" ref="V167">_xll.RssIndexMarket("REDBEAN.FUT03.OS", "年初来高値")</f>
        <v/>
      </c>
      <c r="W167" s="2" t="str">
        <f t="array" ref="W167">_xll.RssIndexMarket("REDBEAN.FUT03.OS", "年初来安値")</f>
        <v/>
      </c>
      <c r="X167" s="2" t="str">
        <f t="array" ref="X167">_xll.RssIndexMarket("REDBEAN.FUT03.OS", "上場来高値")</f>
        <v/>
      </c>
      <c r="Y167" s="2" t="str">
        <f t="array" ref="Y167">_xll.RssIndexMarket("REDBEAN.FUT03.OS", "上場来安値")</f>
        <v/>
      </c>
      <c r="Z167" s="1" t="str">
        <f t="array" ref="Z167">_xll.RssIndexMarket("REDBEAN.FUT03.OS", "上場来高値日付")</f>
        <v/>
      </c>
      <c r="AA167" s="1" t="str">
        <f t="array" ref="AA167">_xll.RssIndexMarket("REDBEAN.FUT03.OS", "上場来安値日付")</f>
        <v/>
      </c>
    </row>
    <row r="168" spans="1:27">
      <c r="A168" s="1" t="str">
        <f t="array" ref="A168">_xll.RssIndexMarket("REDBEAN.FUT04.OS", "指標コード")</f>
        <v/>
      </c>
      <c r="B168" s="1" t="str">
        <f t="array" ref="B168">_xll.RssIndexMarket("REDBEAN.FUT04.OS", "指標名称")</f>
        <v/>
      </c>
      <c r="C168" s="1" t="str">
        <f t="array" ref="C168">_xll.RssIndexMarket("REDBEAN.FUT04.OS", "現在日付")</f>
        <v/>
      </c>
      <c r="D168" s="1" t="str">
        <f t="array" ref="D168">_xll.RssIndexMarket("REDBEAN.FUT04.OS", "更新時刻")</f>
        <v/>
      </c>
      <c r="E168" s="2">
        <f t="array" ref="E168">_xll.RssIndexMarket("REDBEAN.FUT04.OS", "現在値")</f>
        <v>0</v>
      </c>
      <c r="F168" s="1" t="str">
        <f t="array" ref="F168">_xll.RssIndexMarket("REDBEAN.FUT04.OS", "現在値ティック")</f>
        <v/>
      </c>
      <c r="G168" s="2">
        <f t="array" ref="G168">_xll.RssIndexMarket("REDBEAN.FUT04.OS", "前日比")</f>
        <v>0</v>
      </c>
      <c r="H168" s="2">
        <f t="array" ref="H168">_xll.RssIndexMarket("REDBEAN.FUT04.OS", "前日比率")</f>
        <v>0</v>
      </c>
      <c r="I168" s="2">
        <f t="array" ref="I168">_xll.RssIndexMarket("REDBEAN.FUT04.OS", "前日終値")</f>
        <v>0</v>
      </c>
      <c r="J168" s="1" t="str">
        <f t="array" ref="J168">_xll.RssIndexMarket("REDBEAN.FUT04.OS", "前日日付")</f>
        <v/>
      </c>
      <c r="K168" s="2">
        <f t="array" ref="K168">_xll.RssIndexMarket("REDBEAN.FUT04.OS", "始値")</f>
        <v>0</v>
      </c>
      <c r="L168" s="2">
        <f t="array" ref="L168">_xll.RssIndexMarket("REDBEAN.FUT04.OS", "高値")</f>
        <v>0</v>
      </c>
      <c r="M168" s="2">
        <f t="array" ref="M168">_xll.RssIndexMarket("REDBEAN.FUT04.OS", "安値")</f>
        <v>0</v>
      </c>
      <c r="N168" s="1" t="str">
        <f t="array" ref="N168">_xll.RssIndexMarket("REDBEAN.FUT04.OS", "始値時刻")</f>
        <v xml:space="preserve">  :  </v>
      </c>
      <c r="O168" s="1" t="str">
        <f t="array" ref="O168">_xll.RssIndexMarket("REDBEAN.FUT04.OS", "高値時刻")</f>
        <v xml:space="preserve">  :  </v>
      </c>
      <c r="P168" s="1" t="str">
        <f t="array" ref="P168">_xll.RssIndexMarket("REDBEAN.FUT04.OS", "安値時刻")</f>
        <v xml:space="preserve">  :  </v>
      </c>
      <c r="Q168" s="2">
        <f t="array" ref="Q168">_xll.RssIndexMarket("REDBEAN.FUT04.OS", "出来高")</f>
        <v>0</v>
      </c>
      <c r="R168" s="2">
        <f t="array" ref="R168">_xll.RssIndexMarket("REDBEAN.FUT04.OS", "売買代金")</f>
        <v>0</v>
      </c>
      <c r="S168" s="2" t="str">
        <f t="array" ref="S168">_xll.RssIndexMarket("REDBEAN.FUT04.OS", "前年最高値")</f>
        <v/>
      </c>
      <c r="T168" s="2" t="str">
        <f t="array" ref="T168">_xll.RssIndexMarket("REDBEAN.FUT04.OS", "前年最安値")</f>
        <v/>
      </c>
      <c r="U168" s="2" t="str">
        <f t="array" ref="U168">_xll.RssIndexMarket("REDBEAN.FUT04.OS", "前年終値")</f>
        <v/>
      </c>
      <c r="V168" s="2" t="str">
        <f t="array" ref="V168">_xll.RssIndexMarket("REDBEAN.FUT04.OS", "年初来高値")</f>
        <v/>
      </c>
      <c r="W168" s="2" t="str">
        <f t="array" ref="W168">_xll.RssIndexMarket("REDBEAN.FUT04.OS", "年初来安値")</f>
        <v/>
      </c>
      <c r="X168" s="2" t="str">
        <f t="array" ref="X168">_xll.RssIndexMarket("REDBEAN.FUT04.OS", "上場来高値")</f>
        <v/>
      </c>
      <c r="Y168" s="2" t="str">
        <f t="array" ref="Y168">_xll.RssIndexMarket("REDBEAN.FUT04.OS", "上場来安値")</f>
        <v/>
      </c>
      <c r="Z168" s="1" t="str">
        <f t="array" ref="Z168">_xll.RssIndexMarket("REDBEAN.FUT04.OS", "上場来高値日付")</f>
        <v/>
      </c>
      <c r="AA168" s="1" t="str">
        <f t="array" ref="AA168">_xll.RssIndexMarket("REDBEAN.FUT04.OS", "上場来安値日付")</f>
        <v/>
      </c>
    </row>
    <row r="169" spans="1:27">
      <c r="A169" s="1" t="str">
        <f t="array" ref="A169">_xll.RssIndexMarket("REDBEAN.FUT05.OS", "指標コード")</f>
        <v/>
      </c>
      <c r="B169" s="1" t="str">
        <f t="array" ref="B169">_xll.RssIndexMarket("REDBEAN.FUT05.OS", "指標名称")</f>
        <v/>
      </c>
      <c r="C169" s="1" t="str">
        <f t="array" ref="C169">_xll.RssIndexMarket("REDBEAN.FUT05.OS", "現在日付")</f>
        <v/>
      </c>
      <c r="D169" s="1" t="str">
        <f t="array" ref="D169">_xll.RssIndexMarket("REDBEAN.FUT05.OS", "更新時刻")</f>
        <v/>
      </c>
      <c r="E169" s="2">
        <f t="array" ref="E169">_xll.RssIndexMarket("REDBEAN.FUT05.OS", "現在値")</f>
        <v>0</v>
      </c>
      <c r="F169" s="1" t="str">
        <f t="array" ref="F169">_xll.RssIndexMarket("REDBEAN.FUT05.OS", "現在値ティック")</f>
        <v/>
      </c>
      <c r="G169" s="2">
        <f t="array" ref="G169">_xll.RssIndexMarket("REDBEAN.FUT05.OS", "前日比")</f>
        <v>0</v>
      </c>
      <c r="H169" s="2">
        <f t="array" ref="H169">_xll.RssIndexMarket("REDBEAN.FUT05.OS", "前日比率")</f>
        <v>0</v>
      </c>
      <c r="I169" s="2">
        <f t="array" ref="I169">_xll.RssIndexMarket("REDBEAN.FUT05.OS", "前日終値")</f>
        <v>0</v>
      </c>
      <c r="J169" s="1" t="str">
        <f t="array" ref="J169">_xll.RssIndexMarket("REDBEAN.FUT05.OS", "前日日付")</f>
        <v/>
      </c>
      <c r="K169" s="2">
        <f t="array" ref="K169">_xll.RssIndexMarket("REDBEAN.FUT05.OS", "始値")</f>
        <v>0</v>
      </c>
      <c r="L169" s="2">
        <f t="array" ref="L169">_xll.RssIndexMarket("REDBEAN.FUT05.OS", "高値")</f>
        <v>0</v>
      </c>
      <c r="M169" s="2">
        <f t="array" ref="M169">_xll.RssIndexMarket("REDBEAN.FUT05.OS", "安値")</f>
        <v>0</v>
      </c>
      <c r="N169" s="1" t="str">
        <f t="array" ref="N169">_xll.RssIndexMarket("REDBEAN.FUT05.OS", "始値時刻")</f>
        <v xml:space="preserve">  :  </v>
      </c>
      <c r="O169" s="1" t="str">
        <f t="array" ref="O169">_xll.RssIndexMarket("REDBEAN.FUT05.OS", "高値時刻")</f>
        <v xml:space="preserve">  :  </v>
      </c>
      <c r="P169" s="1" t="str">
        <f t="array" ref="P169">_xll.RssIndexMarket("REDBEAN.FUT05.OS", "安値時刻")</f>
        <v xml:space="preserve">  :  </v>
      </c>
      <c r="Q169" s="2">
        <f t="array" ref="Q169">_xll.RssIndexMarket("REDBEAN.FUT05.OS", "出来高")</f>
        <v>0</v>
      </c>
      <c r="R169" s="2">
        <f t="array" ref="R169">_xll.RssIndexMarket("REDBEAN.FUT05.OS", "売買代金")</f>
        <v>0</v>
      </c>
      <c r="S169" s="2" t="str">
        <f t="array" ref="S169">_xll.RssIndexMarket("REDBEAN.FUT05.OS", "前年最高値")</f>
        <v/>
      </c>
      <c r="T169" s="2" t="str">
        <f t="array" ref="T169">_xll.RssIndexMarket("REDBEAN.FUT05.OS", "前年最安値")</f>
        <v/>
      </c>
      <c r="U169" s="2" t="str">
        <f t="array" ref="U169">_xll.RssIndexMarket("REDBEAN.FUT05.OS", "前年終値")</f>
        <v/>
      </c>
      <c r="V169" s="2" t="str">
        <f t="array" ref="V169">_xll.RssIndexMarket("REDBEAN.FUT05.OS", "年初来高値")</f>
        <v/>
      </c>
      <c r="W169" s="2" t="str">
        <f t="array" ref="W169">_xll.RssIndexMarket("REDBEAN.FUT05.OS", "年初来安値")</f>
        <v/>
      </c>
      <c r="X169" s="2" t="str">
        <f t="array" ref="X169">_xll.RssIndexMarket("REDBEAN.FUT05.OS", "上場来高値")</f>
        <v/>
      </c>
      <c r="Y169" s="2" t="str">
        <f t="array" ref="Y169">_xll.RssIndexMarket("REDBEAN.FUT05.OS", "上場来安値")</f>
        <v/>
      </c>
      <c r="Z169" s="1" t="str">
        <f t="array" ref="Z169">_xll.RssIndexMarket("REDBEAN.FUT05.OS", "上場来高値日付")</f>
        <v/>
      </c>
      <c r="AA169" s="1" t="str">
        <f t="array" ref="AA169">_xll.RssIndexMarket("REDBEAN.FUT05.OS", "上場来安値日付")</f>
        <v/>
      </c>
    </row>
    <row r="170" spans="1:27">
      <c r="A170" s="1" t="str">
        <f t="array" ref="A170">_xll.RssIndexMarket("REDBEAN.FUT06.OS", "指標コード")</f>
        <v/>
      </c>
      <c r="B170" s="1" t="str">
        <f t="array" ref="B170">_xll.RssIndexMarket("REDBEAN.FUT06.OS", "指標名称")</f>
        <v/>
      </c>
      <c r="C170" s="1" t="str">
        <f t="array" ref="C170">_xll.RssIndexMarket("REDBEAN.FUT06.OS", "現在日付")</f>
        <v/>
      </c>
      <c r="D170" s="1" t="str">
        <f t="array" ref="D170">_xll.RssIndexMarket("REDBEAN.FUT06.OS", "更新時刻")</f>
        <v/>
      </c>
      <c r="E170" s="2">
        <f t="array" ref="E170">_xll.RssIndexMarket("REDBEAN.FUT06.OS", "現在値")</f>
        <v>0</v>
      </c>
      <c r="F170" s="1" t="str">
        <f t="array" ref="F170">_xll.RssIndexMarket("REDBEAN.FUT06.OS", "現在値ティック")</f>
        <v/>
      </c>
      <c r="G170" s="2">
        <f t="array" ref="G170">_xll.RssIndexMarket("REDBEAN.FUT06.OS", "前日比")</f>
        <v>0</v>
      </c>
      <c r="H170" s="2">
        <f t="array" ref="H170">_xll.RssIndexMarket("REDBEAN.FUT06.OS", "前日比率")</f>
        <v>0</v>
      </c>
      <c r="I170" s="2">
        <f t="array" ref="I170">_xll.RssIndexMarket("REDBEAN.FUT06.OS", "前日終値")</f>
        <v>0</v>
      </c>
      <c r="J170" s="1" t="str">
        <f t="array" ref="J170">_xll.RssIndexMarket("REDBEAN.FUT06.OS", "前日日付")</f>
        <v/>
      </c>
      <c r="K170" s="2">
        <f t="array" ref="K170">_xll.RssIndexMarket("REDBEAN.FUT06.OS", "始値")</f>
        <v>0</v>
      </c>
      <c r="L170" s="2">
        <f t="array" ref="L170">_xll.RssIndexMarket("REDBEAN.FUT06.OS", "高値")</f>
        <v>0</v>
      </c>
      <c r="M170" s="2">
        <f t="array" ref="M170">_xll.RssIndexMarket("REDBEAN.FUT06.OS", "安値")</f>
        <v>0</v>
      </c>
      <c r="N170" s="1" t="str">
        <f t="array" ref="N170">_xll.RssIndexMarket("REDBEAN.FUT06.OS", "始値時刻")</f>
        <v xml:space="preserve">  :  </v>
      </c>
      <c r="O170" s="1" t="str">
        <f t="array" ref="O170">_xll.RssIndexMarket("REDBEAN.FUT06.OS", "高値時刻")</f>
        <v xml:space="preserve">  :  </v>
      </c>
      <c r="P170" s="1" t="str">
        <f t="array" ref="P170">_xll.RssIndexMarket("REDBEAN.FUT06.OS", "安値時刻")</f>
        <v xml:space="preserve">  :  </v>
      </c>
      <c r="Q170" s="2">
        <f t="array" ref="Q170">_xll.RssIndexMarket("REDBEAN.FUT06.OS", "出来高")</f>
        <v>0</v>
      </c>
      <c r="R170" s="2">
        <f t="array" ref="R170">_xll.RssIndexMarket("REDBEAN.FUT06.OS", "売買代金")</f>
        <v>0</v>
      </c>
      <c r="S170" s="2" t="str">
        <f t="array" ref="S170">_xll.RssIndexMarket("REDBEAN.FUT06.OS", "前年最高値")</f>
        <v/>
      </c>
      <c r="T170" s="2" t="str">
        <f t="array" ref="T170">_xll.RssIndexMarket("REDBEAN.FUT06.OS", "前年最安値")</f>
        <v/>
      </c>
      <c r="U170" s="2" t="str">
        <f t="array" ref="U170">_xll.RssIndexMarket("REDBEAN.FUT06.OS", "前年終値")</f>
        <v/>
      </c>
      <c r="V170" s="2" t="str">
        <f t="array" ref="V170">_xll.RssIndexMarket("REDBEAN.FUT06.OS", "年初来高値")</f>
        <v/>
      </c>
      <c r="W170" s="2" t="str">
        <f t="array" ref="W170">_xll.RssIndexMarket("REDBEAN.FUT06.OS", "年初来安値")</f>
        <v/>
      </c>
      <c r="X170" s="2" t="str">
        <f t="array" ref="X170">_xll.RssIndexMarket("REDBEAN.FUT06.OS", "上場来高値")</f>
        <v/>
      </c>
      <c r="Y170" s="2" t="str">
        <f t="array" ref="Y170">_xll.RssIndexMarket("REDBEAN.FUT06.OS", "上場来安値")</f>
        <v/>
      </c>
      <c r="Z170" s="1" t="str">
        <f t="array" ref="Z170">_xll.RssIndexMarket("REDBEAN.FUT06.OS", "上場来高値日付")</f>
        <v/>
      </c>
      <c r="AA170" s="1" t="str">
        <f t="array" ref="AA170">_xll.RssIndexMarket("REDBEAN.FUT06.OS", "上場来安値日付")</f>
        <v/>
      </c>
    </row>
    <row r="171" spans="1:27">
      <c r="A171" s="1" t="str">
        <f t="array" ref="A171">_xll.RssIndexMarket("SOYBEAN.FUT01.OS", "指標コード")</f>
        <v/>
      </c>
      <c r="B171" s="1" t="str">
        <f t="array" ref="B171">_xll.RssIndexMarket("SOYBEAN.FUT01.OS", "指標名称")</f>
        <v/>
      </c>
      <c r="C171" s="1" t="str">
        <f t="array" ref="C171">_xll.RssIndexMarket("SOYBEAN.FUT01.OS", "現在日付")</f>
        <v/>
      </c>
      <c r="D171" s="1" t="str">
        <f t="array" ref="D171">_xll.RssIndexMarket("SOYBEAN.FUT01.OS", "更新時刻")</f>
        <v/>
      </c>
      <c r="E171" s="2">
        <f t="array" ref="E171">_xll.RssIndexMarket("SOYBEAN.FUT01.OS", "現在値")</f>
        <v>0</v>
      </c>
      <c r="F171" s="1" t="str">
        <f t="array" ref="F171">_xll.RssIndexMarket("SOYBEAN.FUT01.OS", "現在値ティック")</f>
        <v/>
      </c>
      <c r="G171" s="2">
        <f t="array" ref="G171">_xll.RssIndexMarket("SOYBEAN.FUT01.OS", "前日比")</f>
        <v>0</v>
      </c>
      <c r="H171" s="2">
        <f t="array" ref="H171">_xll.RssIndexMarket("SOYBEAN.FUT01.OS", "前日比率")</f>
        <v>0</v>
      </c>
      <c r="I171" s="2">
        <f t="array" ref="I171">_xll.RssIndexMarket("SOYBEAN.FUT01.OS", "前日終値")</f>
        <v>0</v>
      </c>
      <c r="J171" s="1" t="str">
        <f t="array" ref="J171">_xll.RssIndexMarket("SOYBEAN.FUT01.OS", "前日日付")</f>
        <v/>
      </c>
      <c r="K171" s="2">
        <f t="array" ref="K171">_xll.RssIndexMarket("SOYBEAN.FUT01.OS", "始値")</f>
        <v>0</v>
      </c>
      <c r="L171" s="2">
        <f t="array" ref="L171">_xll.RssIndexMarket("SOYBEAN.FUT01.OS", "高値")</f>
        <v>0</v>
      </c>
      <c r="M171" s="2">
        <f t="array" ref="M171">_xll.RssIndexMarket("SOYBEAN.FUT01.OS", "安値")</f>
        <v>0</v>
      </c>
      <c r="N171" s="1" t="str">
        <f t="array" ref="N171">_xll.RssIndexMarket("SOYBEAN.FUT01.OS", "始値時刻")</f>
        <v xml:space="preserve">  :  </v>
      </c>
      <c r="O171" s="1" t="str">
        <f t="array" ref="O171">_xll.RssIndexMarket("SOYBEAN.FUT01.OS", "高値時刻")</f>
        <v xml:space="preserve">  :  </v>
      </c>
      <c r="P171" s="1" t="str">
        <f t="array" ref="P171">_xll.RssIndexMarket("SOYBEAN.FUT01.OS", "安値時刻")</f>
        <v xml:space="preserve">  :  </v>
      </c>
      <c r="Q171" s="2">
        <f t="array" ref="Q171">_xll.RssIndexMarket("SOYBEAN.FUT01.OS", "出来高")</f>
        <v>0</v>
      </c>
      <c r="R171" s="2">
        <f t="array" ref="R171">_xll.RssIndexMarket("SOYBEAN.FUT01.OS", "売買代金")</f>
        <v>0</v>
      </c>
      <c r="S171" s="2" t="str">
        <f t="array" ref="S171">_xll.RssIndexMarket("SOYBEAN.FUT01.OS", "前年最高値")</f>
        <v/>
      </c>
      <c r="T171" s="2" t="str">
        <f t="array" ref="T171">_xll.RssIndexMarket("SOYBEAN.FUT01.OS", "前年最安値")</f>
        <v/>
      </c>
      <c r="U171" s="2" t="str">
        <f t="array" ref="U171">_xll.RssIndexMarket("SOYBEAN.FUT01.OS", "前年終値")</f>
        <v/>
      </c>
      <c r="V171" s="2" t="str">
        <f t="array" ref="V171">_xll.RssIndexMarket("SOYBEAN.FUT01.OS", "年初来高値")</f>
        <v/>
      </c>
      <c r="W171" s="2" t="str">
        <f t="array" ref="W171">_xll.RssIndexMarket("SOYBEAN.FUT01.OS", "年初来安値")</f>
        <v/>
      </c>
      <c r="X171" s="2" t="str">
        <f t="array" ref="X171">_xll.RssIndexMarket("SOYBEAN.FUT01.OS", "上場来高値")</f>
        <v/>
      </c>
      <c r="Y171" s="2" t="str">
        <f t="array" ref="Y171">_xll.RssIndexMarket("SOYBEAN.FUT01.OS", "上場来安値")</f>
        <v/>
      </c>
      <c r="Z171" s="1" t="str">
        <f t="array" ref="Z171">_xll.RssIndexMarket("SOYBEAN.FUT01.OS", "上場来高値日付")</f>
        <v/>
      </c>
      <c r="AA171" s="1" t="str">
        <f t="array" ref="AA171">_xll.RssIndexMarket("SOYBEAN.FUT01.OS", "上場来安値日付")</f>
        <v/>
      </c>
    </row>
    <row r="172" spans="1:27">
      <c r="A172" s="1" t="str">
        <f t="array" ref="A172">_xll.RssIndexMarket("SOYBEAN.FUT02.OS", "指標コード")</f>
        <v/>
      </c>
      <c r="B172" s="1" t="str">
        <f t="array" ref="B172">_xll.RssIndexMarket("SOYBEAN.FUT02.OS", "指標名称")</f>
        <v/>
      </c>
      <c r="C172" s="1" t="str">
        <f t="array" ref="C172">_xll.RssIndexMarket("SOYBEAN.FUT02.OS", "現在日付")</f>
        <v/>
      </c>
      <c r="D172" s="1" t="str">
        <f t="array" ref="D172">_xll.RssIndexMarket("SOYBEAN.FUT02.OS", "更新時刻")</f>
        <v/>
      </c>
      <c r="E172" s="2">
        <f t="array" ref="E172">_xll.RssIndexMarket("SOYBEAN.FUT02.OS", "現在値")</f>
        <v>0</v>
      </c>
      <c r="F172" s="1" t="str">
        <f t="array" ref="F172">_xll.RssIndexMarket("SOYBEAN.FUT02.OS", "現在値ティック")</f>
        <v/>
      </c>
      <c r="G172" s="2">
        <f t="array" ref="G172">_xll.RssIndexMarket("SOYBEAN.FUT02.OS", "前日比")</f>
        <v>0</v>
      </c>
      <c r="H172" s="2">
        <f t="array" ref="H172">_xll.RssIndexMarket("SOYBEAN.FUT02.OS", "前日比率")</f>
        <v>0</v>
      </c>
      <c r="I172" s="2">
        <f t="array" ref="I172">_xll.RssIndexMarket("SOYBEAN.FUT02.OS", "前日終値")</f>
        <v>0</v>
      </c>
      <c r="J172" s="1" t="str">
        <f t="array" ref="J172">_xll.RssIndexMarket("SOYBEAN.FUT02.OS", "前日日付")</f>
        <v/>
      </c>
      <c r="K172" s="2">
        <f t="array" ref="K172">_xll.RssIndexMarket("SOYBEAN.FUT02.OS", "始値")</f>
        <v>0</v>
      </c>
      <c r="L172" s="2">
        <f t="array" ref="L172">_xll.RssIndexMarket("SOYBEAN.FUT02.OS", "高値")</f>
        <v>0</v>
      </c>
      <c r="M172" s="2">
        <f t="array" ref="M172">_xll.RssIndexMarket("SOYBEAN.FUT02.OS", "安値")</f>
        <v>0</v>
      </c>
      <c r="N172" s="1" t="str">
        <f t="array" ref="N172">_xll.RssIndexMarket("SOYBEAN.FUT02.OS", "始値時刻")</f>
        <v xml:space="preserve">  :  </v>
      </c>
      <c r="O172" s="1" t="str">
        <f t="array" ref="O172">_xll.RssIndexMarket("SOYBEAN.FUT02.OS", "高値時刻")</f>
        <v xml:space="preserve">  :  </v>
      </c>
      <c r="P172" s="1" t="str">
        <f t="array" ref="P172">_xll.RssIndexMarket("SOYBEAN.FUT02.OS", "安値時刻")</f>
        <v xml:space="preserve">  :  </v>
      </c>
      <c r="Q172" s="2">
        <f t="array" ref="Q172">_xll.RssIndexMarket("SOYBEAN.FUT02.OS", "出来高")</f>
        <v>0</v>
      </c>
      <c r="R172" s="2">
        <f t="array" ref="R172">_xll.RssIndexMarket("SOYBEAN.FUT02.OS", "売買代金")</f>
        <v>0</v>
      </c>
      <c r="S172" s="2" t="str">
        <f t="array" ref="S172">_xll.RssIndexMarket("SOYBEAN.FUT02.OS", "前年最高値")</f>
        <v/>
      </c>
      <c r="T172" s="2" t="str">
        <f t="array" ref="T172">_xll.RssIndexMarket("SOYBEAN.FUT02.OS", "前年最安値")</f>
        <v/>
      </c>
      <c r="U172" s="2" t="str">
        <f t="array" ref="U172">_xll.RssIndexMarket("SOYBEAN.FUT02.OS", "前年終値")</f>
        <v/>
      </c>
      <c r="V172" s="2" t="str">
        <f t="array" ref="V172">_xll.RssIndexMarket("SOYBEAN.FUT02.OS", "年初来高値")</f>
        <v/>
      </c>
      <c r="W172" s="2" t="str">
        <f t="array" ref="W172">_xll.RssIndexMarket("SOYBEAN.FUT02.OS", "年初来安値")</f>
        <v/>
      </c>
      <c r="X172" s="2" t="str">
        <f t="array" ref="X172">_xll.RssIndexMarket("SOYBEAN.FUT02.OS", "上場来高値")</f>
        <v/>
      </c>
      <c r="Y172" s="2" t="str">
        <f t="array" ref="Y172">_xll.RssIndexMarket("SOYBEAN.FUT02.OS", "上場来安値")</f>
        <v/>
      </c>
      <c r="Z172" s="1" t="str">
        <f t="array" ref="Z172">_xll.RssIndexMarket("SOYBEAN.FUT02.OS", "上場来高値日付")</f>
        <v/>
      </c>
      <c r="AA172" s="1" t="str">
        <f t="array" ref="AA172">_xll.RssIndexMarket("SOYBEAN.FUT02.OS", "上場来安値日付")</f>
        <v/>
      </c>
    </row>
    <row r="173" spans="1:27">
      <c r="A173" s="1" t="str">
        <f t="array" ref="A173">_xll.RssIndexMarket("SOYBEAN.FUT03.OS", "指標コード")</f>
        <v/>
      </c>
      <c r="B173" s="1" t="str">
        <f t="array" ref="B173">_xll.RssIndexMarket("SOYBEAN.FUT03.OS", "指標名称")</f>
        <v/>
      </c>
      <c r="C173" s="1" t="str">
        <f t="array" ref="C173">_xll.RssIndexMarket("SOYBEAN.FUT03.OS", "現在日付")</f>
        <v/>
      </c>
      <c r="D173" s="1" t="str">
        <f t="array" ref="D173">_xll.RssIndexMarket("SOYBEAN.FUT03.OS", "更新時刻")</f>
        <v/>
      </c>
      <c r="E173" s="2">
        <f t="array" ref="E173">_xll.RssIndexMarket("SOYBEAN.FUT03.OS", "現在値")</f>
        <v>0</v>
      </c>
      <c r="F173" s="1" t="str">
        <f t="array" ref="F173">_xll.RssIndexMarket("SOYBEAN.FUT03.OS", "現在値ティック")</f>
        <v/>
      </c>
      <c r="G173" s="2">
        <f t="array" ref="G173">_xll.RssIndexMarket("SOYBEAN.FUT03.OS", "前日比")</f>
        <v>0</v>
      </c>
      <c r="H173" s="2">
        <f t="array" ref="H173">_xll.RssIndexMarket("SOYBEAN.FUT03.OS", "前日比率")</f>
        <v>0</v>
      </c>
      <c r="I173" s="2">
        <f t="array" ref="I173">_xll.RssIndexMarket("SOYBEAN.FUT03.OS", "前日終値")</f>
        <v>0</v>
      </c>
      <c r="J173" s="1" t="str">
        <f t="array" ref="J173">_xll.RssIndexMarket("SOYBEAN.FUT03.OS", "前日日付")</f>
        <v/>
      </c>
      <c r="K173" s="2">
        <f t="array" ref="K173">_xll.RssIndexMarket("SOYBEAN.FUT03.OS", "始値")</f>
        <v>0</v>
      </c>
      <c r="L173" s="2">
        <f t="array" ref="L173">_xll.RssIndexMarket("SOYBEAN.FUT03.OS", "高値")</f>
        <v>0</v>
      </c>
      <c r="M173" s="2">
        <f t="array" ref="M173">_xll.RssIndexMarket("SOYBEAN.FUT03.OS", "安値")</f>
        <v>0</v>
      </c>
      <c r="N173" s="1" t="str">
        <f t="array" ref="N173">_xll.RssIndexMarket("SOYBEAN.FUT03.OS", "始値時刻")</f>
        <v xml:space="preserve">  :  </v>
      </c>
      <c r="O173" s="1" t="str">
        <f t="array" ref="O173">_xll.RssIndexMarket("SOYBEAN.FUT03.OS", "高値時刻")</f>
        <v xml:space="preserve">  :  </v>
      </c>
      <c r="P173" s="1" t="str">
        <f t="array" ref="P173">_xll.RssIndexMarket("SOYBEAN.FUT03.OS", "安値時刻")</f>
        <v xml:space="preserve">  :  </v>
      </c>
      <c r="Q173" s="2">
        <f t="array" ref="Q173">_xll.RssIndexMarket("SOYBEAN.FUT03.OS", "出来高")</f>
        <v>0</v>
      </c>
      <c r="R173" s="2">
        <f t="array" ref="R173">_xll.RssIndexMarket("SOYBEAN.FUT03.OS", "売買代金")</f>
        <v>0</v>
      </c>
      <c r="S173" s="2" t="str">
        <f t="array" ref="S173">_xll.RssIndexMarket("SOYBEAN.FUT03.OS", "前年最高値")</f>
        <v/>
      </c>
      <c r="T173" s="2" t="str">
        <f t="array" ref="T173">_xll.RssIndexMarket("SOYBEAN.FUT03.OS", "前年最安値")</f>
        <v/>
      </c>
      <c r="U173" s="2" t="str">
        <f t="array" ref="U173">_xll.RssIndexMarket("SOYBEAN.FUT03.OS", "前年終値")</f>
        <v/>
      </c>
      <c r="V173" s="2" t="str">
        <f t="array" ref="V173">_xll.RssIndexMarket("SOYBEAN.FUT03.OS", "年初来高値")</f>
        <v/>
      </c>
      <c r="W173" s="2" t="str">
        <f t="array" ref="W173">_xll.RssIndexMarket("SOYBEAN.FUT03.OS", "年初来安値")</f>
        <v/>
      </c>
      <c r="X173" s="2" t="str">
        <f t="array" ref="X173">_xll.RssIndexMarket("SOYBEAN.FUT03.OS", "上場来高値")</f>
        <v/>
      </c>
      <c r="Y173" s="2" t="str">
        <f t="array" ref="Y173">_xll.RssIndexMarket("SOYBEAN.FUT03.OS", "上場来安値")</f>
        <v/>
      </c>
      <c r="Z173" s="1" t="str">
        <f t="array" ref="Z173">_xll.RssIndexMarket("SOYBEAN.FUT03.OS", "上場来高値日付")</f>
        <v/>
      </c>
      <c r="AA173" s="1" t="str">
        <f t="array" ref="AA173">_xll.RssIndexMarket("SOYBEAN.FUT03.OS", "上場来安値日付")</f>
        <v/>
      </c>
    </row>
    <row r="174" spans="1:27">
      <c r="A174" s="1" t="str">
        <f t="array" ref="A174">_xll.RssIndexMarket("SOYBEAN.FUT04.OS", "指標コード")</f>
        <v/>
      </c>
      <c r="B174" s="1" t="str">
        <f t="array" ref="B174">_xll.RssIndexMarket("SOYBEAN.FUT04.OS", "指標名称")</f>
        <v/>
      </c>
      <c r="C174" s="1" t="str">
        <f t="array" ref="C174">_xll.RssIndexMarket("SOYBEAN.FUT04.OS", "現在日付")</f>
        <v/>
      </c>
      <c r="D174" s="1" t="str">
        <f t="array" ref="D174">_xll.RssIndexMarket("SOYBEAN.FUT04.OS", "更新時刻")</f>
        <v/>
      </c>
      <c r="E174" s="2">
        <f t="array" ref="E174">_xll.RssIndexMarket("SOYBEAN.FUT04.OS", "現在値")</f>
        <v>0</v>
      </c>
      <c r="F174" s="1" t="str">
        <f t="array" ref="F174">_xll.RssIndexMarket("SOYBEAN.FUT04.OS", "現在値ティック")</f>
        <v/>
      </c>
      <c r="G174" s="2">
        <f t="array" ref="G174">_xll.RssIndexMarket("SOYBEAN.FUT04.OS", "前日比")</f>
        <v>0</v>
      </c>
      <c r="H174" s="2">
        <f t="array" ref="H174">_xll.RssIndexMarket("SOYBEAN.FUT04.OS", "前日比率")</f>
        <v>0</v>
      </c>
      <c r="I174" s="2">
        <f t="array" ref="I174">_xll.RssIndexMarket("SOYBEAN.FUT04.OS", "前日終値")</f>
        <v>0</v>
      </c>
      <c r="J174" s="1" t="str">
        <f t="array" ref="J174">_xll.RssIndexMarket("SOYBEAN.FUT04.OS", "前日日付")</f>
        <v/>
      </c>
      <c r="K174" s="2">
        <f t="array" ref="K174">_xll.RssIndexMarket("SOYBEAN.FUT04.OS", "始値")</f>
        <v>0</v>
      </c>
      <c r="L174" s="2">
        <f t="array" ref="L174">_xll.RssIndexMarket("SOYBEAN.FUT04.OS", "高値")</f>
        <v>0</v>
      </c>
      <c r="M174" s="2">
        <f t="array" ref="M174">_xll.RssIndexMarket("SOYBEAN.FUT04.OS", "安値")</f>
        <v>0</v>
      </c>
      <c r="N174" s="1" t="str">
        <f t="array" ref="N174">_xll.RssIndexMarket("SOYBEAN.FUT04.OS", "始値時刻")</f>
        <v xml:space="preserve">  :  </v>
      </c>
      <c r="O174" s="1" t="str">
        <f t="array" ref="O174">_xll.RssIndexMarket("SOYBEAN.FUT04.OS", "高値時刻")</f>
        <v xml:space="preserve">  :  </v>
      </c>
      <c r="P174" s="1" t="str">
        <f t="array" ref="P174">_xll.RssIndexMarket("SOYBEAN.FUT04.OS", "安値時刻")</f>
        <v xml:space="preserve">  :  </v>
      </c>
      <c r="Q174" s="2">
        <f t="array" ref="Q174">_xll.RssIndexMarket("SOYBEAN.FUT04.OS", "出来高")</f>
        <v>0</v>
      </c>
      <c r="R174" s="2">
        <f t="array" ref="R174">_xll.RssIndexMarket("SOYBEAN.FUT04.OS", "売買代金")</f>
        <v>0</v>
      </c>
      <c r="S174" s="2" t="str">
        <f t="array" ref="S174">_xll.RssIndexMarket("SOYBEAN.FUT04.OS", "前年最高値")</f>
        <v/>
      </c>
      <c r="T174" s="2" t="str">
        <f t="array" ref="T174">_xll.RssIndexMarket("SOYBEAN.FUT04.OS", "前年最安値")</f>
        <v/>
      </c>
      <c r="U174" s="2" t="str">
        <f t="array" ref="U174">_xll.RssIndexMarket("SOYBEAN.FUT04.OS", "前年終値")</f>
        <v/>
      </c>
      <c r="V174" s="2" t="str">
        <f t="array" ref="V174">_xll.RssIndexMarket("SOYBEAN.FUT04.OS", "年初来高値")</f>
        <v/>
      </c>
      <c r="W174" s="2" t="str">
        <f t="array" ref="W174">_xll.RssIndexMarket("SOYBEAN.FUT04.OS", "年初来安値")</f>
        <v/>
      </c>
      <c r="X174" s="2" t="str">
        <f t="array" ref="X174">_xll.RssIndexMarket("SOYBEAN.FUT04.OS", "上場来高値")</f>
        <v/>
      </c>
      <c r="Y174" s="2" t="str">
        <f t="array" ref="Y174">_xll.RssIndexMarket("SOYBEAN.FUT04.OS", "上場来安値")</f>
        <v/>
      </c>
      <c r="Z174" s="1" t="str">
        <f t="array" ref="Z174">_xll.RssIndexMarket("SOYBEAN.FUT04.OS", "上場来高値日付")</f>
        <v/>
      </c>
      <c r="AA174" s="1" t="str">
        <f t="array" ref="AA174">_xll.RssIndexMarket("SOYBEAN.FUT04.OS", "上場来安値日付")</f>
        <v/>
      </c>
    </row>
    <row r="175" spans="1:27">
      <c r="A175" s="1" t="str">
        <f t="array" ref="A175">_xll.RssIndexMarket("SOYBEAN.FUT05.OS", "指標コード")</f>
        <v/>
      </c>
      <c r="B175" s="1" t="str">
        <f t="array" ref="B175">_xll.RssIndexMarket("SOYBEAN.FUT05.OS", "指標名称")</f>
        <v/>
      </c>
      <c r="C175" s="1" t="str">
        <f t="array" ref="C175">_xll.RssIndexMarket("SOYBEAN.FUT05.OS", "現在日付")</f>
        <v/>
      </c>
      <c r="D175" s="1" t="str">
        <f t="array" ref="D175">_xll.RssIndexMarket("SOYBEAN.FUT05.OS", "更新時刻")</f>
        <v/>
      </c>
      <c r="E175" s="2">
        <f t="array" ref="E175">_xll.RssIndexMarket("SOYBEAN.FUT05.OS", "現在値")</f>
        <v>0</v>
      </c>
      <c r="F175" s="1" t="str">
        <f t="array" ref="F175">_xll.RssIndexMarket("SOYBEAN.FUT05.OS", "現在値ティック")</f>
        <v/>
      </c>
      <c r="G175" s="2">
        <f t="array" ref="G175">_xll.RssIndexMarket("SOYBEAN.FUT05.OS", "前日比")</f>
        <v>0</v>
      </c>
      <c r="H175" s="2">
        <f t="array" ref="H175">_xll.RssIndexMarket("SOYBEAN.FUT05.OS", "前日比率")</f>
        <v>0</v>
      </c>
      <c r="I175" s="2">
        <f t="array" ref="I175">_xll.RssIndexMarket("SOYBEAN.FUT05.OS", "前日終値")</f>
        <v>0</v>
      </c>
      <c r="J175" s="1" t="str">
        <f t="array" ref="J175">_xll.RssIndexMarket("SOYBEAN.FUT05.OS", "前日日付")</f>
        <v/>
      </c>
      <c r="K175" s="2">
        <f t="array" ref="K175">_xll.RssIndexMarket("SOYBEAN.FUT05.OS", "始値")</f>
        <v>0</v>
      </c>
      <c r="L175" s="2">
        <f t="array" ref="L175">_xll.RssIndexMarket("SOYBEAN.FUT05.OS", "高値")</f>
        <v>0</v>
      </c>
      <c r="M175" s="2">
        <f t="array" ref="M175">_xll.RssIndexMarket("SOYBEAN.FUT05.OS", "安値")</f>
        <v>0</v>
      </c>
      <c r="N175" s="1" t="str">
        <f t="array" ref="N175">_xll.RssIndexMarket("SOYBEAN.FUT05.OS", "始値時刻")</f>
        <v xml:space="preserve">  :  </v>
      </c>
      <c r="O175" s="1" t="str">
        <f t="array" ref="O175">_xll.RssIndexMarket("SOYBEAN.FUT05.OS", "高値時刻")</f>
        <v xml:space="preserve">  :  </v>
      </c>
      <c r="P175" s="1" t="str">
        <f t="array" ref="P175">_xll.RssIndexMarket("SOYBEAN.FUT05.OS", "安値時刻")</f>
        <v xml:space="preserve">  :  </v>
      </c>
      <c r="Q175" s="2">
        <f t="array" ref="Q175">_xll.RssIndexMarket("SOYBEAN.FUT05.OS", "出来高")</f>
        <v>0</v>
      </c>
      <c r="R175" s="2">
        <f t="array" ref="R175">_xll.RssIndexMarket("SOYBEAN.FUT05.OS", "売買代金")</f>
        <v>0</v>
      </c>
      <c r="S175" s="2" t="str">
        <f t="array" ref="S175">_xll.RssIndexMarket("SOYBEAN.FUT05.OS", "前年最高値")</f>
        <v/>
      </c>
      <c r="T175" s="2" t="str">
        <f t="array" ref="T175">_xll.RssIndexMarket("SOYBEAN.FUT05.OS", "前年最安値")</f>
        <v/>
      </c>
      <c r="U175" s="2" t="str">
        <f t="array" ref="U175">_xll.RssIndexMarket("SOYBEAN.FUT05.OS", "前年終値")</f>
        <v/>
      </c>
      <c r="V175" s="2" t="str">
        <f t="array" ref="V175">_xll.RssIndexMarket("SOYBEAN.FUT05.OS", "年初来高値")</f>
        <v/>
      </c>
      <c r="W175" s="2" t="str">
        <f t="array" ref="W175">_xll.RssIndexMarket("SOYBEAN.FUT05.OS", "年初来安値")</f>
        <v/>
      </c>
      <c r="X175" s="2" t="str">
        <f t="array" ref="X175">_xll.RssIndexMarket("SOYBEAN.FUT05.OS", "上場来高値")</f>
        <v/>
      </c>
      <c r="Y175" s="2" t="str">
        <f t="array" ref="Y175">_xll.RssIndexMarket("SOYBEAN.FUT05.OS", "上場来安値")</f>
        <v/>
      </c>
      <c r="Z175" s="1" t="str">
        <f t="array" ref="Z175">_xll.RssIndexMarket("SOYBEAN.FUT05.OS", "上場来高値日付")</f>
        <v/>
      </c>
      <c r="AA175" s="1" t="str">
        <f t="array" ref="AA175">_xll.RssIndexMarket("SOYBEAN.FUT05.OS", "上場来安値日付")</f>
        <v/>
      </c>
    </row>
    <row r="176" spans="1:27">
      <c r="A176" s="1" t="str">
        <f t="array" ref="A176">_xll.RssIndexMarket("SOYBEAN.FUT06.OS", "指標コード")</f>
        <v/>
      </c>
      <c r="B176" s="1" t="str">
        <f t="array" ref="B176">_xll.RssIndexMarket("SOYBEAN.FUT06.OS", "指標名称")</f>
        <v/>
      </c>
      <c r="C176" s="1" t="str">
        <f t="array" ref="C176">_xll.RssIndexMarket("SOYBEAN.FUT06.OS", "現在日付")</f>
        <v/>
      </c>
      <c r="D176" s="1" t="str">
        <f t="array" ref="D176">_xll.RssIndexMarket("SOYBEAN.FUT06.OS", "更新時刻")</f>
        <v/>
      </c>
      <c r="E176" s="2">
        <f t="array" ref="E176">_xll.RssIndexMarket("SOYBEAN.FUT06.OS", "現在値")</f>
        <v>0</v>
      </c>
      <c r="F176" s="1" t="str">
        <f t="array" ref="F176">_xll.RssIndexMarket("SOYBEAN.FUT06.OS", "現在値ティック")</f>
        <v/>
      </c>
      <c r="G176" s="2">
        <f t="array" ref="G176">_xll.RssIndexMarket("SOYBEAN.FUT06.OS", "前日比")</f>
        <v>0</v>
      </c>
      <c r="H176" s="2">
        <f t="array" ref="H176">_xll.RssIndexMarket("SOYBEAN.FUT06.OS", "前日比率")</f>
        <v>0</v>
      </c>
      <c r="I176" s="2">
        <f t="array" ref="I176">_xll.RssIndexMarket("SOYBEAN.FUT06.OS", "前日終値")</f>
        <v>0</v>
      </c>
      <c r="J176" s="1" t="str">
        <f t="array" ref="J176">_xll.RssIndexMarket("SOYBEAN.FUT06.OS", "前日日付")</f>
        <v/>
      </c>
      <c r="K176" s="2">
        <f t="array" ref="K176">_xll.RssIndexMarket("SOYBEAN.FUT06.OS", "始値")</f>
        <v>0</v>
      </c>
      <c r="L176" s="2">
        <f t="array" ref="L176">_xll.RssIndexMarket("SOYBEAN.FUT06.OS", "高値")</f>
        <v>0</v>
      </c>
      <c r="M176" s="2">
        <f t="array" ref="M176">_xll.RssIndexMarket("SOYBEAN.FUT06.OS", "安値")</f>
        <v>0</v>
      </c>
      <c r="N176" s="1" t="str">
        <f t="array" ref="N176">_xll.RssIndexMarket("SOYBEAN.FUT06.OS", "始値時刻")</f>
        <v xml:space="preserve">  :  </v>
      </c>
      <c r="O176" s="1" t="str">
        <f t="array" ref="O176">_xll.RssIndexMarket("SOYBEAN.FUT06.OS", "高値時刻")</f>
        <v xml:space="preserve">  :  </v>
      </c>
      <c r="P176" s="1" t="str">
        <f t="array" ref="P176">_xll.RssIndexMarket("SOYBEAN.FUT06.OS", "安値時刻")</f>
        <v xml:space="preserve">  :  </v>
      </c>
      <c r="Q176" s="2">
        <f t="array" ref="Q176">_xll.RssIndexMarket("SOYBEAN.FUT06.OS", "出来高")</f>
        <v>0</v>
      </c>
      <c r="R176" s="2">
        <f t="array" ref="R176">_xll.RssIndexMarket("SOYBEAN.FUT06.OS", "売買代金")</f>
        <v>0</v>
      </c>
      <c r="S176" s="2" t="str">
        <f t="array" ref="S176">_xll.RssIndexMarket("SOYBEAN.FUT06.OS", "前年最高値")</f>
        <v/>
      </c>
      <c r="T176" s="2" t="str">
        <f t="array" ref="T176">_xll.RssIndexMarket("SOYBEAN.FUT06.OS", "前年最安値")</f>
        <v/>
      </c>
      <c r="U176" s="2" t="str">
        <f t="array" ref="U176">_xll.RssIndexMarket("SOYBEAN.FUT06.OS", "前年終値")</f>
        <v/>
      </c>
      <c r="V176" s="2" t="str">
        <f t="array" ref="V176">_xll.RssIndexMarket("SOYBEAN.FUT06.OS", "年初来高値")</f>
        <v/>
      </c>
      <c r="W176" s="2" t="str">
        <f t="array" ref="W176">_xll.RssIndexMarket("SOYBEAN.FUT06.OS", "年初来安値")</f>
        <v/>
      </c>
      <c r="X176" s="2" t="str">
        <f t="array" ref="X176">_xll.RssIndexMarket("SOYBEAN.FUT06.OS", "上場来高値")</f>
        <v/>
      </c>
      <c r="Y176" s="2" t="str">
        <f t="array" ref="Y176">_xll.RssIndexMarket("SOYBEAN.FUT06.OS", "上場来安値")</f>
        <v/>
      </c>
      <c r="Z176" s="1" t="str">
        <f t="array" ref="Z176">_xll.RssIndexMarket("SOYBEAN.FUT06.OS", "上場来高値日付")</f>
        <v/>
      </c>
      <c r="AA176" s="1" t="str">
        <f t="array" ref="AA176">_xll.RssIndexMarket("SOYBEAN.FUT06.OS", "上場来安値日付")</f>
        <v/>
      </c>
    </row>
    <row r="177" spans="1:27">
      <c r="A177" s="1" t="str">
        <f t="array" ref="A177">_xll.RssIndexMarket("CORN.FUT01.OS", "指標コード")</f>
        <v/>
      </c>
      <c r="B177" s="1" t="str">
        <f t="array" ref="B177">_xll.RssIndexMarket("CORN.FUT01.OS", "指標名称")</f>
        <v/>
      </c>
      <c r="C177" s="1" t="str">
        <f t="array" ref="C177">_xll.RssIndexMarket("CORN.FUT01.OS", "現在日付")</f>
        <v>2025/05/02</v>
      </c>
      <c r="D177" s="1" t="str">
        <f t="array" ref="D177">_xll.RssIndexMarket("CORN.FUT01.OS", "更新時刻")</f>
        <v/>
      </c>
      <c r="E177" s="2">
        <f t="array" ref="E177">_xll.RssIndexMarket("CORN.FUT01.OS", "現在値")</f>
        <v>0</v>
      </c>
      <c r="F177" s="1" t="str">
        <f t="array" ref="F177">_xll.RssIndexMarket("CORN.FUT01.OS", "現在値ティック")</f>
        <v/>
      </c>
      <c r="G177" s="2">
        <f t="array" ref="G177">_xll.RssIndexMarket("CORN.FUT01.OS", "前日比")</f>
        <v>0</v>
      </c>
      <c r="H177" s="2">
        <f t="array" ref="H177">_xll.RssIndexMarket("CORN.FUT01.OS", "前日比率")</f>
        <v>0</v>
      </c>
      <c r="I177" s="2">
        <f t="array" ref="I177">_xll.RssIndexMarket("CORN.FUT01.OS", "前日終値")</f>
        <v>39000</v>
      </c>
      <c r="J177" s="1" t="str">
        <f t="array" ref="J177">_xll.RssIndexMarket("CORN.FUT01.OS", "前日日付")</f>
        <v>2025/05/02</v>
      </c>
      <c r="K177" s="2">
        <f t="array" ref="K177">_xll.RssIndexMarket("CORN.FUT01.OS", "始値")</f>
        <v>0</v>
      </c>
      <c r="L177" s="2">
        <f t="array" ref="L177">_xll.RssIndexMarket("CORN.FUT01.OS", "高値")</f>
        <v>0</v>
      </c>
      <c r="M177" s="2">
        <f t="array" ref="M177">_xll.RssIndexMarket("CORN.FUT01.OS", "安値")</f>
        <v>0</v>
      </c>
      <c r="N177" s="1" t="str">
        <f t="array" ref="N177">_xll.RssIndexMarket("CORN.FUT01.OS", "始値時刻")</f>
        <v xml:space="preserve">  :  </v>
      </c>
      <c r="O177" s="1" t="str">
        <f t="array" ref="O177">_xll.RssIndexMarket("CORN.FUT01.OS", "高値時刻")</f>
        <v xml:space="preserve">  :  </v>
      </c>
      <c r="P177" s="1" t="str">
        <f t="array" ref="P177">_xll.RssIndexMarket("CORN.FUT01.OS", "安値時刻")</f>
        <v xml:space="preserve">  :  </v>
      </c>
      <c r="Q177" s="2">
        <f t="array" ref="Q177">_xll.RssIndexMarket("CORN.FUT01.OS", "出来高")</f>
        <v>0</v>
      </c>
      <c r="R177" s="2">
        <f t="array" ref="R177">_xll.RssIndexMarket("CORN.FUT01.OS", "売買代金")</f>
        <v>0</v>
      </c>
      <c r="S177" s="2" t="str">
        <f t="array" ref="S177">_xll.RssIndexMarket("CORN.FUT01.OS", "前年最高値")</f>
        <v/>
      </c>
      <c r="T177" s="2" t="str">
        <f t="array" ref="T177">_xll.RssIndexMarket("CORN.FUT01.OS", "前年最安値")</f>
        <v/>
      </c>
      <c r="U177" s="2" t="str">
        <f t="array" ref="U177">_xll.RssIndexMarket("CORN.FUT01.OS", "前年終値")</f>
        <v/>
      </c>
      <c r="V177" s="2" t="str">
        <f t="array" ref="V177">_xll.RssIndexMarket("CORN.FUT01.OS", "年初来高値")</f>
        <v/>
      </c>
      <c r="W177" s="2" t="str">
        <f t="array" ref="W177">_xll.RssIndexMarket("CORN.FUT01.OS", "年初来安値")</f>
        <v/>
      </c>
      <c r="X177" s="2" t="str">
        <f t="array" ref="X177">_xll.RssIndexMarket("CORN.FUT01.OS", "上場来高値")</f>
        <v/>
      </c>
      <c r="Y177" s="2" t="str">
        <f t="array" ref="Y177">_xll.RssIndexMarket("CORN.FUT01.OS", "上場来安値")</f>
        <v/>
      </c>
      <c r="Z177" s="1" t="str">
        <f t="array" ref="Z177">_xll.RssIndexMarket("CORN.FUT01.OS", "上場来高値日付")</f>
        <v/>
      </c>
      <c r="AA177" s="1" t="str">
        <f t="array" ref="AA177">_xll.RssIndexMarket("CORN.FUT01.OS", "上場来安値日付")</f>
        <v/>
      </c>
    </row>
    <row r="178" spans="1:27">
      <c r="A178" s="1" t="str">
        <f t="array" ref="A178">_xll.RssIndexMarket("CORN.FUT02.OS", "指標コード")</f>
        <v/>
      </c>
      <c r="B178" s="1" t="str">
        <f t="array" ref="B178">_xll.RssIndexMarket("CORN.FUT02.OS", "指標名称")</f>
        <v/>
      </c>
      <c r="C178" s="1" t="str">
        <f t="array" ref="C178">_xll.RssIndexMarket("CORN.FUT02.OS", "現在日付")</f>
        <v/>
      </c>
      <c r="D178" s="1" t="str">
        <f t="array" ref="D178">_xll.RssIndexMarket("CORN.FUT02.OS", "更新時刻")</f>
        <v/>
      </c>
      <c r="E178" s="2">
        <f t="array" ref="E178">_xll.RssIndexMarket("CORN.FUT02.OS", "現在値")</f>
        <v>0</v>
      </c>
      <c r="F178" s="1" t="str">
        <f t="array" ref="F178">_xll.RssIndexMarket("CORN.FUT02.OS", "現在値ティック")</f>
        <v/>
      </c>
      <c r="G178" s="2">
        <f t="array" ref="G178">_xll.RssIndexMarket("CORN.FUT02.OS", "前日比")</f>
        <v>0</v>
      </c>
      <c r="H178" s="2">
        <f t="array" ref="H178">_xll.RssIndexMarket("CORN.FUT02.OS", "前日比率")</f>
        <v>0</v>
      </c>
      <c r="I178" s="2">
        <f t="array" ref="I178">_xll.RssIndexMarket("CORN.FUT02.OS", "前日終値")</f>
        <v>0</v>
      </c>
      <c r="J178" s="1" t="str">
        <f t="array" ref="J178">_xll.RssIndexMarket("CORN.FUT02.OS", "前日日付")</f>
        <v/>
      </c>
      <c r="K178" s="2">
        <f t="array" ref="K178">_xll.RssIndexMarket("CORN.FUT02.OS", "始値")</f>
        <v>0</v>
      </c>
      <c r="L178" s="2">
        <f t="array" ref="L178">_xll.RssIndexMarket("CORN.FUT02.OS", "高値")</f>
        <v>0</v>
      </c>
      <c r="M178" s="2">
        <f t="array" ref="M178">_xll.RssIndexMarket("CORN.FUT02.OS", "安値")</f>
        <v>0</v>
      </c>
      <c r="N178" s="1" t="str">
        <f t="array" ref="N178">_xll.RssIndexMarket("CORN.FUT02.OS", "始値時刻")</f>
        <v xml:space="preserve">  :  </v>
      </c>
      <c r="O178" s="1" t="str">
        <f t="array" ref="O178">_xll.RssIndexMarket("CORN.FUT02.OS", "高値時刻")</f>
        <v xml:space="preserve">  :  </v>
      </c>
      <c r="P178" s="1" t="str">
        <f t="array" ref="P178">_xll.RssIndexMarket("CORN.FUT02.OS", "安値時刻")</f>
        <v xml:space="preserve">  :  </v>
      </c>
      <c r="Q178" s="2">
        <f t="array" ref="Q178">_xll.RssIndexMarket("CORN.FUT02.OS", "出来高")</f>
        <v>0</v>
      </c>
      <c r="R178" s="2">
        <f t="array" ref="R178">_xll.RssIndexMarket("CORN.FUT02.OS", "売買代金")</f>
        <v>0</v>
      </c>
      <c r="S178" s="2" t="str">
        <f t="array" ref="S178">_xll.RssIndexMarket("CORN.FUT02.OS", "前年最高値")</f>
        <v/>
      </c>
      <c r="T178" s="2" t="str">
        <f t="array" ref="T178">_xll.RssIndexMarket("CORN.FUT02.OS", "前年最安値")</f>
        <v/>
      </c>
      <c r="U178" s="2" t="str">
        <f t="array" ref="U178">_xll.RssIndexMarket("CORN.FUT02.OS", "前年終値")</f>
        <v/>
      </c>
      <c r="V178" s="2" t="str">
        <f t="array" ref="V178">_xll.RssIndexMarket("CORN.FUT02.OS", "年初来高値")</f>
        <v/>
      </c>
      <c r="W178" s="2" t="str">
        <f t="array" ref="W178">_xll.RssIndexMarket("CORN.FUT02.OS", "年初来安値")</f>
        <v/>
      </c>
      <c r="X178" s="2" t="str">
        <f t="array" ref="X178">_xll.RssIndexMarket("CORN.FUT02.OS", "上場来高値")</f>
        <v/>
      </c>
      <c r="Y178" s="2" t="str">
        <f t="array" ref="Y178">_xll.RssIndexMarket("CORN.FUT02.OS", "上場来安値")</f>
        <v/>
      </c>
      <c r="Z178" s="1" t="str">
        <f t="array" ref="Z178">_xll.RssIndexMarket("CORN.FUT02.OS", "上場来高値日付")</f>
        <v/>
      </c>
      <c r="AA178" s="1" t="str">
        <f t="array" ref="AA178">_xll.RssIndexMarket("CORN.FUT02.OS", "上場来安値日付")</f>
        <v/>
      </c>
    </row>
    <row r="179" spans="1:27">
      <c r="A179" s="1" t="str">
        <f t="array" ref="A179">_xll.RssIndexMarket("CORN.FUT03.OS", "指標コード")</f>
        <v/>
      </c>
      <c r="B179" s="1" t="str">
        <f t="array" ref="B179">_xll.RssIndexMarket("CORN.FUT03.OS", "指標名称")</f>
        <v/>
      </c>
      <c r="C179" s="1" t="str">
        <f t="array" ref="C179">_xll.RssIndexMarket("CORN.FUT03.OS", "現在日付")</f>
        <v/>
      </c>
      <c r="D179" s="1" t="str">
        <f t="array" ref="D179">_xll.RssIndexMarket("CORN.FUT03.OS", "更新時刻")</f>
        <v/>
      </c>
      <c r="E179" s="2">
        <f t="array" ref="E179">_xll.RssIndexMarket("CORN.FUT03.OS", "現在値")</f>
        <v>0</v>
      </c>
      <c r="F179" s="1" t="str">
        <f t="array" ref="F179">_xll.RssIndexMarket("CORN.FUT03.OS", "現在値ティック")</f>
        <v/>
      </c>
      <c r="G179" s="2">
        <f t="array" ref="G179">_xll.RssIndexMarket("CORN.FUT03.OS", "前日比")</f>
        <v>0</v>
      </c>
      <c r="H179" s="2">
        <f t="array" ref="H179">_xll.RssIndexMarket("CORN.FUT03.OS", "前日比率")</f>
        <v>0</v>
      </c>
      <c r="I179" s="2">
        <f t="array" ref="I179">_xll.RssIndexMarket("CORN.FUT03.OS", "前日終値")</f>
        <v>0</v>
      </c>
      <c r="J179" s="1" t="str">
        <f t="array" ref="J179">_xll.RssIndexMarket("CORN.FUT03.OS", "前日日付")</f>
        <v/>
      </c>
      <c r="K179" s="2">
        <f t="array" ref="K179">_xll.RssIndexMarket("CORN.FUT03.OS", "始値")</f>
        <v>0</v>
      </c>
      <c r="L179" s="2">
        <f t="array" ref="L179">_xll.RssIndexMarket("CORN.FUT03.OS", "高値")</f>
        <v>0</v>
      </c>
      <c r="M179" s="2">
        <f t="array" ref="M179">_xll.RssIndexMarket("CORN.FUT03.OS", "安値")</f>
        <v>0</v>
      </c>
      <c r="N179" s="1" t="str">
        <f t="array" ref="N179">_xll.RssIndexMarket("CORN.FUT03.OS", "始値時刻")</f>
        <v xml:space="preserve">  :  </v>
      </c>
      <c r="O179" s="1" t="str">
        <f t="array" ref="O179">_xll.RssIndexMarket("CORN.FUT03.OS", "高値時刻")</f>
        <v xml:space="preserve">  :  </v>
      </c>
      <c r="P179" s="1" t="str">
        <f t="array" ref="P179">_xll.RssIndexMarket("CORN.FUT03.OS", "安値時刻")</f>
        <v xml:space="preserve">  :  </v>
      </c>
      <c r="Q179" s="2">
        <f t="array" ref="Q179">_xll.RssIndexMarket("CORN.FUT03.OS", "出来高")</f>
        <v>0</v>
      </c>
      <c r="R179" s="2">
        <f t="array" ref="R179">_xll.RssIndexMarket("CORN.FUT03.OS", "売買代金")</f>
        <v>0</v>
      </c>
      <c r="S179" s="2" t="str">
        <f t="array" ref="S179">_xll.RssIndexMarket("CORN.FUT03.OS", "前年最高値")</f>
        <v/>
      </c>
      <c r="T179" s="2" t="str">
        <f t="array" ref="T179">_xll.RssIndexMarket("CORN.FUT03.OS", "前年最安値")</f>
        <v/>
      </c>
      <c r="U179" s="2" t="str">
        <f t="array" ref="U179">_xll.RssIndexMarket("CORN.FUT03.OS", "前年終値")</f>
        <v/>
      </c>
      <c r="V179" s="2" t="str">
        <f t="array" ref="V179">_xll.RssIndexMarket("CORN.FUT03.OS", "年初来高値")</f>
        <v/>
      </c>
      <c r="W179" s="2" t="str">
        <f t="array" ref="W179">_xll.RssIndexMarket("CORN.FUT03.OS", "年初来安値")</f>
        <v/>
      </c>
      <c r="X179" s="2" t="str">
        <f t="array" ref="X179">_xll.RssIndexMarket("CORN.FUT03.OS", "上場来高値")</f>
        <v/>
      </c>
      <c r="Y179" s="2" t="str">
        <f t="array" ref="Y179">_xll.RssIndexMarket("CORN.FUT03.OS", "上場来安値")</f>
        <v/>
      </c>
      <c r="Z179" s="1" t="str">
        <f t="array" ref="Z179">_xll.RssIndexMarket("CORN.FUT03.OS", "上場来高値日付")</f>
        <v/>
      </c>
      <c r="AA179" s="1" t="str">
        <f t="array" ref="AA179">_xll.RssIndexMarket("CORN.FUT03.OS", "上場来安値日付")</f>
        <v/>
      </c>
    </row>
    <row r="180" spans="1:27">
      <c r="A180" s="1" t="str">
        <f t="array" ref="A180">_xll.RssIndexMarket("CORN.FUT04.OS", "指標コード")</f>
        <v/>
      </c>
      <c r="B180" s="1" t="str">
        <f t="array" ref="B180">_xll.RssIndexMarket("CORN.FUT04.OS", "指標名称")</f>
        <v/>
      </c>
      <c r="C180" s="1" t="str">
        <f t="array" ref="C180">_xll.RssIndexMarket("CORN.FUT04.OS", "現在日付")</f>
        <v/>
      </c>
      <c r="D180" s="1" t="str">
        <f t="array" ref="D180">_xll.RssIndexMarket("CORN.FUT04.OS", "更新時刻")</f>
        <v/>
      </c>
      <c r="E180" s="2">
        <f t="array" ref="E180">_xll.RssIndexMarket("CORN.FUT04.OS", "現在値")</f>
        <v>0</v>
      </c>
      <c r="F180" s="1" t="str">
        <f t="array" ref="F180">_xll.RssIndexMarket("CORN.FUT04.OS", "現在値ティック")</f>
        <v/>
      </c>
      <c r="G180" s="2">
        <f t="array" ref="G180">_xll.RssIndexMarket("CORN.FUT04.OS", "前日比")</f>
        <v>0</v>
      </c>
      <c r="H180" s="2">
        <f t="array" ref="H180">_xll.RssIndexMarket("CORN.FUT04.OS", "前日比率")</f>
        <v>0</v>
      </c>
      <c r="I180" s="2">
        <f t="array" ref="I180">_xll.RssIndexMarket("CORN.FUT04.OS", "前日終値")</f>
        <v>0</v>
      </c>
      <c r="J180" s="1" t="str">
        <f t="array" ref="J180">_xll.RssIndexMarket("CORN.FUT04.OS", "前日日付")</f>
        <v/>
      </c>
      <c r="K180" s="2">
        <f t="array" ref="K180">_xll.RssIndexMarket("CORN.FUT04.OS", "始値")</f>
        <v>0</v>
      </c>
      <c r="L180" s="2">
        <f t="array" ref="L180">_xll.RssIndexMarket("CORN.FUT04.OS", "高値")</f>
        <v>0</v>
      </c>
      <c r="M180" s="2">
        <f t="array" ref="M180">_xll.RssIndexMarket("CORN.FUT04.OS", "安値")</f>
        <v>0</v>
      </c>
      <c r="N180" s="1" t="str">
        <f t="array" ref="N180">_xll.RssIndexMarket("CORN.FUT04.OS", "始値時刻")</f>
        <v xml:space="preserve">  :  </v>
      </c>
      <c r="O180" s="1" t="str">
        <f t="array" ref="O180">_xll.RssIndexMarket("CORN.FUT04.OS", "高値時刻")</f>
        <v xml:space="preserve">  :  </v>
      </c>
      <c r="P180" s="1" t="str">
        <f t="array" ref="P180">_xll.RssIndexMarket("CORN.FUT04.OS", "安値時刻")</f>
        <v xml:space="preserve">  :  </v>
      </c>
      <c r="Q180" s="2">
        <f t="array" ref="Q180">_xll.RssIndexMarket("CORN.FUT04.OS", "出来高")</f>
        <v>0</v>
      </c>
      <c r="R180" s="2">
        <f t="array" ref="R180">_xll.RssIndexMarket("CORN.FUT04.OS", "売買代金")</f>
        <v>0</v>
      </c>
      <c r="S180" s="2" t="str">
        <f t="array" ref="S180">_xll.RssIndexMarket("CORN.FUT04.OS", "前年最高値")</f>
        <v/>
      </c>
      <c r="T180" s="2" t="str">
        <f t="array" ref="T180">_xll.RssIndexMarket("CORN.FUT04.OS", "前年最安値")</f>
        <v/>
      </c>
      <c r="U180" s="2" t="str">
        <f t="array" ref="U180">_xll.RssIndexMarket("CORN.FUT04.OS", "前年終値")</f>
        <v/>
      </c>
      <c r="V180" s="2" t="str">
        <f t="array" ref="V180">_xll.RssIndexMarket("CORN.FUT04.OS", "年初来高値")</f>
        <v/>
      </c>
      <c r="W180" s="2" t="str">
        <f t="array" ref="W180">_xll.RssIndexMarket("CORN.FUT04.OS", "年初来安値")</f>
        <v/>
      </c>
      <c r="X180" s="2" t="str">
        <f t="array" ref="X180">_xll.RssIndexMarket("CORN.FUT04.OS", "上場来高値")</f>
        <v/>
      </c>
      <c r="Y180" s="2" t="str">
        <f t="array" ref="Y180">_xll.RssIndexMarket("CORN.FUT04.OS", "上場来安値")</f>
        <v/>
      </c>
      <c r="Z180" s="1" t="str">
        <f t="array" ref="Z180">_xll.RssIndexMarket("CORN.FUT04.OS", "上場来高値日付")</f>
        <v/>
      </c>
      <c r="AA180" s="1" t="str">
        <f t="array" ref="AA180">_xll.RssIndexMarket("CORN.FUT04.OS", "上場来安値日付")</f>
        <v/>
      </c>
    </row>
    <row r="181" spans="1:27">
      <c r="A181" s="1" t="str">
        <f t="array" ref="A181">_xll.RssIndexMarket("CORN.FUT05.OS", "指標コード")</f>
        <v/>
      </c>
      <c r="B181" s="1" t="str">
        <f t="array" ref="B181">_xll.RssIndexMarket("CORN.FUT05.OS", "指標名称")</f>
        <v/>
      </c>
      <c r="C181" s="1" t="str">
        <f t="array" ref="C181">_xll.RssIndexMarket("CORN.FUT05.OS", "現在日付")</f>
        <v/>
      </c>
      <c r="D181" s="1" t="str">
        <f t="array" ref="D181">_xll.RssIndexMarket("CORN.FUT05.OS", "更新時刻")</f>
        <v/>
      </c>
      <c r="E181" s="2">
        <f t="array" ref="E181">_xll.RssIndexMarket("CORN.FUT05.OS", "現在値")</f>
        <v>0</v>
      </c>
      <c r="F181" s="1" t="str">
        <f t="array" ref="F181">_xll.RssIndexMarket("CORN.FUT05.OS", "現在値ティック")</f>
        <v/>
      </c>
      <c r="G181" s="2">
        <f t="array" ref="G181">_xll.RssIndexMarket("CORN.FUT05.OS", "前日比")</f>
        <v>0</v>
      </c>
      <c r="H181" s="2">
        <f t="array" ref="H181">_xll.RssIndexMarket("CORN.FUT05.OS", "前日比率")</f>
        <v>0</v>
      </c>
      <c r="I181" s="2">
        <f t="array" ref="I181">_xll.RssIndexMarket("CORN.FUT05.OS", "前日終値")</f>
        <v>0</v>
      </c>
      <c r="J181" s="1" t="str">
        <f t="array" ref="J181">_xll.RssIndexMarket("CORN.FUT05.OS", "前日日付")</f>
        <v/>
      </c>
      <c r="K181" s="2">
        <f t="array" ref="K181">_xll.RssIndexMarket("CORN.FUT05.OS", "始値")</f>
        <v>0</v>
      </c>
      <c r="L181" s="2">
        <f t="array" ref="L181">_xll.RssIndexMarket("CORN.FUT05.OS", "高値")</f>
        <v>0</v>
      </c>
      <c r="M181" s="2">
        <f t="array" ref="M181">_xll.RssIndexMarket("CORN.FUT05.OS", "安値")</f>
        <v>0</v>
      </c>
      <c r="N181" s="1" t="str">
        <f t="array" ref="N181">_xll.RssIndexMarket("CORN.FUT05.OS", "始値時刻")</f>
        <v xml:space="preserve">  :  </v>
      </c>
      <c r="O181" s="1" t="str">
        <f t="array" ref="O181">_xll.RssIndexMarket("CORN.FUT05.OS", "高値時刻")</f>
        <v xml:space="preserve">  :  </v>
      </c>
      <c r="P181" s="1" t="str">
        <f t="array" ref="P181">_xll.RssIndexMarket("CORN.FUT05.OS", "安値時刻")</f>
        <v xml:space="preserve">  :  </v>
      </c>
      <c r="Q181" s="2">
        <f t="array" ref="Q181">_xll.RssIndexMarket("CORN.FUT05.OS", "出来高")</f>
        <v>0</v>
      </c>
      <c r="R181" s="2">
        <f t="array" ref="R181">_xll.RssIndexMarket("CORN.FUT05.OS", "売買代金")</f>
        <v>0</v>
      </c>
      <c r="S181" s="2" t="str">
        <f t="array" ref="S181">_xll.RssIndexMarket("CORN.FUT05.OS", "前年最高値")</f>
        <v/>
      </c>
      <c r="T181" s="2" t="str">
        <f t="array" ref="T181">_xll.RssIndexMarket("CORN.FUT05.OS", "前年最安値")</f>
        <v/>
      </c>
      <c r="U181" s="2" t="str">
        <f t="array" ref="U181">_xll.RssIndexMarket("CORN.FUT05.OS", "前年終値")</f>
        <v/>
      </c>
      <c r="V181" s="2" t="str">
        <f t="array" ref="V181">_xll.RssIndexMarket("CORN.FUT05.OS", "年初来高値")</f>
        <v/>
      </c>
      <c r="W181" s="2" t="str">
        <f t="array" ref="W181">_xll.RssIndexMarket("CORN.FUT05.OS", "年初来安値")</f>
        <v/>
      </c>
      <c r="X181" s="2" t="str">
        <f t="array" ref="X181">_xll.RssIndexMarket("CORN.FUT05.OS", "上場来高値")</f>
        <v/>
      </c>
      <c r="Y181" s="2" t="str">
        <f t="array" ref="Y181">_xll.RssIndexMarket("CORN.FUT05.OS", "上場来安値")</f>
        <v/>
      </c>
      <c r="Z181" s="1" t="str">
        <f t="array" ref="Z181">_xll.RssIndexMarket("CORN.FUT05.OS", "上場来高値日付")</f>
        <v/>
      </c>
      <c r="AA181" s="1" t="str">
        <f t="array" ref="AA181">_xll.RssIndexMarket("CORN.FUT05.OS", "上場来安値日付")</f>
        <v/>
      </c>
    </row>
    <row r="182" spans="1:27">
      <c r="A182" s="1" t="str">
        <f t="array" ref="A182">_xll.RssIndexMarket("CORN.FUT06.OS", "指標コード")</f>
        <v/>
      </c>
      <c r="B182" s="1" t="str">
        <f t="array" ref="B182">_xll.RssIndexMarket("CORN.FUT06.OS", "指標名称")</f>
        <v/>
      </c>
      <c r="C182" s="1" t="str">
        <f t="array" ref="C182">_xll.RssIndexMarket("CORN.FUT06.OS", "現在日付")</f>
        <v/>
      </c>
      <c r="D182" s="1" t="str">
        <f t="array" ref="D182">_xll.RssIndexMarket("CORN.FUT06.OS", "更新時刻")</f>
        <v/>
      </c>
      <c r="E182" s="2">
        <f t="array" ref="E182">_xll.RssIndexMarket("CORN.FUT06.OS", "現在値")</f>
        <v>0</v>
      </c>
      <c r="F182" s="1" t="str">
        <f t="array" ref="F182">_xll.RssIndexMarket("CORN.FUT06.OS", "現在値ティック")</f>
        <v/>
      </c>
      <c r="G182" s="2">
        <f t="array" ref="G182">_xll.RssIndexMarket("CORN.FUT06.OS", "前日比")</f>
        <v>0</v>
      </c>
      <c r="H182" s="2">
        <f t="array" ref="H182">_xll.RssIndexMarket("CORN.FUT06.OS", "前日比率")</f>
        <v>0</v>
      </c>
      <c r="I182" s="2">
        <f t="array" ref="I182">_xll.RssIndexMarket("CORN.FUT06.OS", "前日終値")</f>
        <v>0</v>
      </c>
      <c r="J182" s="1" t="str">
        <f t="array" ref="J182">_xll.RssIndexMarket("CORN.FUT06.OS", "前日日付")</f>
        <v/>
      </c>
      <c r="K182" s="2">
        <f t="array" ref="K182">_xll.RssIndexMarket("CORN.FUT06.OS", "始値")</f>
        <v>0</v>
      </c>
      <c r="L182" s="2">
        <f t="array" ref="L182">_xll.RssIndexMarket("CORN.FUT06.OS", "高値")</f>
        <v>0</v>
      </c>
      <c r="M182" s="2">
        <f t="array" ref="M182">_xll.RssIndexMarket("CORN.FUT06.OS", "安値")</f>
        <v>0</v>
      </c>
      <c r="N182" s="1" t="str">
        <f t="array" ref="N182">_xll.RssIndexMarket("CORN.FUT06.OS", "始値時刻")</f>
        <v xml:space="preserve">  :  </v>
      </c>
      <c r="O182" s="1" t="str">
        <f t="array" ref="O182">_xll.RssIndexMarket("CORN.FUT06.OS", "高値時刻")</f>
        <v xml:space="preserve">  :  </v>
      </c>
      <c r="P182" s="1" t="str">
        <f t="array" ref="P182">_xll.RssIndexMarket("CORN.FUT06.OS", "安値時刻")</f>
        <v xml:space="preserve">  :  </v>
      </c>
      <c r="Q182" s="2">
        <f t="array" ref="Q182">_xll.RssIndexMarket("CORN.FUT06.OS", "出来高")</f>
        <v>0</v>
      </c>
      <c r="R182" s="2">
        <f t="array" ref="R182">_xll.RssIndexMarket("CORN.FUT06.OS", "売買代金")</f>
        <v>0</v>
      </c>
      <c r="S182" s="2" t="str">
        <f t="array" ref="S182">_xll.RssIndexMarket("CORN.FUT06.OS", "前年最高値")</f>
        <v/>
      </c>
      <c r="T182" s="2" t="str">
        <f t="array" ref="T182">_xll.RssIndexMarket("CORN.FUT06.OS", "前年最安値")</f>
        <v/>
      </c>
      <c r="U182" s="2" t="str">
        <f t="array" ref="U182">_xll.RssIndexMarket("CORN.FUT06.OS", "前年終値")</f>
        <v/>
      </c>
      <c r="V182" s="2" t="str">
        <f t="array" ref="V182">_xll.RssIndexMarket("CORN.FUT06.OS", "年初来高値")</f>
        <v/>
      </c>
      <c r="W182" s="2" t="str">
        <f t="array" ref="W182">_xll.RssIndexMarket("CORN.FUT06.OS", "年初来安値")</f>
        <v/>
      </c>
      <c r="X182" s="2" t="str">
        <f t="array" ref="X182">_xll.RssIndexMarket("CORN.FUT06.OS", "上場来高値")</f>
        <v/>
      </c>
      <c r="Y182" s="2" t="str">
        <f t="array" ref="Y182">_xll.RssIndexMarket("CORN.FUT06.OS", "上場来安値")</f>
        <v/>
      </c>
      <c r="Z182" s="1" t="str">
        <f t="array" ref="Z182">_xll.RssIndexMarket("CORN.FUT06.OS", "上場来高値日付")</f>
        <v/>
      </c>
      <c r="AA182" s="1" t="str">
        <f t="array" ref="AA182">_xll.RssIndexMarket("CORN.FUT06.OS", "上場来安値日付")</f>
        <v/>
      </c>
    </row>
    <row r="183" spans="1:27">
      <c r="A183" s="1" t="str">
        <f t="array" ref="A183">_xll.RssIndexMarket("N225.FUT01.C", "指標コード")</f>
        <v/>
      </c>
      <c r="B183" s="1" t="str">
        <f t="array" ref="B183">_xll.RssIndexMarket("N225.FUT01.C", "指標名称")</f>
        <v/>
      </c>
      <c r="C183" s="1" t="str">
        <f t="array" ref="C183">_xll.RssIndexMarket("N225.FUT01.C", "現在日付")</f>
        <v>2026/02/28</v>
      </c>
      <c r="D183" s="1" t="str">
        <f t="array" ref="D183">_xll.RssIndexMarket("N225.FUT01.C", "更新時刻")</f>
        <v/>
      </c>
      <c r="E183" s="2">
        <f t="array" ref="E183">_xll.RssIndexMarket("N225.FUT01.C", "現在値")</f>
        <v>58620</v>
      </c>
      <c r="F183" s="1" t="str">
        <f t="array" ref="F183">_xll.RssIndexMarket("N225.FUT01.C", "現在値ティック")</f>
        <v>↓</v>
      </c>
      <c r="G183" s="2">
        <f t="array" ref="G183">_xll.RssIndexMarket("N225.FUT01.C", "前日比")</f>
        <v>-95</v>
      </c>
      <c r="H183" s="2">
        <f t="array" ref="H183">_xll.RssIndexMarket("N225.FUT01.C", "前日比率")</f>
        <v>-0.16</v>
      </c>
      <c r="I183" s="2">
        <f t="array" ref="I183">_xll.RssIndexMarket("N225.FUT01.C", "前日終値")</f>
        <v>58715</v>
      </c>
      <c r="J183" s="1" t="str">
        <f t="array" ref="J183">_xll.RssIndexMarket("N225.FUT01.C", "前日日付")</f>
        <v>2026/02/26</v>
      </c>
      <c r="K183" s="2">
        <f t="array" ref="K183">_xll.RssIndexMarket("N225.FUT01.C", "始値")</f>
        <v>58635</v>
      </c>
      <c r="L183" s="2">
        <f t="array" ref="L183">_xll.RssIndexMarket("N225.FUT01.C", "高値")</f>
        <v>59415</v>
      </c>
      <c r="M183" s="2">
        <f t="array" ref="M183">_xll.RssIndexMarket("N225.FUT01.C", "安値")</f>
        <v>58175</v>
      </c>
      <c r="N183" s="1" t="str">
        <f t="array" ref="N183">_xll.RssIndexMarket("N225.FUT01.C", "始値時刻")</f>
        <v/>
      </c>
      <c r="O183" s="1" t="str">
        <f t="array" ref="O183">_xll.RssIndexMarket("N225.FUT01.C", "高値時刻")</f>
        <v/>
      </c>
      <c r="P183" s="1" t="str">
        <f t="array" ref="P183">_xll.RssIndexMarket("N225.FUT01.C", "安値時刻")</f>
        <v/>
      </c>
      <c r="Q183" s="2">
        <f t="array" ref="Q183">_xll.RssIndexMarket("N225.FUT01.C", "出来高")</f>
        <v>21377</v>
      </c>
      <c r="R183" s="2" t="str">
        <f t="array" ref="R183">_xll.RssIndexMarket("N225.FUT01.C", "売買代金")</f>
        <v>-</v>
      </c>
      <c r="S183" s="2" t="str">
        <f t="array" ref="S183">_xll.RssIndexMarket("N225.FUT01.C", "前年最高値")</f>
        <v/>
      </c>
      <c r="T183" s="2" t="str">
        <f t="array" ref="T183">_xll.RssIndexMarket("N225.FUT01.C", "前年最安値")</f>
        <v/>
      </c>
      <c r="U183" s="2" t="str">
        <f t="array" ref="U183">_xll.RssIndexMarket("N225.FUT01.C", "前年終値")</f>
        <v/>
      </c>
      <c r="V183" s="2" t="str">
        <f t="array" ref="V183">_xll.RssIndexMarket("N225.FUT01.C", "年初来高値")</f>
        <v/>
      </c>
      <c r="W183" s="2" t="str">
        <f t="array" ref="W183">_xll.RssIndexMarket("N225.FUT01.C", "年初来安値")</f>
        <v/>
      </c>
      <c r="X183" s="2" t="str">
        <f t="array" ref="X183">_xll.RssIndexMarket("N225.FUT01.C", "上場来高値")</f>
        <v/>
      </c>
      <c r="Y183" s="2" t="str">
        <f t="array" ref="Y183">_xll.RssIndexMarket("N225.FUT01.C", "上場来安値")</f>
        <v/>
      </c>
      <c r="Z183" s="1" t="str">
        <f t="array" ref="Z183">_xll.RssIndexMarket("N225.FUT01.C", "上場来高値日付")</f>
        <v/>
      </c>
      <c r="AA183" s="1" t="str">
        <f t="array" ref="AA183">_xll.RssIndexMarket("N225.FUT01.C", "上場来安値日付")</f>
        <v/>
      </c>
    </row>
    <row r="184" spans="1:27">
      <c r="A184" s="1" t="str">
        <f t="array" ref="A184">_xll.RssIndexMarket("N225.FUT02.C", "指標コード")</f>
        <v/>
      </c>
      <c r="B184" s="1" t="str">
        <f t="array" ref="B184">_xll.RssIndexMarket("N225.FUT02.C", "指標名称")</f>
        <v/>
      </c>
      <c r="C184" s="1" t="str">
        <f t="array" ref="C184">_xll.RssIndexMarket("N225.FUT02.C", "現在日付")</f>
        <v>2026/02/28</v>
      </c>
      <c r="D184" s="1" t="str">
        <f t="array" ref="D184">_xll.RssIndexMarket("N225.FUT02.C", "更新時刻")</f>
        <v/>
      </c>
      <c r="E184" s="2">
        <f t="array" ref="E184">_xll.RssIndexMarket("N225.FUT02.C", "現在値")</f>
        <v>58495</v>
      </c>
      <c r="F184" s="1" t="str">
        <f t="array" ref="F184">_xll.RssIndexMarket("N225.FUT02.C", "現在値ティック")</f>
        <v>↑</v>
      </c>
      <c r="G184" s="2">
        <f t="array" ref="G184">_xll.RssIndexMarket("N225.FUT02.C", "前日比")</f>
        <v>-20</v>
      </c>
      <c r="H184" s="2">
        <f t="array" ref="H184">_xll.RssIndexMarket("N225.FUT02.C", "前日比率")</f>
        <v>-0.03</v>
      </c>
      <c r="I184" s="2">
        <f t="array" ref="I184">_xll.RssIndexMarket("N225.FUT02.C", "前日終値")</f>
        <v>58515</v>
      </c>
      <c r="J184" s="1" t="str">
        <f t="array" ref="J184">_xll.RssIndexMarket("N225.FUT02.C", "前日日付")</f>
        <v>2026/02/26</v>
      </c>
      <c r="K184" s="2">
        <f t="array" ref="K184">_xll.RssIndexMarket("N225.FUT02.C", "始値")</f>
        <v>58265</v>
      </c>
      <c r="L184" s="2">
        <f t="array" ref="L184">_xll.RssIndexMarket("N225.FUT02.C", "高値")</f>
        <v>59190</v>
      </c>
      <c r="M184" s="2">
        <f t="array" ref="M184">_xll.RssIndexMarket("N225.FUT02.C", "安値")</f>
        <v>58080</v>
      </c>
      <c r="N184" s="1" t="str">
        <f t="array" ref="N184">_xll.RssIndexMarket("N225.FUT02.C", "始値時刻")</f>
        <v/>
      </c>
      <c r="O184" s="1" t="str">
        <f t="array" ref="O184">_xll.RssIndexMarket("N225.FUT02.C", "高値時刻")</f>
        <v/>
      </c>
      <c r="P184" s="1" t="str">
        <f t="array" ref="P184">_xll.RssIndexMarket("N225.FUT02.C", "安値時刻")</f>
        <v/>
      </c>
      <c r="Q184" s="2">
        <f t="array" ref="Q184">_xll.RssIndexMarket("N225.FUT02.C", "出来高")</f>
        <v>175</v>
      </c>
      <c r="R184" s="2" t="str">
        <f t="array" ref="R184">_xll.RssIndexMarket("N225.FUT02.C", "売買代金")</f>
        <v>-</v>
      </c>
      <c r="S184" s="2" t="str">
        <f t="array" ref="S184">_xll.RssIndexMarket("N225.FUT02.C", "前年最高値")</f>
        <v/>
      </c>
      <c r="T184" s="2" t="str">
        <f t="array" ref="T184">_xll.RssIndexMarket("N225.FUT02.C", "前年最安値")</f>
        <v/>
      </c>
      <c r="U184" s="2" t="str">
        <f t="array" ref="U184">_xll.RssIndexMarket("N225.FUT02.C", "前年終値")</f>
        <v/>
      </c>
      <c r="V184" s="2" t="str">
        <f t="array" ref="V184">_xll.RssIndexMarket("N225.FUT02.C", "年初来高値")</f>
        <v/>
      </c>
      <c r="W184" s="2" t="str">
        <f t="array" ref="W184">_xll.RssIndexMarket("N225.FUT02.C", "年初来安値")</f>
        <v/>
      </c>
      <c r="X184" s="2" t="str">
        <f t="array" ref="X184">_xll.RssIndexMarket("N225.FUT02.C", "上場来高値")</f>
        <v/>
      </c>
      <c r="Y184" s="2" t="str">
        <f t="array" ref="Y184">_xll.RssIndexMarket("N225.FUT02.C", "上場来安値")</f>
        <v/>
      </c>
      <c r="Z184" s="1" t="str">
        <f t="array" ref="Z184">_xll.RssIndexMarket("N225.FUT02.C", "上場来高値日付")</f>
        <v/>
      </c>
      <c r="AA184" s="1" t="str">
        <f t="array" ref="AA184">_xll.RssIndexMarket("N225.FUT02.C", "上場来安値日付")</f>
        <v/>
      </c>
    </row>
    <row r="185" spans="1:27">
      <c r="A185" s="1" t="str">
        <f t="array" ref="A185">_xll.RssIndexMarket("N225.FUT01.S", "指標コード")</f>
        <v/>
      </c>
      <c r="B185" s="1" t="str">
        <f t="array" ref="B185">_xll.RssIndexMarket("N225.FUT01.S", "指標名称")</f>
        <v/>
      </c>
      <c r="C185" s="1" t="str">
        <f t="array" ref="C185">_xll.RssIndexMarket("N225.FUT01.S", "現在日付")</f>
        <v>2026/02/28</v>
      </c>
      <c r="D185" s="1" t="str">
        <f t="array" ref="D185">_xll.RssIndexMarket("N225.FUT01.S", "更新時刻")</f>
        <v/>
      </c>
      <c r="E185" s="2">
        <f t="array" ref="E185">_xll.RssIndexMarket("N225.FUT01.S", "現在値")</f>
        <v>58625</v>
      </c>
      <c r="F185" s="1" t="str">
        <f t="array" ref="F185">_xll.RssIndexMarket("N225.FUT01.S", "現在値ティック")</f>
        <v>↑</v>
      </c>
      <c r="G185" s="2">
        <f t="array" ref="G185">_xll.RssIndexMarket("N225.FUT01.S", "前日比")</f>
        <v>-455</v>
      </c>
      <c r="H185" s="2">
        <f t="array" ref="H185">_xll.RssIndexMarket("N225.FUT01.S", "前日比率")</f>
        <v>-0.77</v>
      </c>
      <c r="I185" s="2">
        <f t="array" ref="I185">_xll.RssIndexMarket("N225.FUT01.S", "前日終値")</f>
        <v>59080</v>
      </c>
      <c r="J185" s="1" t="str">
        <f t="array" ref="J185">_xll.RssIndexMarket("N225.FUT01.S", "前日日付")</f>
        <v>2026/02/27</v>
      </c>
      <c r="K185" s="2">
        <f t="array" ref="K185">_xll.RssIndexMarket("N225.FUT01.S", "始値")</f>
        <v>59100</v>
      </c>
      <c r="L185" s="2">
        <f t="array" ref="L185">_xll.RssIndexMarket("N225.FUT01.S", "高値")</f>
        <v>59425</v>
      </c>
      <c r="M185" s="2">
        <f t="array" ref="M185">_xll.RssIndexMarket("N225.FUT01.S", "安値")</f>
        <v>58385</v>
      </c>
      <c r="N185" s="1" t="str">
        <f t="array" ref="N185">_xll.RssIndexMarket("N225.FUT01.S", "始値時刻")</f>
        <v>16:10</v>
      </c>
      <c r="O185" s="1" t="str">
        <f t="array" ref="O185">_xll.RssIndexMarket("N225.FUT01.S", "高値時刻")</f>
        <v>18:22</v>
      </c>
      <c r="P185" s="1" t="str">
        <f t="array" ref="P185">_xll.RssIndexMarket("N225.FUT01.S", "安値時刻")</f>
        <v>23:43</v>
      </c>
      <c r="Q185" s="2">
        <f t="array" ref="Q185">_xll.RssIndexMarket("N225.FUT01.S", "出来高")</f>
        <v>7903</v>
      </c>
      <c r="R185" s="2" t="str">
        <f t="array" ref="R185">_xll.RssIndexMarket("N225.FUT01.S", "売買代金")</f>
        <v>-</v>
      </c>
      <c r="S185" s="2" t="str">
        <f t="array" ref="S185">_xll.RssIndexMarket("N225.FUT01.S", "前年最高値")</f>
        <v/>
      </c>
      <c r="T185" s="2" t="str">
        <f t="array" ref="T185">_xll.RssIndexMarket("N225.FUT01.S", "前年最安値")</f>
        <v/>
      </c>
      <c r="U185" s="2" t="str">
        <f t="array" ref="U185">_xll.RssIndexMarket("N225.FUT01.S", "前年終値")</f>
        <v/>
      </c>
      <c r="V185" s="2" t="str">
        <f t="array" ref="V185">_xll.RssIndexMarket("N225.FUT01.S", "年初来高値")</f>
        <v/>
      </c>
      <c r="W185" s="2" t="str">
        <f t="array" ref="W185">_xll.RssIndexMarket("N225.FUT01.S", "年初来安値")</f>
        <v/>
      </c>
      <c r="X185" s="2" t="str">
        <f t="array" ref="X185">_xll.RssIndexMarket("N225.FUT01.S", "上場来高値")</f>
        <v/>
      </c>
      <c r="Y185" s="2" t="str">
        <f t="array" ref="Y185">_xll.RssIndexMarket("N225.FUT01.S", "上場来安値")</f>
        <v/>
      </c>
      <c r="Z185" s="1" t="str">
        <f t="array" ref="Z185">_xll.RssIndexMarket("N225.FUT01.S", "上場来高値日付")</f>
        <v/>
      </c>
      <c r="AA185" s="1" t="str">
        <f t="array" ref="AA185">_xll.RssIndexMarket("N225.FUT01.S", "上場来安値日付")</f>
        <v/>
      </c>
    </row>
    <row r="186" spans="1:27">
      <c r="A186" s="1" t="str" cm="1">
        <f t="array" ref="A186">_xll.RssIndexMarket("N225.FUT02.S", "指標コード")</f>
        <v/>
      </c>
      <c r="B186" s="1" t="str">
        <f t="array" ref="B186">_xll.RssIndexMarket("N225.FUT02.S", "指標名称")</f>
        <v/>
      </c>
      <c r="C186" s="1" t="str">
        <f t="array" ref="C186">_xll.RssIndexMarket("N225.FUT02.S", "現在日付")</f>
        <v>2026/02/28</v>
      </c>
      <c r="D186" s="1" t="str">
        <f t="array" ref="D186">_xll.RssIndexMarket("N225.FUT02.S", "更新時刻")</f>
        <v/>
      </c>
      <c r="E186" s="2">
        <f t="array" ref="E186">_xll.RssIndexMarket("N225.FUT02.S", "現在値")</f>
        <v>58405</v>
      </c>
      <c r="F186" s="1" t="str">
        <f t="array" ref="F186">_xll.RssIndexMarket("N225.FUT02.S", "現在値ティック")</f>
        <v>↓</v>
      </c>
      <c r="G186" s="2">
        <f t="array" ref="G186">_xll.RssIndexMarket("N225.FUT02.S", "前日比")</f>
        <v>-475</v>
      </c>
      <c r="H186" s="2">
        <f t="array" ref="H186">_xll.RssIndexMarket("N225.FUT02.S", "前日比率")</f>
        <v>-0.81</v>
      </c>
      <c r="I186" s="2">
        <f t="array" ref="I186">_xll.RssIndexMarket("N225.FUT02.S", "前日終値")</f>
        <v>58880</v>
      </c>
      <c r="J186" s="1" t="str">
        <f t="array" ref="J186">_xll.RssIndexMarket("N225.FUT02.S", "前日日付")</f>
        <v>2026/02/27</v>
      </c>
      <c r="K186" s="2">
        <f t="array" ref="K186">_xll.RssIndexMarket("N225.FUT02.S", "始値")</f>
        <v>59180</v>
      </c>
      <c r="L186" s="2">
        <f t="array" ref="L186">_xll.RssIndexMarket("N225.FUT02.S", "高値")</f>
        <v>59195</v>
      </c>
      <c r="M186" s="2">
        <f t="array" ref="M186">_xll.RssIndexMarket("N225.FUT02.S", "安値")</f>
        <v>58405</v>
      </c>
      <c r="N186" s="1" t="str">
        <f t="array" ref="N186">_xll.RssIndexMarket("N225.FUT02.S", "始値時刻")</f>
        <v>17:07</v>
      </c>
      <c r="O186" s="1" t="str">
        <f t="array" ref="O186">_xll.RssIndexMarket("N225.FUT02.S", "高値時刻")</f>
        <v>18:21</v>
      </c>
      <c r="P186" s="1" t="str">
        <f t="array" ref="P186">_xll.RssIndexMarket("N225.FUT02.S", "安値時刻")</f>
        <v>04:41</v>
      </c>
      <c r="Q186" s="2">
        <f t="array" ref="Q186">_xll.RssIndexMarket("N225.FUT02.S", "出来高")</f>
        <v>411</v>
      </c>
      <c r="R186" s="2" t="str">
        <f t="array" ref="R186">_xll.RssIndexMarket("N225.FUT02.S", "売買代金")</f>
        <v>-</v>
      </c>
      <c r="S186" s="2" t="str">
        <f t="array" ref="S186">_xll.RssIndexMarket("N225.FUT02.S", "前年最高値")</f>
        <v/>
      </c>
      <c r="T186" s="2" t="str">
        <f t="array" ref="T186">_xll.RssIndexMarket("N225.FUT02.S", "前年最安値")</f>
        <v/>
      </c>
      <c r="U186" s="2" t="str">
        <f t="array" ref="U186">_xll.RssIndexMarket("N225.FUT02.S", "前年終値")</f>
        <v/>
      </c>
      <c r="V186" s="2" t="str">
        <f t="array" ref="V186">_xll.RssIndexMarket("N225.FUT02.S", "年初来高値")</f>
        <v/>
      </c>
      <c r="W186" s="2" t="str">
        <f t="array" ref="W186">_xll.RssIndexMarket("N225.FUT02.S", "年初来安値")</f>
        <v/>
      </c>
      <c r="X186" s="2" t="str">
        <f t="array" ref="X186">_xll.RssIndexMarket("N225.FUT02.S", "上場来高値")</f>
        <v/>
      </c>
      <c r="Y186" s="2" t="str">
        <f t="array" ref="Y186">_xll.RssIndexMarket("N225.FUT02.S", "上場来安値")</f>
        <v/>
      </c>
      <c r="Z186" s="1" t="str">
        <f t="array" ref="Z186">_xll.RssIndexMarket("N225.FUT02.S", "上場来高値日付")</f>
        <v/>
      </c>
      <c r="AA186" s="1" t="str">
        <f t="array" ref="AA186">_xll.RssIndexMarket("N225.FUT02.S", "上場来安値日付")</f>
        <v/>
      </c>
    </row>
    <row r="187" spans="1:27">
      <c r="A187" s="1" t="str">
        <f t="array" ref="A187">_xll.RssIndexMarket("USD/JPY", "指標コード")</f>
        <v/>
      </c>
      <c r="B187" s="1" t="str">
        <f t="array" ref="B187">_xll.RssIndexMarket("USD/JPY", "指標名称")</f>
        <v/>
      </c>
      <c r="C187" s="1" t="str">
        <f t="array" ref="C187">_xll.RssIndexMarket("USD/JPY", "現在日付")</f>
        <v/>
      </c>
      <c r="D187" s="1" t="str">
        <f t="array" ref="D187">_xll.RssIndexMarket("USD/JPY", "更新時刻")</f>
        <v/>
      </c>
      <c r="E187" s="2" t="str">
        <f t="array" ref="E187">_xll.RssIndexMarket("USD/JPY", "現在値")</f>
        <v/>
      </c>
      <c r="F187" s="1" t="str">
        <f t="array" ref="F187">_xll.RssIndexMarket("USD/JPY", "現在値ティック")</f>
        <v/>
      </c>
      <c r="G187" s="2" t="str">
        <f t="array" ref="G187">_xll.RssIndexMarket("USD/JPY", "前日比")</f>
        <v/>
      </c>
      <c r="H187" s="2" t="str">
        <f t="array" ref="H187">_xll.RssIndexMarket("USD/JPY", "前日比率")</f>
        <v/>
      </c>
      <c r="I187" s="2" t="str">
        <f t="array" ref="I187">_xll.RssIndexMarket("USD/JPY", "前日終値")</f>
        <v/>
      </c>
      <c r="J187" s="1" t="str">
        <f t="array" ref="J187">_xll.RssIndexMarket("USD/JPY", "前日日付")</f>
        <v/>
      </c>
      <c r="K187" s="2" t="str">
        <f t="array" ref="K187">_xll.RssIndexMarket("USD/JPY", "始値")</f>
        <v/>
      </c>
      <c r="L187" s="2" t="str">
        <f t="array" ref="L187">_xll.RssIndexMarket("USD/JPY", "高値")</f>
        <v/>
      </c>
      <c r="M187" s="2" t="str">
        <f t="array" ref="M187">_xll.RssIndexMarket("USD/JPY", "安値")</f>
        <v/>
      </c>
      <c r="N187" s="1" t="str">
        <f t="array" ref="N187">_xll.RssIndexMarket("USD/JPY", "始値時刻")</f>
        <v/>
      </c>
      <c r="O187" s="1" t="str">
        <f t="array" ref="O187">_xll.RssIndexMarket("USD/JPY", "高値時刻")</f>
        <v/>
      </c>
      <c r="P187" s="1" t="str">
        <f t="array" ref="P187">_xll.RssIndexMarket("USD/JPY", "安値時刻")</f>
        <v/>
      </c>
      <c r="Q187" s="2" t="str">
        <f t="array" ref="Q187">_xll.RssIndexMarket("USD/JPY", "出来高")</f>
        <v/>
      </c>
      <c r="R187" s="2" t="str">
        <f t="array" ref="R187">_xll.RssIndexMarket("USD/JPY", "売買代金")</f>
        <v/>
      </c>
      <c r="S187" s="2" t="str">
        <f t="array" ref="S187">_xll.RssIndexMarket("USD/JPY", "前年最高値")</f>
        <v/>
      </c>
      <c r="T187" s="2" t="str">
        <f t="array" ref="T187">_xll.RssIndexMarket("USD/JPY", "前年最安値")</f>
        <v/>
      </c>
      <c r="U187" s="2" t="str">
        <f t="array" ref="U187">_xll.RssIndexMarket("USD/JPY", "前年終値")</f>
        <v/>
      </c>
      <c r="V187" s="2" t="str">
        <f t="array" ref="V187">_xll.RssIndexMarket("USD/JPY", "年初来高値")</f>
        <v/>
      </c>
      <c r="W187" s="2" t="str">
        <f t="array" ref="W187">_xll.RssIndexMarket("USD/JPY", "年初来安値")</f>
        <v/>
      </c>
      <c r="X187" s="2" t="str">
        <f t="array" ref="X187">_xll.RssIndexMarket("USD/JPY", "上場来高値")</f>
        <v/>
      </c>
      <c r="Y187" s="2" t="str">
        <f t="array" ref="Y187">_xll.RssIndexMarket("USD/JPY", "上場来安値")</f>
        <v/>
      </c>
      <c r="Z187" s="1" t="str">
        <f t="array" ref="Z187">_xll.RssIndexMarket("USD/JPY", "上場来高値日付")</f>
        <v/>
      </c>
      <c r="AA187" s="1" t="str">
        <f t="array" ref="AA187">_xll.RssIndexMarket("USD/JPY", "上場来安値日付")</f>
        <v/>
      </c>
    </row>
    <row r="188" spans="1:27">
      <c r="A188" s="1" t="str">
        <f t="array" ref="A188">_xll.RssIndexMarket("EUR/JPY", "指標コード")</f>
        <v/>
      </c>
      <c r="B188" s="1" t="str">
        <f t="array" ref="B188">_xll.RssIndexMarket("EUR/JPY", "指標名称")</f>
        <v/>
      </c>
      <c r="C188" s="1" t="str">
        <f t="array" ref="C188">_xll.RssIndexMarket("EUR/JPY", "現在日付")</f>
        <v/>
      </c>
      <c r="D188" s="1" t="str">
        <f t="array" ref="D188">_xll.RssIndexMarket("EUR/JPY", "更新時刻")</f>
        <v/>
      </c>
      <c r="E188" s="2" t="str">
        <f t="array" ref="E188">_xll.RssIndexMarket("EUR/JPY", "現在値")</f>
        <v/>
      </c>
      <c r="F188" s="1" t="str">
        <f t="array" ref="F188">_xll.RssIndexMarket("EUR/JPY", "現在値ティック")</f>
        <v/>
      </c>
      <c r="G188" s="2" t="str">
        <f t="array" ref="G188">_xll.RssIndexMarket("EUR/JPY", "前日比")</f>
        <v/>
      </c>
      <c r="H188" s="2" t="str">
        <f t="array" ref="H188">_xll.RssIndexMarket("EUR/JPY", "前日比率")</f>
        <v/>
      </c>
      <c r="I188" s="2" t="str">
        <f t="array" ref="I188">_xll.RssIndexMarket("EUR/JPY", "前日終値")</f>
        <v/>
      </c>
      <c r="J188" s="1" t="str">
        <f t="array" ref="J188">_xll.RssIndexMarket("EUR/JPY", "前日日付")</f>
        <v/>
      </c>
      <c r="K188" s="2" t="str">
        <f t="array" ref="K188">_xll.RssIndexMarket("EUR/JPY", "始値")</f>
        <v/>
      </c>
      <c r="L188" s="2" t="str">
        <f t="array" ref="L188">_xll.RssIndexMarket("EUR/JPY", "高値")</f>
        <v/>
      </c>
      <c r="M188" s="2" t="str">
        <f t="array" ref="M188">_xll.RssIndexMarket("EUR/JPY", "安値")</f>
        <v/>
      </c>
      <c r="N188" s="1" t="str">
        <f t="array" ref="N188">_xll.RssIndexMarket("EUR/JPY", "始値時刻")</f>
        <v/>
      </c>
      <c r="O188" s="1" t="str">
        <f t="array" ref="O188">_xll.RssIndexMarket("EUR/JPY", "高値時刻")</f>
        <v/>
      </c>
      <c r="P188" s="1" t="str">
        <f t="array" ref="P188">_xll.RssIndexMarket("EUR/JPY", "安値時刻")</f>
        <v/>
      </c>
      <c r="Q188" s="2" t="str">
        <f t="array" ref="Q188">_xll.RssIndexMarket("EUR/JPY", "出来高")</f>
        <v/>
      </c>
      <c r="R188" s="2" t="str">
        <f t="array" ref="R188">_xll.RssIndexMarket("EUR/JPY", "売買代金")</f>
        <v/>
      </c>
      <c r="S188" s="2" t="str">
        <f t="array" ref="S188">_xll.RssIndexMarket("EUR/JPY", "前年最高値")</f>
        <v/>
      </c>
      <c r="T188" s="2" t="str">
        <f t="array" ref="T188">_xll.RssIndexMarket("EUR/JPY", "前年最安値")</f>
        <v/>
      </c>
      <c r="U188" s="2" t="str">
        <f t="array" ref="U188">_xll.RssIndexMarket("EUR/JPY", "前年終値")</f>
        <v/>
      </c>
      <c r="V188" s="2" t="str">
        <f t="array" ref="V188">_xll.RssIndexMarket("EUR/JPY", "年初来高値")</f>
        <v/>
      </c>
      <c r="W188" s="2" t="str">
        <f t="array" ref="W188">_xll.RssIndexMarket("EUR/JPY", "年初来安値")</f>
        <v/>
      </c>
      <c r="X188" s="2" t="str">
        <f t="array" ref="X188">_xll.RssIndexMarket("EUR/JPY", "上場来高値")</f>
        <v/>
      </c>
      <c r="Y188" s="2" t="str">
        <f t="array" ref="Y188">_xll.RssIndexMarket("EUR/JPY", "上場来安値")</f>
        <v/>
      </c>
      <c r="Z188" s="1" t="str">
        <f t="array" ref="Z188">_xll.RssIndexMarket("EUR/JPY", "上場来高値日付")</f>
        <v/>
      </c>
      <c r="AA188" s="1" t="str">
        <f t="array" ref="AA188">_xll.RssIndexMarket("EUR/JPY", "上場来安値日付")</f>
        <v/>
      </c>
    </row>
    <row r="189" spans="1:27">
      <c r="A189" s="1" t="str">
        <f t="array" ref="A189">_xll.RssIndexMarket("GBP/JPY", "指標コード")</f>
        <v/>
      </c>
      <c r="B189" s="1" t="str">
        <f t="array" ref="B189">_xll.RssIndexMarket("GBP/JPY", "指標名称")</f>
        <v/>
      </c>
      <c r="C189" s="1" t="str">
        <f t="array" ref="C189">_xll.RssIndexMarket("GBP/JPY", "現在日付")</f>
        <v/>
      </c>
      <c r="D189" s="1" t="str">
        <f t="array" ref="D189">_xll.RssIndexMarket("GBP/JPY", "更新時刻")</f>
        <v/>
      </c>
      <c r="E189" s="2" t="str">
        <f t="array" ref="E189">_xll.RssIndexMarket("GBP/JPY", "現在値")</f>
        <v/>
      </c>
      <c r="F189" s="1" t="str">
        <f t="array" ref="F189">_xll.RssIndexMarket("GBP/JPY", "現在値ティック")</f>
        <v/>
      </c>
      <c r="G189" s="2" t="str">
        <f t="array" ref="G189">_xll.RssIndexMarket("GBP/JPY", "前日比")</f>
        <v/>
      </c>
      <c r="H189" s="2" t="str">
        <f t="array" ref="H189">_xll.RssIndexMarket("GBP/JPY", "前日比率")</f>
        <v/>
      </c>
      <c r="I189" s="2" t="str">
        <f t="array" ref="I189">_xll.RssIndexMarket("GBP/JPY", "前日終値")</f>
        <v/>
      </c>
      <c r="J189" s="1" t="str">
        <f t="array" ref="J189">_xll.RssIndexMarket("GBP/JPY", "前日日付")</f>
        <v/>
      </c>
      <c r="K189" s="2" t="str">
        <f t="array" ref="K189">_xll.RssIndexMarket("GBP/JPY", "始値")</f>
        <v/>
      </c>
      <c r="L189" s="2" t="str">
        <f t="array" ref="L189">_xll.RssIndexMarket("GBP/JPY", "高値")</f>
        <v/>
      </c>
      <c r="M189" s="2" t="str">
        <f t="array" ref="M189">_xll.RssIndexMarket("GBP/JPY", "安値")</f>
        <v/>
      </c>
      <c r="N189" s="1" t="str">
        <f t="array" ref="N189">_xll.RssIndexMarket("GBP/JPY", "始値時刻")</f>
        <v/>
      </c>
      <c r="O189" s="1" t="str">
        <f t="array" ref="O189">_xll.RssIndexMarket("GBP/JPY", "高値時刻")</f>
        <v/>
      </c>
      <c r="P189" s="1" t="str">
        <f t="array" ref="P189">_xll.RssIndexMarket("GBP/JPY", "安値時刻")</f>
        <v/>
      </c>
      <c r="Q189" s="2" t="str">
        <f t="array" ref="Q189">_xll.RssIndexMarket("GBP/JPY", "出来高")</f>
        <v/>
      </c>
      <c r="R189" s="2" t="str">
        <f t="array" ref="R189">_xll.RssIndexMarket("GBP/JPY", "売買代金")</f>
        <v/>
      </c>
      <c r="S189" s="2" t="str">
        <f t="array" ref="S189">_xll.RssIndexMarket("GBP/JPY", "前年最高値")</f>
        <v/>
      </c>
      <c r="T189" s="2" t="str">
        <f t="array" ref="T189">_xll.RssIndexMarket("GBP/JPY", "前年最安値")</f>
        <v/>
      </c>
      <c r="U189" s="2" t="str">
        <f t="array" ref="U189">_xll.RssIndexMarket("GBP/JPY", "前年終値")</f>
        <v/>
      </c>
      <c r="V189" s="2" t="str">
        <f t="array" ref="V189">_xll.RssIndexMarket("GBP/JPY", "年初来高値")</f>
        <v/>
      </c>
      <c r="W189" s="2" t="str">
        <f t="array" ref="W189">_xll.RssIndexMarket("GBP/JPY", "年初来安値")</f>
        <v/>
      </c>
      <c r="X189" s="2" t="str">
        <f t="array" ref="X189">_xll.RssIndexMarket("GBP/JPY", "上場来高値")</f>
        <v/>
      </c>
      <c r="Y189" s="2" t="str">
        <f t="array" ref="Y189">_xll.RssIndexMarket("GBP/JPY", "上場来安値")</f>
        <v/>
      </c>
      <c r="Z189" s="1" t="str">
        <f t="array" ref="Z189">_xll.RssIndexMarket("GBP/JPY", "上場来高値日付")</f>
        <v/>
      </c>
      <c r="AA189" s="1" t="str">
        <f t="array" ref="AA189">_xll.RssIndexMarket("GBP/JPY", "上場来安値日付")</f>
        <v/>
      </c>
    </row>
    <row r="190" spans="1:27">
      <c r="A190" s="1" t="str">
        <f t="array" ref="A190">_xll.RssIndexMarket("AUD/JPY", "指標コード")</f>
        <v/>
      </c>
      <c r="B190" s="1" t="str">
        <f t="array" ref="B190">_xll.RssIndexMarket("AUD/JPY", "指標名称")</f>
        <v/>
      </c>
      <c r="C190" s="1" t="str">
        <f t="array" ref="C190">_xll.RssIndexMarket("AUD/JPY", "現在日付")</f>
        <v/>
      </c>
      <c r="D190" s="1" t="str">
        <f t="array" ref="D190">_xll.RssIndexMarket("AUD/JPY", "更新時刻")</f>
        <v/>
      </c>
      <c r="E190" s="2" t="str">
        <f t="array" ref="E190">_xll.RssIndexMarket("AUD/JPY", "現在値")</f>
        <v/>
      </c>
      <c r="F190" s="1" t="str">
        <f t="array" ref="F190">_xll.RssIndexMarket("AUD/JPY", "現在値ティック")</f>
        <v/>
      </c>
      <c r="G190" s="2" t="str">
        <f t="array" ref="G190">_xll.RssIndexMarket("AUD/JPY", "前日比")</f>
        <v/>
      </c>
      <c r="H190" s="2" t="str">
        <f t="array" ref="H190">_xll.RssIndexMarket("AUD/JPY", "前日比率")</f>
        <v/>
      </c>
      <c r="I190" s="2" t="str">
        <f t="array" ref="I190">_xll.RssIndexMarket("AUD/JPY", "前日終値")</f>
        <v/>
      </c>
      <c r="J190" s="1" t="str">
        <f t="array" ref="J190">_xll.RssIndexMarket("AUD/JPY", "前日日付")</f>
        <v/>
      </c>
      <c r="K190" s="2" t="str">
        <f t="array" ref="K190">_xll.RssIndexMarket("AUD/JPY", "始値")</f>
        <v/>
      </c>
      <c r="L190" s="2" t="str">
        <f t="array" ref="L190">_xll.RssIndexMarket("AUD/JPY", "高値")</f>
        <v/>
      </c>
      <c r="M190" s="2" t="str">
        <f t="array" ref="M190">_xll.RssIndexMarket("AUD/JPY", "安値")</f>
        <v/>
      </c>
      <c r="N190" s="1" t="str">
        <f t="array" ref="N190">_xll.RssIndexMarket("AUD/JPY", "始値時刻")</f>
        <v/>
      </c>
      <c r="O190" s="1" t="str">
        <f t="array" ref="O190">_xll.RssIndexMarket("AUD/JPY", "高値時刻")</f>
        <v/>
      </c>
      <c r="P190" s="1" t="str">
        <f t="array" ref="P190">_xll.RssIndexMarket("AUD/JPY", "安値時刻")</f>
        <v/>
      </c>
      <c r="Q190" s="2" t="str">
        <f t="array" ref="Q190">_xll.RssIndexMarket("AUD/JPY", "出来高")</f>
        <v/>
      </c>
      <c r="R190" s="2" t="str">
        <f t="array" ref="R190">_xll.RssIndexMarket("AUD/JPY", "売買代金")</f>
        <v/>
      </c>
      <c r="S190" s="2" t="str">
        <f t="array" ref="S190">_xll.RssIndexMarket("AUD/JPY", "前年最高値")</f>
        <v/>
      </c>
      <c r="T190" s="2" t="str">
        <f t="array" ref="T190">_xll.RssIndexMarket("AUD/JPY", "前年最安値")</f>
        <v/>
      </c>
      <c r="U190" s="2" t="str">
        <f t="array" ref="U190">_xll.RssIndexMarket("AUD/JPY", "前年終値")</f>
        <v/>
      </c>
      <c r="V190" s="2" t="str">
        <f t="array" ref="V190">_xll.RssIndexMarket("AUD/JPY", "年初来高値")</f>
        <v/>
      </c>
      <c r="W190" s="2" t="str">
        <f t="array" ref="W190">_xll.RssIndexMarket("AUD/JPY", "年初来安値")</f>
        <v/>
      </c>
      <c r="X190" s="2" t="str">
        <f t="array" ref="X190">_xll.RssIndexMarket("AUD/JPY", "上場来高値")</f>
        <v/>
      </c>
      <c r="Y190" s="2" t="str">
        <f t="array" ref="Y190">_xll.RssIndexMarket("AUD/JPY", "上場来安値")</f>
        <v/>
      </c>
      <c r="Z190" s="1" t="str">
        <f t="array" ref="Z190">_xll.RssIndexMarket("AUD/JPY", "上場来高値日付")</f>
        <v/>
      </c>
      <c r="AA190" s="1" t="str">
        <f t="array" ref="AA190">_xll.RssIndexMarket("AUD/JPY", "上場来安値日付")</f>
        <v/>
      </c>
    </row>
    <row r="191" spans="1:27">
      <c r="A191" s="1" t="str">
        <f t="array" ref="A191">_xll.RssIndexMarket("NZD/JPY", "指標コード")</f>
        <v/>
      </c>
      <c r="B191" s="1" t="str">
        <f t="array" ref="B191">_xll.RssIndexMarket("NZD/JPY", "指標名称")</f>
        <v/>
      </c>
      <c r="C191" s="1" t="str">
        <f t="array" ref="C191">_xll.RssIndexMarket("NZD/JPY", "現在日付")</f>
        <v/>
      </c>
      <c r="D191" s="1" t="str">
        <f t="array" ref="D191">_xll.RssIndexMarket("NZD/JPY", "更新時刻")</f>
        <v/>
      </c>
      <c r="E191" s="2" t="str">
        <f t="array" ref="E191">_xll.RssIndexMarket("NZD/JPY", "現在値")</f>
        <v/>
      </c>
      <c r="F191" s="1" t="str">
        <f t="array" ref="F191">_xll.RssIndexMarket("NZD/JPY", "現在値ティック")</f>
        <v/>
      </c>
      <c r="G191" s="2" t="str">
        <f t="array" ref="G191">_xll.RssIndexMarket("NZD/JPY", "前日比")</f>
        <v/>
      </c>
      <c r="H191" s="2" t="str">
        <f t="array" ref="H191">_xll.RssIndexMarket("NZD/JPY", "前日比率")</f>
        <v/>
      </c>
      <c r="I191" s="2" t="str">
        <f t="array" ref="I191">_xll.RssIndexMarket("NZD/JPY", "前日終値")</f>
        <v/>
      </c>
      <c r="J191" s="1" t="str">
        <f t="array" ref="J191">_xll.RssIndexMarket("NZD/JPY", "前日日付")</f>
        <v/>
      </c>
      <c r="K191" s="2" t="str">
        <f t="array" ref="K191">_xll.RssIndexMarket("NZD/JPY", "始値")</f>
        <v/>
      </c>
      <c r="L191" s="2" t="str">
        <f t="array" ref="L191">_xll.RssIndexMarket("NZD/JPY", "高値")</f>
        <v/>
      </c>
      <c r="M191" s="2" t="str">
        <f t="array" ref="M191">_xll.RssIndexMarket("NZD/JPY", "安値")</f>
        <v/>
      </c>
      <c r="N191" s="1" t="str">
        <f t="array" ref="N191">_xll.RssIndexMarket("NZD/JPY", "始値時刻")</f>
        <v/>
      </c>
      <c r="O191" s="1" t="str">
        <f t="array" ref="O191">_xll.RssIndexMarket("NZD/JPY", "高値時刻")</f>
        <v/>
      </c>
      <c r="P191" s="1" t="str">
        <f t="array" ref="P191">_xll.RssIndexMarket("NZD/JPY", "安値時刻")</f>
        <v/>
      </c>
      <c r="Q191" s="2" t="str">
        <f t="array" ref="Q191">_xll.RssIndexMarket("NZD/JPY", "出来高")</f>
        <v/>
      </c>
      <c r="R191" s="2" t="str">
        <f t="array" ref="R191">_xll.RssIndexMarket("NZD/JPY", "売買代金")</f>
        <v/>
      </c>
      <c r="S191" s="2" t="str">
        <f t="array" ref="S191">_xll.RssIndexMarket("NZD/JPY", "前年最高値")</f>
        <v/>
      </c>
      <c r="T191" s="2" t="str">
        <f t="array" ref="T191">_xll.RssIndexMarket("NZD/JPY", "前年最安値")</f>
        <v/>
      </c>
      <c r="U191" s="2" t="str">
        <f t="array" ref="U191">_xll.RssIndexMarket("NZD/JPY", "前年終値")</f>
        <v/>
      </c>
      <c r="V191" s="2" t="str">
        <f t="array" ref="V191">_xll.RssIndexMarket("NZD/JPY", "年初来高値")</f>
        <v/>
      </c>
      <c r="W191" s="2" t="str">
        <f t="array" ref="W191">_xll.RssIndexMarket("NZD/JPY", "年初来安値")</f>
        <v/>
      </c>
      <c r="X191" s="2" t="str">
        <f t="array" ref="X191">_xll.RssIndexMarket("NZD/JPY", "上場来高値")</f>
        <v/>
      </c>
      <c r="Y191" s="2" t="str">
        <f t="array" ref="Y191">_xll.RssIndexMarket("NZD/JPY", "上場来安値")</f>
        <v/>
      </c>
      <c r="Z191" s="1" t="str">
        <f t="array" ref="Z191">_xll.RssIndexMarket("NZD/JPY", "上場来高値日付")</f>
        <v/>
      </c>
      <c r="AA191" s="1" t="str">
        <f t="array" ref="AA191">_xll.RssIndexMarket("NZD/JPY", "上場来安値日付")</f>
        <v/>
      </c>
    </row>
    <row r="192" spans="1:27">
      <c r="A192" s="1" t="str">
        <f t="array" ref="A192">_xll.RssIndexMarket("ZAR/JPY", "指標コード")</f>
        <v/>
      </c>
      <c r="B192" s="1" t="str">
        <f t="array" ref="B192">_xll.RssIndexMarket("ZAR/JPY", "指標名称")</f>
        <v/>
      </c>
      <c r="C192" s="1" t="str">
        <f t="array" ref="C192">_xll.RssIndexMarket("ZAR/JPY", "現在日付")</f>
        <v/>
      </c>
      <c r="D192" s="1" t="str">
        <f t="array" ref="D192">_xll.RssIndexMarket("ZAR/JPY", "更新時刻")</f>
        <v/>
      </c>
      <c r="E192" s="2" t="str">
        <f t="array" ref="E192">_xll.RssIndexMarket("ZAR/JPY", "現在値")</f>
        <v/>
      </c>
      <c r="F192" s="1" t="str">
        <f t="array" ref="F192">_xll.RssIndexMarket("ZAR/JPY", "現在値ティック")</f>
        <v/>
      </c>
      <c r="G192" s="2" t="str">
        <f t="array" ref="G192">_xll.RssIndexMarket("ZAR/JPY", "前日比")</f>
        <v/>
      </c>
      <c r="H192" s="2" t="str">
        <f t="array" ref="H192">_xll.RssIndexMarket("ZAR/JPY", "前日比率")</f>
        <v/>
      </c>
      <c r="I192" s="2" t="str">
        <f t="array" ref="I192">_xll.RssIndexMarket("ZAR/JPY", "前日終値")</f>
        <v/>
      </c>
      <c r="J192" s="1" t="str">
        <f t="array" ref="J192">_xll.RssIndexMarket("ZAR/JPY", "前日日付")</f>
        <v/>
      </c>
      <c r="K192" s="2" t="str">
        <f t="array" ref="K192">_xll.RssIndexMarket("ZAR/JPY", "始値")</f>
        <v/>
      </c>
      <c r="L192" s="2" t="str">
        <f t="array" ref="L192">_xll.RssIndexMarket("ZAR/JPY", "高値")</f>
        <v/>
      </c>
      <c r="M192" s="2" t="str">
        <f t="array" ref="M192">_xll.RssIndexMarket("ZAR/JPY", "安値")</f>
        <v/>
      </c>
      <c r="N192" s="1" t="str">
        <f t="array" ref="N192">_xll.RssIndexMarket("ZAR/JPY", "始値時刻")</f>
        <v/>
      </c>
      <c r="O192" s="1" t="str">
        <f t="array" ref="O192">_xll.RssIndexMarket("ZAR/JPY", "高値時刻")</f>
        <v/>
      </c>
      <c r="P192" s="1" t="str">
        <f t="array" ref="P192">_xll.RssIndexMarket("ZAR/JPY", "安値時刻")</f>
        <v/>
      </c>
      <c r="Q192" s="2" t="str">
        <f t="array" ref="Q192">_xll.RssIndexMarket("ZAR/JPY", "出来高")</f>
        <v/>
      </c>
      <c r="R192" s="2" t="str">
        <f t="array" ref="R192">_xll.RssIndexMarket("ZAR/JPY", "売買代金")</f>
        <v/>
      </c>
      <c r="S192" s="2" t="str">
        <f t="array" ref="S192">_xll.RssIndexMarket("ZAR/JPY", "前年最高値")</f>
        <v/>
      </c>
      <c r="T192" s="2" t="str">
        <f t="array" ref="T192">_xll.RssIndexMarket("ZAR/JPY", "前年最安値")</f>
        <v/>
      </c>
      <c r="U192" s="2" t="str">
        <f t="array" ref="U192">_xll.RssIndexMarket("ZAR/JPY", "前年終値")</f>
        <v/>
      </c>
      <c r="V192" s="2" t="str">
        <f t="array" ref="V192">_xll.RssIndexMarket("ZAR/JPY", "年初来高値")</f>
        <v/>
      </c>
      <c r="W192" s="2" t="str">
        <f t="array" ref="W192">_xll.RssIndexMarket("ZAR/JPY", "年初来安値")</f>
        <v/>
      </c>
      <c r="X192" s="2" t="str">
        <f t="array" ref="X192">_xll.RssIndexMarket("ZAR/JPY", "上場来高値")</f>
        <v/>
      </c>
      <c r="Y192" s="2" t="str">
        <f t="array" ref="Y192">_xll.RssIndexMarket("ZAR/JPY", "上場来安値")</f>
        <v/>
      </c>
      <c r="Z192" s="1" t="str">
        <f t="array" ref="Z192">_xll.RssIndexMarket("ZAR/JPY", "上場来高値日付")</f>
        <v/>
      </c>
      <c r="AA192" s="1" t="str">
        <f t="array" ref="AA192">_xll.RssIndexMarket("ZAR/JPY", "上場来安値日付")</f>
        <v/>
      </c>
    </row>
    <row r="193" spans="1:27">
      <c r="A193" s="1" t="str">
        <f t="array" ref="A193">_xll.RssIndexMarket("CAD/JPY", "指標コード")</f>
        <v/>
      </c>
      <c r="B193" s="1" t="str">
        <f t="array" ref="B193">_xll.RssIndexMarket("CAD/JPY", "指標名称")</f>
        <v/>
      </c>
      <c r="C193" s="1" t="str">
        <f t="array" ref="C193">_xll.RssIndexMarket("CAD/JPY", "現在日付")</f>
        <v/>
      </c>
      <c r="D193" s="1" t="str">
        <f t="array" ref="D193">_xll.RssIndexMarket("CAD/JPY", "更新時刻")</f>
        <v/>
      </c>
      <c r="E193" s="2" t="str">
        <f t="array" ref="E193">_xll.RssIndexMarket("CAD/JPY", "現在値")</f>
        <v/>
      </c>
      <c r="F193" s="1" t="str">
        <f t="array" ref="F193">_xll.RssIndexMarket("CAD/JPY", "現在値ティック")</f>
        <v/>
      </c>
      <c r="G193" s="2" t="str">
        <f t="array" ref="G193">_xll.RssIndexMarket("CAD/JPY", "前日比")</f>
        <v/>
      </c>
      <c r="H193" s="2" t="str">
        <f t="array" ref="H193">_xll.RssIndexMarket("CAD/JPY", "前日比率")</f>
        <v/>
      </c>
      <c r="I193" s="2" t="str">
        <f t="array" ref="I193">_xll.RssIndexMarket("CAD/JPY", "前日終値")</f>
        <v/>
      </c>
      <c r="J193" s="1" t="str">
        <f t="array" ref="J193">_xll.RssIndexMarket("CAD/JPY", "前日日付")</f>
        <v/>
      </c>
      <c r="K193" s="2" t="str">
        <f t="array" ref="K193">_xll.RssIndexMarket("CAD/JPY", "始値")</f>
        <v/>
      </c>
      <c r="L193" s="2" t="str">
        <f t="array" ref="L193">_xll.RssIndexMarket("CAD/JPY", "高値")</f>
        <v/>
      </c>
      <c r="M193" s="2" t="str">
        <f t="array" ref="M193">_xll.RssIndexMarket("CAD/JPY", "安値")</f>
        <v/>
      </c>
      <c r="N193" s="1" t="str">
        <f t="array" ref="N193">_xll.RssIndexMarket("CAD/JPY", "始値時刻")</f>
        <v/>
      </c>
      <c r="O193" s="1" t="str">
        <f t="array" ref="O193">_xll.RssIndexMarket("CAD/JPY", "高値時刻")</f>
        <v/>
      </c>
      <c r="P193" s="1" t="str">
        <f t="array" ref="P193">_xll.RssIndexMarket("CAD/JPY", "安値時刻")</f>
        <v/>
      </c>
      <c r="Q193" s="2" t="str">
        <f t="array" ref="Q193">_xll.RssIndexMarket("CAD/JPY", "出来高")</f>
        <v/>
      </c>
      <c r="R193" s="2" t="str">
        <f t="array" ref="R193">_xll.RssIndexMarket("CAD/JPY", "売買代金")</f>
        <v/>
      </c>
      <c r="S193" s="2" t="str">
        <f t="array" ref="S193">_xll.RssIndexMarket("CAD/JPY", "前年最高値")</f>
        <v/>
      </c>
      <c r="T193" s="2" t="str">
        <f t="array" ref="T193">_xll.RssIndexMarket("CAD/JPY", "前年最安値")</f>
        <v/>
      </c>
      <c r="U193" s="2" t="str">
        <f t="array" ref="U193">_xll.RssIndexMarket("CAD/JPY", "前年終値")</f>
        <v/>
      </c>
      <c r="V193" s="2" t="str">
        <f t="array" ref="V193">_xll.RssIndexMarket("CAD/JPY", "年初来高値")</f>
        <v/>
      </c>
      <c r="W193" s="2" t="str">
        <f t="array" ref="W193">_xll.RssIndexMarket("CAD/JPY", "年初来安値")</f>
        <v/>
      </c>
      <c r="X193" s="2" t="str">
        <f t="array" ref="X193">_xll.RssIndexMarket("CAD/JPY", "上場来高値")</f>
        <v/>
      </c>
      <c r="Y193" s="2" t="str">
        <f t="array" ref="Y193">_xll.RssIndexMarket("CAD/JPY", "上場来安値")</f>
        <v/>
      </c>
      <c r="Z193" s="1" t="str">
        <f t="array" ref="Z193">_xll.RssIndexMarket("CAD/JPY", "上場来高値日付")</f>
        <v/>
      </c>
      <c r="AA193" s="1" t="str">
        <f t="array" ref="AA193">_xll.RssIndexMarket("CAD/JPY", "上場来安値日付")</f>
        <v/>
      </c>
    </row>
    <row r="194" spans="1:27">
      <c r="A194" s="1" t="str">
        <f t="array" ref="A194">_xll.RssIndexMarket("CHF/JPY", "指標コード")</f>
        <v/>
      </c>
      <c r="B194" s="1" t="str">
        <f t="array" ref="B194">_xll.RssIndexMarket("CHF/JPY", "指標名称")</f>
        <v/>
      </c>
      <c r="C194" s="1" t="str">
        <f t="array" ref="C194">_xll.RssIndexMarket("CHF/JPY", "現在日付")</f>
        <v/>
      </c>
      <c r="D194" s="1" t="str">
        <f t="array" ref="D194">_xll.RssIndexMarket("CHF/JPY", "更新時刻")</f>
        <v/>
      </c>
      <c r="E194" s="2" t="str">
        <f t="array" ref="E194">_xll.RssIndexMarket("CHF/JPY", "現在値")</f>
        <v/>
      </c>
      <c r="F194" s="1" t="str">
        <f t="array" ref="F194">_xll.RssIndexMarket("CHF/JPY", "現在値ティック")</f>
        <v/>
      </c>
      <c r="G194" s="2" t="str">
        <f t="array" ref="G194">_xll.RssIndexMarket("CHF/JPY", "前日比")</f>
        <v/>
      </c>
      <c r="H194" s="2" t="str">
        <f t="array" ref="H194">_xll.RssIndexMarket("CHF/JPY", "前日比率")</f>
        <v/>
      </c>
      <c r="I194" s="2" t="str">
        <f t="array" ref="I194">_xll.RssIndexMarket("CHF/JPY", "前日終値")</f>
        <v/>
      </c>
      <c r="J194" s="1" t="str">
        <f t="array" ref="J194">_xll.RssIndexMarket("CHF/JPY", "前日日付")</f>
        <v/>
      </c>
      <c r="K194" s="2" t="str">
        <f t="array" ref="K194">_xll.RssIndexMarket("CHF/JPY", "始値")</f>
        <v/>
      </c>
      <c r="L194" s="2" t="str">
        <f t="array" ref="L194">_xll.RssIndexMarket("CHF/JPY", "高値")</f>
        <v/>
      </c>
      <c r="M194" s="2" t="str">
        <f t="array" ref="M194">_xll.RssIndexMarket("CHF/JPY", "安値")</f>
        <v/>
      </c>
      <c r="N194" s="1" t="str">
        <f t="array" ref="N194">_xll.RssIndexMarket("CHF/JPY", "始値時刻")</f>
        <v/>
      </c>
      <c r="O194" s="1" t="str">
        <f t="array" ref="O194">_xll.RssIndexMarket("CHF/JPY", "高値時刻")</f>
        <v/>
      </c>
      <c r="P194" s="1" t="str">
        <f t="array" ref="P194">_xll.RssIndexMarket("CHF/JPY", "安値時刻")</f>
        <v/>
      </c>
      <c r="Q194" s="2" t="str">
        <f t="array" ref="Q194">_xll.RssIndexMarket("CHF/JPY", "出来高")</f>
        <v/>
      </c>
      <c r="R194" s="2" t="str">
        <f t="array" ref="R194">_xll.RssIndexMarket("CHF/JPY", "売買代金")</f>
        <v/>
      </c>
      <c r="S194" s="2" t="str">
        <f t="array" ref="S194">_xll.RssIndexMarket("CHF/JPY", "前年最高値")</f>
        <v/>
      </c>
      <c r="T194" s="2" t="str">
        <f t="array" ref="T194">_xll.RssIndexMarket("CHF/JPY", "前年最安値")</f>
        <v/>
      </c>
      <c r="U194" s="2" t="str">
        <f t="array" ref="U194">_xll.RssIndexMarket("CHF/JPY", "前年終値")</f>
        <v/>
      </c>
      <c r="V194" s="2" t="str">
        <f t="array" ref="V194">_xll.RssIndexMarket("CHF/JPY", "年初来高値")</f>
        <v/>
      </c>
      <c r="W194" s="2" t="str">
        <f t="array" ref="W194">_xll.RssIndexMarket("CHF/JPY", "年初来安値")</f>
        <v/>
      </c>
      <c r="X194" s="2" t="str">
        <f t="array" ref="X194">_xll.RssIndexMarket("CHF/JPY", "上場来高値")</f>
        <v/>
      </c>
      <c r="Y194" s="2" t="str">
        <f t="array" ref="Y194">_xll.RssIndexMarket("CHF/JPY", "上場来安値")</f>
        <v/>
      </c>
      <c r="Z194" s="1" t="str">
        <f t="array" ref="Z194">_xll.RssIndexMarket("CHF/JPY", "上場来高値日付")</f>
        <v/>
      </c>
      <c r="AA194" s="1" t="str">
        <f t="array" ref="AA194">_xll.RssIndexMarket("CHF/JPY", "上場来安値日付")</f>
        <v/>
      </c>
    </row>
    <row r="195" spans="1:27">
      <c r="A195" s="1" t="str">
        <f t="array" ref="A195">_xll.RssIndexMarket("HKD/JPY", "指標コード")</f>
        <v/>
      </c>
      <c r="B195" s="1" t="str">
        <f t="array" ref="B195">_xll.RssIndexMarket("HKD/JPY", "指標名称")</f>
        <v/>
      </c>
      <c r="C195" s="1" t="str">
        <f t="array" ref="C195">_xll.RssIndexMarket("HKD/JPY", "現在日付")</f>
        <v/>
      </c>
      <c r="D195" s="1" t="str">
        <f t="array" ref="D195">_xll.RssIndexMarket("HKD/JPY", "更新時刻")</f>
        <v/>
      </c>
      <c r="E195" s="2" t="str">
        <f t="array" ref="E195">_xll.RssIndexMarket("HKD/JPY", "現在値")</f>
        <v/>
      </c>
      <c r="F195" s="1" t="str">
        <f t="array" ref="F195">_xll.RssIndexMarket("HKD/JPY", "現在値ティック")</f>
        <v/>
      </c>
      <c r="G195" s="2" t="str">
        <f t="array" ref="G195">_xll.RssIndexMarket("HKD/JPY", "前日比")</f>
        <v/>
      </c>
      <c r="H195" s="2" t="str">
        <f t="array" ref="H195">_xll.RssIndexMarket("HKD/JPY", "前日比率")</f>
        <v/>
      </c>
      <c r="I195" s="2" t="str">
        <f t="array" ref="I195">_xll.RssIndexMarket("HKD/JPY", "前日終値")</f>
        <v/>
      </c>
      <c r="J195" s="1" t="str">
        <f t="array" ref="J195">_xll.RssIndexMarket("HKD/JPY", "前日日付")</f>
        <v/>
      </c>
      <c r="K195" s="2" t="str">
        <f t="array" ref="K195">_xll.RssIndexMarket("HKD/JPY", "始値")</f>
        <v/>
      </c>
      <c r="L195" s="2" t="str">
        <f t="array" ref="L195">_xll.RssIndexMarket("HKD/JPY", "高値")</f>
        <v/>
      </c>
      <c r="M195" s="2" t="str">
        <f t="array" ref="M195">_xll.RssIndexMarket("HKD/JPY", "安値")</f>
        <v/>
      </c>
      <c r="N195" s="1" t="str">
        <f t="array" ref="N195">_xll.RssIndexMarket("HKD/JPY", "始値時刻")</f>
        <v/>
      </c>
      <c r="O195" s="1" t="str">
        <f t="array" ref="O195">_xll.RssIndexMarket("HKD/JPY", "高値時刻")</f>
        <v/>
      </c>
      <c r="P195" s="1" t="str">
        <f t="array" ref="P195">_xll.RssIndexMarket("HKD/JPY", "安値時刻")</f>
        <v/>
      </c>
      <c r="Q195" s="2" t="str">
        <f t="array" ref="Q195">_xll.RssIndexMarket("HKD/JPY", "出来高")</f>
        <v/>
      </c>
      <c r="R195" s="2" t="str">
        <f t="array" ref="R195">_xll.RssIndexMarket("HKD/JPY", "売買代金")</f>
        <v/>
      </c>
      <c r="S195" s="2" t="str">
        <f t="array" ref="S195">_xll.RssIndexMarket("HKD/JPY", "前年最高値")</f>
        <v/>
      </c>
      <c r="T195" s="2" t="str">
        <f t="array" ref="T195">_xll.RssIndexMarket("HKD/JPY", "前年最安値")</f>
        <v/>
      </c>
      <c r="U195" s="2" t="str">
        <f t="array" ref="U195">_xll.RssIndexMarket("HKD/JPY", "前年終値")</f>
        <v/>
      </c>
      <c r="V195" s="2" t="str">
        <f t="array" ref="V195">_xll.RssIndexMarket("HKD/JPY", "年初来高値")</f>
        <v/>
      </c>
      <c r="W195" s="2" t="str">
        <f t="array" ref="W195">_xll.RssIndexMarket("HKD/JPY", "年初来安値")</f>
        <v/>
      </c>
      <c r="X195" s="2" t="str">
        <f t="array" ref="X195">_xll.RssIndexMarket("HKD/JPY", "上場来高値")</f>
        <v/>
      </c>
      <c r="Y195" s="2" t="str">
        <f t="array" ref="Y195">_xll.RssIndexMarket("HKD/JPY", "上場来安値")</f>
        <v/>
      </c>
      <c r="Z195" s="1" t="str">
        <f t="array" ref="Z195">_xll.RssIndexMarket("HKD/JPY", "上場来高値日付")</f>
        <v/>
      </c>
      <c r="AA195" s="1" t="str">
        <f t="array" ref="AA195">_xll.RssIndexMarket("HKD/JPY", "上場来安値日付")</f>
        <v/>
      </c>
    </row>
    <row r="196" spans="1:27">
      <c r="A196" s="1" t="str">
        <f t="array" ref="A196">_xll.RssIndexMarket("SGD/JPY", "指標コード")</f>
        <v/>
      </c>
      <c r="B196" s="1" t="str">
        <f t="array" ref="B196">_xll.RssIndexMarket("SGD/JPY", "指標名称")</f>
        <v/>
      </c>
      <c r="C196" s="1" t="str">
        <f t="array" ref="C196">_xll.RssIndexMarket("SGD/JPY", "現在日付")</f>
        <v/>
      </c>
      <c r="D196" s="1" t="str">
        <f t="array" ref="D196">_xll.RssIndexMarket("SGD/JPY", "更新時刻")</f>
        <v/>
      </c>
      <c r="E196" s="2" t="str">
        <f t="array" ref="E196">_xll.RssIndexMarket("SGD/JPY", "現在値")</f>
        <v/>
      </c>
      <c r="F196" s="1" t="str">
        <f t="array" ref="F196">_xll.RssIndexMarket("SGD/JPY", "現在値ティック")</f>
        <v/>
      </c>
      <c r="G196" s="2" t="str">
        <f t="array" ref="G196">_xll.RssIndexMarket("SGD/JPY", "前日比")</f>
        <v/>
      </c>
      <c r="H196" s="2" t="str">
        <f t="array" ref="H196">_xll.RssIndexMarket("SGD/JPY", "前日比率")</f>
        <v/>
      </c>
      <c r="I196" s="2" t="str">
        <f t="array" ref="I196">_xll.RssIndexMarket("SGD/JPY", "前日終値")</f>
        <v/>
      </c>
      <c r="J196" s="1" t="str">
        <f t="array" ref="J196">_xll.RssIndexMarket("SGD/JPY", "前日日付")</f>
        <v/>
      </c>
      <c r="K196" s="2" t="str">
        <f t="array" ref="K196">_xll.RssIndexMarket("SGD/JPY", "始値")</f>
        <v/>
      </c>
      <c r="L196" s="2" t="str">
        <f t="array" ref="L196">_xll.RssIndexMarket("SGD/JPY", "高値")</f>
        <v/>
      </c>
      <c r="M196" s="2" t="str">
        <f t="array" ref="M196">_xll.RssIndexMarket("SGD/JPY", "安値")</f>
        <v/>
      </c>
      <c r="N196" s="1" t="str">
        <f t="array" ref="N196">_xll.RssIndexMarket("SGD/JPY", "始値時刻")</f>
        <v/>
      </c>
      <c r="O196" s="1" t="str">
        <f t="array" ref="O196">_xll.RssIndexMarket("SGD/JPY", "高値時刻")</f>
        <v/>
      </c>
      <c r="P196" s="1" t="str">
        <f t="array" ref="P196">_xll.RssIndexMarket("SGD/JPY", "安値時刻")</f>
        <v/>
      </c>
      <c r="Q196" s="2" t="str">
        <f t="array" ref="Q196">_xll.RssIndexMarket("SGD/JPY", "出来高")</f>
        <v/>
      </c>
      <c r="R196" s="2" t="str">
        <f t="array" ref="R196">_xll.RssIndexMarket("SGD/JPY", "売買代金")</f>
        <v/>
      </c>
      <c r="S196" s="2" t="str">
        <f t="array" ref="S196">_xll.RssIndexMarket("SGD/JPY", "前年最高値")</f>
        <v/>
      </c>
      <c r="T196" s="2" t="str">
        <f t="array" ref="T196">_xll.RssIndexMarket("SGD/JPY", "前年最安値")</f>
        <v/>
      </c>
      <c r="U196" s="2" t="str">
        <f t="array" ref="U196">_xll.RssIndexMarket("SGD/JPY", "前年終値")</f>
        <v/>
      </c>
      <c r="V196" s="2" t="str">
        <f t="array" ref="V196">_xll.RssIndexMarket("SGD/JPY", "年初来高値")</f>
        <v/>
      </c>
      <c r="W196" s="2" t="str">
        <f t="array" ref="W196">_xll.RssIndexMarket("SGD/JPY", "年初来安値")</f>
        <v/>
      </c>
      <c r="X196" s="2" t="str">
        <f t="array" ref="X196">_xll.RssIndexMarket("SGD/JPY", "上場来高値")</f>
        <v/>
      </c>
      <c r="Y196" s="2" t="str">
        <f t="array" ref="Y196">_xll.RssIndexMarket("SGD/JPY", "上場来安値")</f>
        <v/>
      </c>
      <c r="Z196" s="1" t="str">
        <f t="array" ref="Z196">_xll.RssIndexMarket("SGD/JPY", "上場来高値日付")</f>
        <v/>
      </c>
      <c r="AA196" s="1" t="str">
        <f t="array" ref="AA196">_xll.RssIndexMarket("SGD/JPY", "上場来安値日付")</f>
        <v/>
      </c>
    </row>
    <row r="197" spans="1:27">
      <c r="A197" s="1" t="str">
        <f t="array" ref="A197">_xll.RssIndexMarket("EUR/USD", "指標コード")</f>
        <v/>
      </c>
      <c r="B197" s="1" t="str">
        <f t="array" ref="B197">_xll.RssIndexMarket("EUR/USD", "指標名称")</f>
        <v/>
      </c>
      <c r="C197" s="1" t="str">
        <f t="array" ref="C197">_xll.RssIndexMarket("EUR/USD", "現在日付")</f>
        <v/>
      </c>
      <c r="D197" s="1" t="str">
        <f t="array" ref="D197">_xll.RssIndexMarket("EUR/USD", "更新時刻")</f>
        <v/>
      </c>
      <c r="E197" s="2" t="str">
        <f t="array" ref="E197">_xll.RssIndexMarket("EUR/USD", "現在値")</f>
        <v/>
      </c>
      <c r="F197" s="1" t="str">
        <f t="array" ref="F197">_xll.RssIndexMarket("EUR/USD", "現在値ティック")</f>
        <v/>
      </c>
      <c r="G197" s="2" t="str">
        <f t="array" ref="G197">_xll.RssIndexMarket("EUR/USD", "前日比")</f>
        <v/>
      </c>
      <c r="H197" s="2" t="str">
        <f t="array" ref="H197">_xll.RssIndexMarket("EUR/USD", "前日比率")</f>
        <v/>
      </c>
      <c r="I197" s="2" t="str">
        <f t="array" ref="I197">_xll.RssIndexMarket("EUR/USD", "前日終値")</f>
        <v/>
      </c>
      <c r="J197" s="1" t="str">
        <f t="array" ref="J197">_xll.RssIndexMarket("EUR/USD", "前日日付")</f>
        <v/>
      </c>
      <c r="K197" s="2" t="str">
        <f t="array" ref="K197">_xll.RssIndexMarket("EUR/USD", "始値")</f>
        <v/>
      </c>
      <c r="L197" s="2" t="str">
        <f t="array" ref="L197">_xll.RssIndexMarket("EUR/USD", "高値")</f>
        <v/>
      </c>
      <c r="M197" s="2" t="str">
        <f t="array" ref="M197">_xll.RssIndexMarket("EUR/USD", "安値")</f>
        <v/>
      </c>
      <c r="N197" s="1" t="str">
        <f t="array" ref="N197">_xll.RssIndexMarket("EUR/USD", "始値時刻")</f>
        <v/>
      </c>
      <c r="O197" s="1" t="str">
        <f t="array" ref="O197">_xll.RssIndexMarket("EUR/USD", "高値時刻")</f>
        <v/>
      </c>
      <c r="P197" s="1" t="str">
        <f t="array" ref="P197">_xll.RssIndexMarket("EUR/USD", "安値時刻")</f>
        <v/>
      </c>
      <c r="Q197" s="2" t="str">
        <f t="array" ref="Q197">_xll.RssIndexMarket("EUR/USD", "出来高")</f>
        <v/>
      </c>
      <c r="R197" s="2" t="str">
        <f t="array" ref="R197">_xll.RssIndexMarket("EUR/USD", "売買代金")</f>
        <v/>
      </c>
      <c r="S197" s="2" t="str">
        <f t="array" ref="S197">_xll.RssIndexMarket("EUR/USD", "前年最高値")</f>
        <v/>
      </c>
      <c r="T197" s="2" t="str">
        <f t="array" ref="T197">_xll.RssIndexMarket("EUR/USD", "前年最安値")</f>
        <v/>
      </c>
      <c r="U197" s="2" t="str">
        <f t="array" ref="U197">_xll.RssIndexMarket("EUR/USD", "前年終値")</f>
        <v/>
      </c>
      <c r="V197" s="2" t="str">
        <f t="array" ref="V197">_xll.RssIndexMarket("EUR/USD", "年初来高値")</f>
        <v/>
      </c>
      <c r="W197" s="2" t="str">
        <f t="array" ref="W197">_xll.RssIndexMarket("EUR/USD", "年初来安値")</f>
        <v/>
      </c>
      <c r="X197" s="2" t="str">
        <f t="array" ref="X197">_xll.RssIndexMarket("EUR/USD", "上場来高値")</f>
        <v/>
      </c>
      <c r="Y197" s="2" t="str">
        <f t="array" ref="Y197">_xll.RssIndexMarket("EUR/USD", "上場来安値")</f>
        <v/>
      </c>
      <c r="Z197" s="1" t="str">
        <f t="array" ref="Z197">_xll.RssIndexMarket("EUR/USD", "上場来高値日付")</f>
        <v/>
      </c>
      <c r="AA197" s="1" t="str">
        <f t="array" ref="AA197">_xll.RssIndexMarket("EUR/USD", "上場来安値日付")</f>
        <v/>
      </c>
    </row>
    <row r="198" spans="1:27">
      <c r="A198" s="1" t="str">
        <f t="array" ref="A198">_xll.RssIndexMarket("GBP/USD", "指標コード")</f>
        <v/>
      </c>
      <c r="B198" s="1" t="str">
        <f t="array" ref="B198">_xll.RssIndexMarket("GBP/USD", "指標名称")</f>
        <v/>
      </c>
      <c r="C198" s="1" t="str">
        <f t="array" ref="C198">_xll.RssIndexMarket("GBP/USD", "現在日付")</f>
        <v/>
      </c>
      <c r="D198" s="1" t="str">
        <f t="array" ref="D198">_xll.RssIndexMarket("GBP/USD", "更新時刻")</f>
        <v/>
      </c>
      <c r="E198" s="2" t="str">
        <f t="array" ref="E198">_xll.RssIndexMarket("GBP/USD", "現在値")</f>
        <v/>
      </c>
      <c r="F198" s="1" t="str">
        <f t="array" ref="F198">_xll.RssIndexMarket("GBP/USD", "現在値ティック")</f>
        <v/>
      </c>
      <c r="G198" s="2" t="str">
        <f t="array" ref="G198">_xll.RssIndexMarket("GBP/USD", "前日比")</f>
        <v/>
      </c>
      <c r="H198" s="2" t="str">
        <f t="array" ref="H198">_xll.RssIndexMarket("GBP/USD", "前日比率")</f>
        <v/>
      </c>
      <c r="I198" s="2" t="str">
        <f t="array" ref="I198">_xll.RssIndexMarket("GBP/USD", "前日終値")</f>
        <v/>
      </c>
      <c r="J198" s="1" t="str">
        <f t="array" ref="J198">_xll.RssIndexMarket("GBP/USD", "前日日付")</f>
        <v/>
      </c>
      <c r="K198" s="2" t="str">
        <f t="array" ref="K198">_xll.RssIndexMarket("GBP/USD", "始値")</f>
        <v/>
      </c>
      <c r="L198" s="2" t="str">
        <f t="array" ref="L198">_xll.RssIndexMarket("GBP/USD", "高値")</f>
        <v/>
      </c>
      <c r="M198" s="2" t="str">
        <f t="array" ref="M198">_xll.RssIndexMarket("GBP/USD", "安値")</f>
        <v/>
      </c>
      <c r="N198" s="1" t="str">
        <f t="array" ref="N198">_xll.RssIndexMarket("GBP/USD", "始値時刻")</f>
        <v/>
      </c>
      <c r="O198" s="1" t="str">
        <f t="array" ref="O198">_xll.RssIndexMarket("GBP/USD", "高値時刻")</f>
        <v/>
      </c>
      <c r="P198" s="1" t="str">
        <f t="array" ref="P198">_xll.RssIndexMarket("GBP/USD", "安値時刻")</f>
        <v/>
      </c>
      <c r="Q198" s="2" t="str">
        <f t="array" ref="Q198">_xll.RssIndexMarket("GBP/USD", "出来高")</f>
        <v/>
      </c>
      <c r="R198" s="2" t="str">
        <f t="array" ref="R198">_xll.RssIndexMarket("GBP/USD", "売買代金")</f>
        <v/>
      </c>
      <c r="S198" s="2" t="str">
        <f t="array" ref="S198">_xll.RssIndexMarket("GBP/USD", "前年最高値")</f>
        <v/>
      </c>
      <c r="T198" s="2" t="str">
        <f t="array" ref="T198">_xll.RssIndexMarket("GBP/USD", "前年最安値")</f>
        <v/>
      </c>
      <c r="U198" s="2" t="str">
        <f t="array" ref="U198">_xll.RssIndexMarket("GBP/USD", "前年終値")</f>
        <v/>
      </c>
      <c r="V198" s="2" t="str">
        <f t="array" ref="V198">_xll.RssIndexMarket("GBP/USD", "年初来高値")</f>
        <v/>
      </c>
      <c r="W198" s="2" t="str">
        <f t="array" ref="W198">_xll.RssIndexMarket("GBP/USD", "年初来安値")</f>
        <v/>
      </c>
      <c r="X198" s="2" t="str">
        <f t="array" ref="X198">_xll.RssIndexMarket("GBP/USD", "上場来高値")</f>
        <v/>
      </c>
      <c r="Y198" s="2" t="str">
        <f t="array" ref="Y198">_xll.RssIndexMarket("GBP/USD", "上場来安値")</f>
        <v/>
      </c>
      <c r="Z198" s="1" t="str">
        <f t="array" ref="Z198">_xll.RssIndexMarket("GBP/USD", "上場来高値日付")</f>
        <v/>
      </c>
      <c r="AA198" s="1" t="str">
        <f t="array" ref="AA198">_xll.RssIndexMarket("GBP/USD", "上場来安値日付")</f>
        <v/>
      </c>
    </row>
    <row r="199" spans="1:27">
      <c r="A199" s="1" t="str">
        <f t="array" ref="A199">_xll.RssIndexMarket("AUD/USD", "指標コード")</f>
        <v/>
      </c>
      <c r="B199" s="1" t="str">
        <f t="array" ref="B199">_xll.RssIndexMarket("AUD/USD", "指標名称")</f>
        <v/>
      </c>
      <c r="C199" s="1" t="str">
        <f t="array" ref="C199">_xll.RssIndexMarket("AUD/USD", "現在日付")</f>
        <v/>
      </c>
      <c r="D199" s="1" t="str">
        <f t="array" ref="D199">_xll.RssIndexMarket("AUD/USD", "更新時刻")</f>
        <v/>
      </c>
      <c r="E199" s="2" t="str">
        <f t="array" ref="E199">_xll.RssIndexMarket("AUD/USD", "現在値")</f>
        <v/>
      </c>
      <c r="F199" s="1" t="str">
        <f t="array" ref="F199">_xll.RssIndexMarket("AUD/USD", "現在値ティック")</f>
        <v/>
      </c>
      <c r="G199" s="2" t="str">
        <f t="array" ref="G199">_xll.RssIndexMarket("AUD/USD", "前日比")</f>
        <v/>
      </c>
      <c r="H199" s="2" t="str">
        <f t="array" ref="H199">_xll.RssIndexMarket("AUD/USD", "前日比率")</f>
        <v/>
      </c>
      <c r="I199" s="2" t="str">
        <f t="array" ref="I199">_xll.RssIndexMarket("AUD/USD", "前日終値")</f>
        <v/>
      </c>
      <c r="J199" s="1" t="str">
        <f t="array" ref="J199">_xll.RssIndexMarket("AUD/USD", "前日日付")</f>
        <v/>
      </c>
      <c r="K199" s="2" t="str">
        <f t="array" ref="K199">_xll.RssIndexMarket("AUD/USD", "始値")</f>
        <v/>
      </c>
      <c r="L199" s="2" t="str">
        <f t="array" ref="L199">_xll.RssIndexMarket("AUD/USD", "高値")</f>
        <v/>
      </c>
      <c r="M199" s="2" t="str">
        <f t="array" ref="M199">_xll.RssIndexMarket("AUD/USD", "安値")</f>
        <v/>
      </c>
      <c r="N199" s="1" t="str">
        <f t="array" ref="N199">_xll.RssIndexMarket("AUD/USD", "始値時刻")</f>
        <v/>
      </c>
      <c r="O199" s="1" t="str">
        <f t="array" ref="O199">_xll.RssIndexMarket("AUD/USD", "高値時刻")</f>
        <v/>
      </c>
      <c r="P199" s="1" t="str">
        <f t="array" ref="P199">_xll.RssIndexMarket("AUD/USD", "安値時刻")</f>
        <v/>
      </c>
      <c r="Q199" s="2" t="str">
        <f t="array" ref="Q199">_xll.RssIndexMarket("AUD/USD", "出来高")</f>
        <v/>
      </c>
      <c r="R199" s="2" t="str">
        <f t="array" ref="R199">_xll.RssIndexMarket("AUD/USD", "売買代金")</f>
        <v/>
      </c>
      <c r="S199" s="2" t="str">
        <f t="array" ref="S199">_xll.RssIndexMarket("AUD/USD", "前年最高値")</f>
        <v/>
      </c>
      <c r="T199" s="2" t="str">
        <f t="array" ref="T199">_xll.RssIndexMarket("AUD/USD", "前年最安値")</f>
        <v/>
      </c>
      <c r="U199" s="2" t="str">
        <f t="array" ref="U199">_xll.RssIndexMarket("AUD/USD", "前年終値")</f>
        <v/>
      </c>
      <c r="V199" s="2" t="str">
        <f t="array" ref="V199">_xll.RssIndexMarket("AUD/USD", "年初来高値")</f>
        <v/>
      </c>
      <c r="W199" s="2" t="str">
        <f t="array" ref="W199">_xll.RssIndexMarket("AUD/USD", "年初来安値")</f>
        <v/>
      </c>
      <c r="X199" s="2" t="str">
        <f t="array" ref="X199">_xll.RssIndexMarket("AUD/USD", "上場来高値")</f>
        <v/>
      </c>
      <c r="Y199" s="2" t="str">
        <f t="array" ref="Y199">_xll.RssIndexMarket("AUD/USD", "上場来安値")</f>
        <v/>
      </c>
      <c r="Z199" s="1" t="str">
        <f t="array" ref="Z199">_xll.RssIndexMarket("AUD/USD", "上場来高値日付")</f>
        <v/>
      </c>
      <c r="AA199" s="1" t="str">
        <f t="array" ref="AA199">_xll.RssIndexMarket("AUD/USD", "上場来安値日付")</f>
        <v/>
      </c>
    </row>
    <row r="200" spans="1:27">
      <c r="A200" s="1" t="str">
        <f t="array" ref="A200">_xll.RssIndexMarket("NZD/USD", "指標コード")</f>
        <v/>
      </c>
      <c r="B200" s="1" t="str">
        <f t="array" ref="B200">_xll.RssIndexMarket("NZD/USD", "指標名称")</f>
        <v/>
      </c>
      <c r="C200" s="1" t="str">
        <f t="array" ref="C200">_xll.RssIndexMarket("NZD/USD", "現在日付")</f>
        <v/>
      </c>
      <c r="D200" s="1" t="str">
        <f t="array" ref="D200">_xll.RssIndexMarket("NZD/USD", "更新時刻")</f>
        <v/>
      </c>
      <c r="E200" s="2" t="str">
        <f t="array" ref="E200">_xll.RssIndexMarket("NZD/USD", "現在値")</f>
        <v/>
      </c>
      <c r="F200" s="1" t="str">
        <f t="array" ref="F200">_xll.RssIndexMarket("NZD/USD", "現在値ティック")</f>
        <v/>
      </c>
      <c r="G200" s="2" t="str">
        <f t="array" ref="G200">_xll.RssIndexMarket("NZD/USD", "前日比")</f>
        <v/>
      </c>
      <c r="H200" s="2" t="str">
        <f t="array" ref="H200">_xll.RssIndexMarket("NZD/USD", "前日比率")</f>
        <v/>
      </c>
      <c r="I200" s="2" t="str">
        <f t="array" ref="I200">_xll.RssIndexMarket("NZD/USD", "前日終値")</f>
        <v/>
      </c>
      <c r="J200" s="1" t="str">
        <f t="array" ref="J200">_xll.RssIndexMarket("NZD/USD", "前日日付")</f>
        <v/>
      </c>
      <c r="K200" s="2" t="str">
        <f t="array" ref="K200">_xll.RssIndexMarket("NZD/USD", "始値")</f>
        <v/>
      </c>
      <c r="L200" s="2" t="str">
        <f t="array" ref="L200">_xll.RssIndexMarket("NZD/USD", "高値")</f>
        <v/>
      </c>
      <c r="M200" s="2" t="str">
        <f t="array" ref="M200">_xll.RssIndexMarket("NZD/USD", "安値")</f>
        <v/>
      </c>
      <c r="N200" s="1" t="str">
        <f t="array" ref="N200">_xll.RssIndexMarket("NZD/USD", "始値時刻")</f>
        <v/>
      </c>
      <c r="O200" s="1" t="str">
        <f t="array" ref="O200">_xll.RssIndexMarket("NZD/USD", "高値時刻")</f>
        <v/>
      </c>
      <c r="P200" s="1" t="str">
        <f t="array" ref="P200">_xll.RssIndexMarket("NZD/USD", "安値時刻")</f>
        <v/>
      </c>
      <c r="Q200" s="2" t="str">
        <f t="array" ref="Q200">_xll.RssIndexMarket("NZD/USD", "出来高")</f>
        <v/>
      </c>
      <c r="R200" s="2" t="str">
        <f t="array" ref="R200">_xll.RssIndexMarket("NZD/USD", "売買代金")</f>
        <v/>
      </c>
      <c r="S200" s="2" t="str">
        <f t="array" ref="S200">_xll.RssIndexMarket("NZD/USD", "前年最高値")</f>
        <v/>
      </c>
      <c r="T200" s="2" t="str">
        <f t="array" ref="T200">_xll.RssIndexMarket("NZD/USD", "前年最安値")</f>
        <v/>
      </c>
      <c r="U200" s="2" t="str">
        <f t="array" ref="U200">_xll.RssIndexMarket("NZD/USD", "前年終値")</f>
        <v/>
      </c>
      <c r="V200" s="2" t="str">
        <f t="array" ref="V200">_xll.RssIndexMarket("NZD/USD", "年初来高値")</f>
        <v/>
      </c>
      <c r="W200" s="2" t="str">
        <f t="array" ref="W200">_xll.RssIndexMarket("NZD/USD", "年初来安値")</f>
        <v/>
      </c>
      <c r="X200" s="2" t="str">
        <f t="array" ref="X200">_xll.RssIndexMarket("NZD/USD", "上場来高値")</f>
        <v/>
      </c>
      <c r="Y200" s="2" t="str">
        <f t="array" ref="Y200">_xll.RssIndexMarket("NZD/USD", "上場来安値")</f>
        <v/>
      </c>
      <c r="Z200" s="1" t="str">
        <f t="array" ref="Z200">_xll.RssIndexMarket("NZD/USD", "上場来高値日付")</f>
        <v/>
      </c>
      <c r="AA200" s="1" t="str">
        <f t="array" ref="AA200">_xll.RssIndexMarket("NZD/USD", "上場来安値日付")</f>
        <v/>
      </c>
    </row>
    <row r="201" spans="1:27">
      <c r="A201" s="1" t="str">
        <f t="array" ref="A201">_xll.RssIndexMarket("USD/CHF", "指標コード")</f>
        <v/>
      </c>
      <c r="B201" s="1" t="str">
        <f t="array" ref="B201">_xll.RssIndexMarket("USD/CHF", "指標名称")</f>
        <v/>
      </c>
      <c r="C201" s="1" t="str">
        <f t="array" ref="C201">_xll.RssIndexMarket("USD/CHF", "現在日付")</f>
        <v/>
      </c>
      <c r="D201" s="1" t="str">
        <f t="array" ref="D201">_xll.RssIndexMarket("USD/CHF", "更新時刻")</f>
        <v/>
      </c>
      <c r="E201" s="2" t="str">
        <f t="array" ref="E201">_xll.RssIndexMarket("USD/CHF", "現在値")</f>
        <v/>
      </c>
      <c r="F201" s="1" t="str">
        <f t="array" ref="F201">_xll.RssIndexMarket("USD/CHF", "現在値ティック")</f>
        <v/>
      </c>
      <c r="G201" s="2" t="str">
        <f t="array" ref="G201">_xll.RssIndexMarket("USD/CHF", "前日比")</f>
        <v/>
      </c>
      <c r="H201" s="2" t="str">
        <f t="array" ref="H201">_xll.RssIndexMarket("USD/CHF", "前日比率")</f>
        <v/>
      </c>
      <c r="I201" s="2" t="str">
        <f t="array" ref="I201">_xll.RssIndexMarket("USD/CHF", "前日終値")</f>
        <v/>
      </c>
      <c r="J201" s="1" t="str">
        <f t="array" ref="J201">_xll.RssIndexMarket("USD/CHF", "前日日付")</f>
        <v/>
      </c>
      <c r="K201" s="2" t="str">
        <f t="array" ref="K201">_xll.RssIndexMarket("USD/CHF", "始値")</f>
        <v/>
      </c>
      <c r="L201" s="2" t="str">
        <f t="array" ref="L201">_xll.RssIndexMarket("USD/CHF", "高値")</f>
        <v/>
      </c>
      <c r="M201" s="2" t="str">
        <f t="array" ref="M201">_xll.RssIndexMarket("USD/CHF", "安値")</f>
        <v/>
      </c>
      <c r="N201" s="1" t="str">
        <f t="array" ref="N201">_xll.RssIndexMarket("USD/CHF", "始値時刻")</f>
        <v/>
      </c>
      <c r="O201" s="1" t="str">
        <f t="array" ref="O201">_xll.RssIndexMarket("USD/CHF", "高値時刻")</f>
        <v/>
      </c>
      <c r="P201" s="1" t="str">
        <f t="array" ref="P201">_xll.RssIndexMarket("USD/CHF", "安値時刻")</f>
        <v/>
      </c>
      <c r="Q201" s="2" t="str">
        <f t="array" ref="Q201">_xll.RssIndexMarket("USD/CHF", "出来高")</f>
        <v/>
      </c>
      <c r="R201" s="2" t="str">
        <f t="array" ref="R201">_xll.RssIndexMarket("USD/CHF", "売買代金")</f>
        <v/>
      </c>
      <c r="S201" s="2" t="str">
        <f t="array" ref="S201">_xll.RssIndexMarket("USD/CHF", "前年最高値")</f>
        <v/>
      </c>
      <c r="T201" s="2" t="str">
        <f t="array" ref="T201">_xll.RssIndexMarket("USD/CHF", "前年最安値")</f>
        <v/>
      </c>
      <c r="U201" s="2" t="str">
        <f t="array" ref="U201">_xll.RssIndexMarket("USD/CHF", "前年終値")</f>
        <v/>
      </c>
      <c r="V201" s="2" t="str">
        <f t="array" ref="V201">_xll.RssIndexMarket("USD/CHF", "年初来高値")</f>
        <v/>
      </c>
      <c r="W201" s="2" t="str">
        <f t="array" ref="W201">_xll.RssIndexMarket("USD/CHF", "年初来安値")</f>
        <v/>
      </c>
      <c r="X201" s="2" t="str">
        <f t="array" ref="X201">_xll.RssIndexMarket("USD/CHF", "上場来高値")</f>
        <v/>
      </c>
      <c r="Y201" s="2" t="str">
        <f t="array" ref="Y201">_xll.RssIndexMarket("USD/CHF", "上場来安値")</f>
        <v/>
      </c>
      <c r="Z201" s="1" t="str">
        <f t="array" ref="Z201">_xll.RssIndexMarket("USD/CHF", "上場来高値日付")</f>
        <v/>
      </c>
      <c r="AA201" s="1" t="str">
        <f t="array" ref="AA201">_xll.RssIndexMarket("USD/CHF", "上場来安値日付")</f>
        <v/>
      </c>
    </row>
    <row r="202" spans="1:27">
      <c r="A202" s="1" t="str">
        <f t="array" ref="A202">_xll.RssIndexMarket("GBP/CHF", "指標コード")</f>
        <v/>
      </c>
      <c r="B202" s="1" t="str">
        <f t="array" ref="B202">_xll.RssIndexMarket("GBP/CHF", "指標名称")</f>
        <v/>
      </c>
      <c r="C202" s="1" t="str">
        <f t="array" ref="C202">_xll.RssIndexMarket("GBP/CHF", "現在日付")</f>
        <v/>
      </c>
      <c r="D202" s="1" t="str">
        <f t="array" ref="D202">_xll.RssIndexMarket("GBP/CHF", "更新時刻")</f>
        <v/>
      </c>
      <c r="E202" s="2" t="str">
        <f t="array" ref="E202">_xll.RssIndexMarket("GBP/CHF", "現在値")</f>
        <v/>
      </c>
      <c r="F202" s="1" t="str">
        <f t="array" ref="F202">_xll.RssIndexMarket("GBP/CHF", "現在値ティック")</f>
        <v/>
      </c>
      <c r="G202" s="2" t="str">
        <f t="array" ref="G202">_xll.RssIndexMarket("GBP/CHF", "前日比")</f>
        <v/>
      </c>
      <c r="H202" s="2" t="str">
        <f t="array" ref="H202">_xll.RssIndexMarket("GBP/CHF", "前日比率")</f>
        <v/>
      </c>
      <c r="I202" s="2" t="str">
        <f t="array" ref="I202">_xll.RssIndexMarket("GBP/CHF", "前日終値")</f>
        <v/>
      </c>
      <c r="J202" s="1" t="str">
        <f t="array" ref="J202">_xll.RssIndexMarket("GBP/CHF", "前日日付")</f>
        <v/>
      </c>
      <c r="K202" s="2" t="str">
        <f t="array" ref="K202">_xll.RssIndexMarket("GBP/CHF", "始値")</f>
        <v/>
      </c>
      <c r="L202" s="2" t="str">
        <f t="array" ref="L202">_xll.RssIndexMarket("GBP/CHF", "高値")</f>
        <v/>
      </c>
      <c r="M202" s="2" t="str">
        <f t="array" ref="M202">_xll.RssIndexMarket("GBP/CHF", "安値")</f>
        <v/>
      </c>
      <c r="N202" s="1" t="str">
        <f t="array" ref="N202">_xll.RssIndexMarket("GBP/CHF", "始値時刻")</f>
        <v/>
      </c>
      <c r="O202" s="1" t="str">
        <f t="array" ref="O202">_xll.RssIndexMarket("GBP/CHF", "高値時刻")</f>
        <v/>
      </c>
      <c r="P202" s="1" t="str">
        <f t="array" ref="P202">_xll.RssIndexMarket("GBP/CHF", "安値時刻")</f>
        <v/>
      </c>
      <c r="Q202" s="2" t="str">
        <f t="array" ref="Q202">_xll.RssIndexMarket("GBP/CHF", "出来高")</f>
        <v/>
      </c>
      <c r="R202" s="2" t="str">
        <f t="array" ref="R202">_xll.RssIndexMarket("GBP/CHF", "売買代金")</f>
        <v/>
      </c>
      <c r="S202" s="2" t="str">
        <f t="array" ref="S202">_xll.RssIndexMarket("GBP/CHF", "前年最高値")</f>
        <v/>
      </c>
      <c r="T202" s="2" t="str">
        <f t="array" ref="T202">_xll.RssIndexMarket("GBP/CHF", "前年最安値")</f>
        <v/>
      </c>
      <c r="U202" s="2" t="str">
        <f t="array" ref="U202">_xll.RssIndexMarket("GBP/CHF", "前年終値")</f>
        <v/>
      </c>
      <c r="V202" s="2" t="str">
        <f t="array" ref="V202">_xll.RssIndexMarket("GBP/CHF", "年初来高値")</f>
        <v/>
      </c>
      <c r="W202" s="2" t="str">
        <f t="array" ref="W202">_xll.RssIndexMarket("GBP/CHF", "年初来安値")</f>
        <v/>
      </c>
      <c r="X202" s="2" t="str">
        <f t="array" ref="X202">_xll.RssIndexMarket("GBP/CHF", "上場来高値")</f>
        <v/>
      </c>
      <c r="Y202" s="2" t="str">
        <f t="array" ref="Y202">_xll.RssIndexMarket("GBP/CHF", "上場来安値")</f>
        <v/>
      </c>
      <c r="Z202" s="1" t="str">
        <f t="array" ref="Z202">_xll.RssIndexMarket("GBP/CHF", "上場来高値日付")</f>
        <v/>
      </c>
      <c r="AA202" s="1" t="str">
        <f t="array" ref="AA202">_xll.RssIndexMarket("GBP/CHF", "上場来安値日付")</f>
        <v/>
      </c>
    </row>
    <row r="203" spans="1:27">
      <c r="A203" s="1" t="str">
        <f t="array" ref="A203">_xll.RssIndexMarket("EUR/GBP", "指標コード")</f>
        <v/>
      </c>
      <c r="B203" s="1" t="str">
        <f t="array" ref="B203">_xll.RssIndexMarket("EUR/GBP", "指標名称")</f>
        <v/>
      </c>
      <c r="C203" s="1" t="str">
        <f t="array" ref="C203">_xll.RssIndexMarket("EUR/GBP", "現在日付")</f>
        <v/>
      </c>
      <c r="D203" s="1" t="str">
        <f t="array" ref="D203">_xll.RssIndexMarket("EUR/GBP", "更新時刻")</f>
        <v/>
      </c>
      <c r="E203" s="2" t="str">
        <f t="array" ref="E203">_xll.RssIndexMarket("EUR/GBP", "現在値")</f>
        <v/>
      </c>
      <c r="F203" s="1" t="str">
        <f t="array" ref="F203">_xll.RssIndexMarket("EUR/GBP", "現在値ティック")</f>
        <v/>
      </c>
      <c r="G203" s="2" t="str">
        <f t="array" ref="G203">_xll.RssIndexMarket("EUR/GBP", "前日比")</f>
        <v/>
      </c>
      <c r="H203" s="2" t="str">
        <f t="array" ref="H203">_xll.RssIndexMarket("EUR/GBP", "前日比率")</f>
        <v/>
      </c>
      <c r="I203" s="2" t="str">
        <f t="array" ref="I203">_xll.RssIndexMarket("EUR/GBP", "前日終値")</f>
        <v/>
      </c>
      <c r="J203" s="1" t="str">
        <f t="array" ref="J203">_xll.RssIndexMarket("EUR/GBP", "前日日付")</f>
        <v/>
      </c>
      <c r="K203" s="2" t="str">
        <f t="array" ref="K203">_xll.RssIndexMarket("EUR/GBP", "始値")</f>
        <v/>
      </c>
      <c r="L203" s="2" t="str">
        <f t="array" ref="L203">_xll.RssIndexMarket("EUR/GBP", "高値")</f>
        <v/>
      </c>
      <c r="M203" s="2" t="str">
        <f t="array" ref="M203">_xll.RssIndexMarket("EUR/GBP", "安値")</f>
        <v/>
      </c>
      <c r="N203" s="1" t="str">
        <f t="array" ref="N203">_xll.RssIndexMarket("EUR/GBP", "始値時刻")</f>
        <v/>
      </c>
      <c r="O203" s="1" t="str">
        <f t="array" ref="O203">_xll.RssIndexMarket("EUR/GBP", "高値時刻")</f>
        <v/>
      </c>
      <c r="P203" s="1" t="str">
        <f t="array" ref="P203">_xll.RssIndexMarket("EUR/GBP", "安値時刻")</f>
        <v/>
      </c>
      <c r="Q203" s="2" t="str">
        <f t="array" ref="Q203">_xll.RssIndexMarket("EUR/GBP", "出来高")</f>
        <v/>
      </c>
      <c r="R203" s="2" t="str">
        <f t="array" ref="R203">_xll.RssIndexMarket("EUR/GBP", "売買代金")</f>
        <v/>
      </c>
      <c r="S203" s="2" t="str">
        <f t="array" ref="S203">_xll.RssIndexMarket("EUR/GBP", "前年最高値")</f>
        <v/>
      </c>
      <c r="T203" s="2" t="str">
        <f t="array" ref="T203">_xll.RssIndexMarket("EUR/GBP", "前年最安値")</f>
        <v/>
      </c>
      <c r="U203" s="2" t="str">
        <f t="array" ref="U203">_xll.RssIndexMarket("EUR/GBP", "前年終値")</f>
        <v/>
      </c>
      <c r="V203" s="2" t="str">
        <f t="array" ref="V203">_xll.RssIndexMarket("EUR/GBP", "年初来高値")</f>
        <v/>
      </c>
      <c r="W203" s="2" t="str">
        <f t="array" ref="W203">_xll.RssIndexMarket("EUR/GBP", "年初来安値")</f>
        <v/>
      </c>
      <c r="X203" s="2" t="str">
        <f t="array" ref="X203">_xll.RssIndexMarket("EUR/GBP", "上場来高値")</f>
        <v/>
      </c>
      <c r="Y203" s="2" t="str">
        <f t="array" ref="Y203">_xll.RssIndexMarket("EUR/GBP", "上場来安値")</f>
        <v/>
      </c>
      <c r="Z203" s="1" t="str">
        <f t="array" ref="Z203">_xll.RssIndexMarket("EUR/GBP", "上場来高値日付")</f>
        <v/>
      </c>
      <c r="AA203" s="1" t="str">
        <f t="array" ref="AA203">_xll.RssIndexMarket("EUR/GBP", "上場来安値日付")</f>
        <v/>
      </c>
    </row>
    <row r="204" spans="1:27">
      <c r="A204" s="1" t="str">
        <f t="array" ref="A204">_xll.RssIndexMarket("EUR/CHF", "指標コード")</f>
        <v/>
      </c>
      <c r="B204" s="1" t="str">
        <f t="array" ref="B204">_xll.RssIndexMarket("EUR/CHF", "指標名称")</f>
        <v/>
      </c>
      <c r="C204" s="1" t="str">
        <f t="array" ref="C204">_xll.RssIndexMarket("EUR/CHF", "現在日付")</f>
        <v/>
      </c>
      <c r="D204" s="1" t="str">
        <f t="array" ref="D204">_xll.RssIndexMarket("EUR/CHF", "更新時刻")</f>
        <v/>
      </c>
      <c r="E204" s="2" t="str">
        <f t="array" ref="E204">_xll.RssIndexMarket("EUR/CHF", "現在値")</f>
        <v/>
      </c>
      <c r="F204" s="1" t="str">
        <f t="array" ref="F204">_xll.RssIndexMarket("EUR/CHF", "現在値ティック")</f>
        <v/>
      </c>
      <c r="G204" s="2" t="str">
        <f t="array" ref="G204">_xll.RssIndexMarket("EUR/CHF", "前日比")</f>
        <v/>
      </c>
      <c r="H204" s="2" t="str">
        <f t="array" ref="H204">_xll.RssIndexMarket("EUR/CHF", "前日比率")</f>
        <v/>
      </c>
      <c r="I204" s="2" t="str">
        <f t="array" ref="I204">_xll.RssIndexMarket("EUR/CHF", "前日終値")</f>
        <v/>
      </c>
      <c r="J204" s="1" t="str">
        <f t="array" ref="J204">_xll.RssIndexMarket("EUR/CHF", "前日日付")</f>
        <v/>
      </c>
      <c r="K204" s="2" t="str">
        <f t="array" ref="K204">_xll.RssIndexMarket("EUR/CHF", "始値")</f>
        <v/>
      </c>
      <c r="L204" s="2" t="str">
        <f t="array" ref="L204">_xll.RssIndexMarket("EUR/CHF", "高値")</f>
        <v/>
      </c>
      <c r="M204" s="2" t="str">
        <f t="array" ref="M204">_xll.RssIndexMarket("EUR/CHF", "安値")</f>
        <v/>
      </c>
      <c r="N204" s="1" t="str">
        <f t="array" ref="N204">_xll.RssIndexMarket("EUR/CHF", "始値時刻")</f>
        <v/>
      </c>
      <c r="O204" s="1" t="str">
        <f t="array" ref="O204">_xll.RssIndexMarket("EUR/CHF", "高値時刻")</f>
        <v/>
      </c>
      <c r="P204" s="1" t="str">
        <f t="array" ref="P204">_xll.RssIndexMarket("EUR/CHF", "安値時刻")</f>
        <v/>
      </c>
      <c r="Q204" s="2" t="str">
        <f t="array" ref="Q204">_xll.RssIndexMarket("EUR/CHF", "出来高")</f>
        <v/>
      </c>
      <c r="R204" s="2" t="str">
        <f t="array" ref="R204">_xll.RssIndexMarket("EUR/CHF", "売買代金")</f>
        <v/>
      </c>
      <c r="S204" s="2" t="str">
        <f t="array" ref="S204">_xll.RssIndexMarket("EUR/CHF", "前年最高値")</f>
        <v/>
      </c>
      <c r="T204" s="2" t="str">
        <f t="array" ref="T204">_xll.RssIndexMarket("EUR/CHF", "前年最安値")</f>
        <v/>
      </c>
      <c r="U204" s="2" t="str">
        <f t="array" ref="U204">_xll.RssIndexMarket("EUR/CHF", "前年終値")</f>
        <v/>
      </c>
      <c r="V204" s="2" t="str">
        <f t="array" ref="V204">_xll.RssIndexMarket("EUR/CHF", "年初来高値")</f>
        <v/>
      </c>
      <c r="W204" s="2" t="str">
        <f t="array" ref="W204">_xll.RssIndexMarket("EUR/CHF", "年初来安値")</f>
        <v/>
      </c>
      <c r="X204" s="2" t="str">
        <f t="array" ref="X204">_xll.RssIndexMarket("EUR/CHF", "上場来高値")</f>
        <v/>
      </c>
      <c r="Y204" s="2" t="str">
        <f t="array" ref="Y204">_xll.RssIndexMarket("EUR/CHF", "上場来安値")</f>
        <v/>
      </c>
      <c r="Z204" s="1" t="str">
        <f t="array" ref="Z204">_xll.RssIndexMarket("EUR/CHF", "上場来高値日付")</f>
        <v/>
      </c>
      <c r="AA204" s="1" t="str">
        <f t="array" ref="AA204">_xll.RssIndexMarket("EUR/CHF", "上場来安値日付")</f>
        <v/>
      </c>
    </row>
    <row r="205" spans="1:27">
      <c r="A205" s="1" t="str">
        <f t="array" ref="A205">_xll.RssIndexMarket("AUD/CHF", "指標コード")</f>
        <v/>
      </c>
      <c r="B205" s="1" t="str">
        <f t="array" ref="B205">_xll.RssIndexMarket("AUD/CHF", "指標名称")</f>
        <v/>
      </c>
      <c r="C205" s="1" t="str">
        <f t="array" ref="C205">_xll.RssIndexMarket("AUD/CHF", "現在日付")</f>
        <v/>
      </c>
      <c r="D205" s="1" t="str">
        <f t="array" ref="D205">_xll.RssIndexMarket("AUD/CHF", "更新時刻")</f>
        <v/>
      </c>
      <c r="E205" s="2" t="str">
        <f t="array" ref="E205">_xll.RssIndexMarket("AUD/CHF", "現在値")</f>
        <v/>
      </c>
      <c r="F205" s="1" t="str">
        <f t="array" ref="F205">_xll.RssIndexMarket("AUD/CHF", "現在値ティック")</f>
        <v/>
      </c>
      <c r="G205" s="2" t="str">
        <f t="array" ref="G205">_xll.RssIndexMarket("AUD/CHF", "前日比")</f>
        <v/>
      </c>
      <c r="H205" s="2" t="str">
        <f t="array" ref="H205">_xll.RssIndexMarket("AUD/CHF", "前日比率")</f>
        <v/>
      </c>
      <c r="I205" s="2" t="str">
        <f t="array" ref="I205">_xll.RssIndexMarket("AUD/CHF", "前日終値")</f>
        <v/>
      </c>
      <c r="J205" s="1" t="str">
        <f t="array" ref="J205">_xll.RssIndexMarket("AUD/CHF", "前日日付")</f>
        <v/>
      </c>
      <c r="K205" s="2" t="str">
        <f t="array" ref="K205">_xll.RssIndexMarket("AUD/CHF", "始値")</f>
        <v/>
      </c>
      <c r="L205" s="2" t="str">
        <f t="array" ref="L205">_xll.RssIndexMarket("AUD/CHF", "高値")</f>
        <v/>
      </c>
      <c r="M205" s="2" t="str">
        <f t="array" ref="M205">_xll.RssIndexMarket("AUD/CHF", "安値")</f>
        <v/>
      </c>
      <c r="N205" s="1" t="str">
        <f t="array" ref="N205">_xll.RssIndexMarket("AUD/CHF", "始値時刻")</f>
        <v/>
      </c>
      <c r="O205" s="1" t="str">
        <f t="array" ref="O205">_xll.RssIndexMarket("AUD/CHF", "高値時刻")</f>
        <v/>
      </c>
      <c r="P205" s="1" t="str">
        <f t="array" ref="P205">_xll.RssIndexMarket("AUD/CHF", "安値時刻")</f>
        <v/>
      </c>
      <c r="Q205" s="2" t="str">
        <f t="array" ref="Q205">_xll.RssIndexMarket("AUD/CHF", "出来高")</f>
        <v/>
      </c>
      <c r="R205" s="2" t="str">
        <f t="array" ref="R205">_xll.RssIndexMarket("AUD/CHF", "売買代金")</f>
        <v/>
      </c>
      <c r="S205" s="2" t="str">
        <f t="array" ref="S205">_xll.RssIndexMarket("AUD/CHF", "前年最高値")</f>
        <v/>
      </c>
      <c r="T205" s="2" t="str">
        <f t="array" ref="T205">_xll.RssIndexMarket("AUD/CHF", "前年最安値")</f>
        <v/>
      </c>
      <c r="U205" s="2" t="str">
        <f t="array" ref="U205">_xll.RssIndexMarket("AUD/CHF", "前年終値")</f>
        <v/>
      </c>
      <c r="V205" s="2" t="str">
        <f t="array" ref="V205">_xll.RssIndexMarket("AUD/CHF", "年初来高値")</f>
        <v/>
      </c>
      <c r="W205" s="2" t="str">
        <f t="array" ref="W205">_xll.RssIndexMarket("AUD/CHF", "年初来安値")</f>
        <v/>
      </c>
      <c r="X205" s="2" t="str">
        <f t="array" ref="X205">_xll.RssIndexMarket("AUD/CHF", "上場来高値")</f>
        <v/>
      </c>
      <c r="Y205" s="2" t="str">
        <f t="array" ref="Y205">_xll.RssIndexMarket("AUD/CHF", "上場来安値")</f>
        <v/>
      </c>
      <c r="Z205" s="1" t="str">
        <f t="array" ref="Z205">_xll.RssIndexMarket("AUD/CHF", "上場来高値日付")</f>
        <v/>
      </c>
      <c r="AA205" s="1" t="str">
        <f t="array" ref="AA205">_xll.RssIndexMarket("AUD/CHF", "上場来安値日付")</f>
        <v/>
      </c>
    </row>
    <row r="206" spans="1:27">
      <c r="A206" s="1" t="str">
        <f t="array" ref="A206">_xll.RssIndexMarket("NZD/CHF", "指標コード")</f>
        <v/>
      </c>
      <c r="B206" s="1" t="str">
        <f t="array" ref="B206">_xll.RssIndexMarket("NZD/CHF", "指標名称")</f>
        <v/>
      </c>
      <c r="C206" s="1" t="str">
        <f t="array" ref="C206">_xll.RssIndexMarket("NZD/CHF", "現在日付")</f>
        <v/>
      </c>
      <c r="D206" s="1" t="str">
        <f t="array" ref="D206">_xll.RssIndexMarket("NZD/CHF", "更新時刻")</f>
        <v/>
      </c>
      <c r="E206" s="2" t="str">
        <f t="array" ref="E206">_xll.RssIndexMarket("NZD/CHF", "現在値")</f>
        <v/>
      </c>
      <c r="F206" s="1" t="str">
        <f t="array" ref="F206">_xll.RssIndexMarket("NZD/CHF", "現在値ティック")</f>
        <v/>
      </c>
      <c r="G206" s="2" t="str">
        <f t="array" ref="G206">_xll.RssIndexMarket("NZD/CHF", "前日比")</f>
        <v/>
      </c>
      <c r="H206" s="2" t="str">
        <f t="array" ref="H206">_xll.RssIndexMarket("NZD/CHF", "前日比率")</f>
        <v/>
      </c>
      <c r="I206" s="2" t="str">
        <f t="array" ref="I206">_xll.RssIndexMarket("NZD/CHF", "前日終値")</f>
        <v/>
      </c>
      <c r="J206" s="1" t="str">
        <f t="array" ref="J206">_xll.RssIndexMarket("NZD/CHF", "前日日付")</f>
        <v/>
      </c>
      <c r="K206" s="2" t="str">
        <f t="array" ref="K206">_xll.RssIndexMarket("NZD/CHF", "始値")</f>
        <v/>
      </c>
      <c r="L206" s="2" t="str">
        <f t="array" ref="L206">_xll.RssIndexMarket("NZD/CHF", "高値")</f>
        <v/>
      </c>
      <c r="M206" s="2" t="str">
        <f t="array" ref="M206">_xll.RssIndexMarket("NZD/CHF", "安値")</f>
        <v/>
      </c>
      <c r="N206" s="1" t="str">
        <f t="array" ref="N206">_xll.RssIndexMarket("NZD/CHF", "始値時刻")</f>
        <v/>
      </c>
      <c r="O206" s="1" t="str">
        <f t="array" ref="O206">_xll.RssIndexMarket("NZD/CHF", "高値時刻")</f>
        <v/>
      </c>
      <c r="P206" s="1" t="str">
        <f t="array" ref="P206">_xll.RssIndexMarket("NZD/CHF", "安値時刻")</f>
        <v/>
      </c>
      <c r="Q206" s="2" t="str">
        <f t="array" ref="Q206">_xll.RssIndexMarket("NZD/CHF", "出来高")</f>
        <v/>
      </c>
      <c r="R206" s="2" t="str">
        <f t="array" ref="R206">_xll.RssIndexMarket("NZD/CHF", "売買代金")</f>
        <v/>
      </c>
      <c r="S206" s="2" t="str">
        <f t="array" ref="S206">_xll.RssIndexMarket("NZD/CHF", "前年最高値")</f>
        <v/>
      </c>
      <c r="T206" s="2" t="str">
        <f t="array" ref="T206">_xll.RssIndexMarket("NZD/CHF", "前年最安値")</f>
        <v/>
      </c>
      <c r="U206" s="2" t="str">
        <f t="array" ref="U206">_xll.RssIndexMarket("NZD/CHF", "前年終値")</f>
        <v/>
      </c>
      <c r="V206" s="2" t="str">
        <f t="array" ref="V206">_xll.RssIndexMarket("NZD/CHF", "年初来高値")</f>
        <v/>
      </c>
      <c r="W206" s="2" t="str">
        <f t="array" ref="W206">_xll.RssIndexMarket("NZD/CHF", "年初来安値")</f>
        <v/>
      </c>
      <c r="X206" s="2" t="str">
        <f t="array" ref="X206">_xll.RssIndexMarket("NZD/CHF", "上場来高値")</f>
        <v/>
      </c>
      <c r="Y206" s="2" t="str">
        <f t="array" ref="Y206">_xll.RssIndexMarket("NZD/CHF", "上場来安値")</f>
        <v/>
      </c>
      <c r="Z206" s="1" t="str">
        <f t="array" ref="Z206">_xll.RssIndexMarket("NZD/CHF", "上場来高値日付")</f>
        <v/>
      </c>
      <c r="AA206" s="1" t="str">
        <f t="array" ref="AA206">_xll.RssIndexMarket("NZD/CHF", "上場来安値日付")</f>
        <v/>
      </c>
    </row>
    <row r="207" spans="1:27">
      <c r="A207" s="1" t="str">
        <f t="array" ref="A207">_xll.RssIndexMarket("AUD/NZD", "指標コード")</f>
        <v/>
      </c>
      <c r="B207" s="1" t="str">
        <f t="array" ref="B207">_xll.RssIndexMarket("AUD/NZD", "指標名称")</f>
        <v/>
      </c>
      <c r="C207" s="1" t="str">
        <f t="array" ref="C207">_xll.RssIndexMarket("AUD/NZD", "現在日付")</f>
        <v/>
      </c>
      <c r="D207" s="1" t="str">
        <f t="array" ref="D207">_xll.RssIndexMarket("AUD/NZD", "更新時刻")</f>
        <v/>
      </c>
      <c r="E207" s="2" t="str">
        <f t="array" ref="E207">_xll.RssIndexMarket("AUD/NZD", "現在値")</f>
        <v/>
      </c>
      <c r="F207" s="1" t="str">
        <f t="array" ref="F207">_xll.RssIndexMarket("AUD/NZD", "現在値ティック")</f>
        <v/>
      </c>
      <c r="G207" s="2" t="str">
        <f t="array" ref="G207">_xll.RssIndexMarket("AUD/NZD", "前日比")</f>
        <v/>
      </c>
      <c r="H207" s="2" t="str">
        <f t="array" ref="H207">_xll.RssIndexMarket("AUD/NZD", "前日比率")</f>
        <v/>
      </c>
      <c r="I207" s="2" t="str">
        <f t="array" ref="I207">_xll.RssIndexMarket("AUD/NZD", "前日終値")</f>
        <v/>
      </c>
      <c r="J207" s="1" t="str">
        <f t="array" ref="J207">_xll.RssIndexMarket("AUD/NZD", "前日日付")</f>
        <v/>
      </c>
      <c r="K207" s="2" t="str">
        <f t="array" ref="K207">_xll.RssIndexMarket("AUD/NZD", "始値")</f>
        <v/>
      </c>
      <c r="L207" s="2" t="str">
        <f t="array" ref="L207">_xll.RssIndexMarket("AUD/NZD", "高値")</f>
        <v/>
      </c>
      <c r="M207" s="2" t="str">
        <f t="array" ref="M207">_xll.RssIndexMarket("AUD/NZD", "安値")</f>
        <v/>
      </c>
      <c r="N207" s="1" t="str">
        <f t="array" ref="N207">_xll.RssIndexMarket("AUD/NZD", "始値時刻")</f>
        <v/>
      </c>
      <c r="O207" s="1" t="str">
        <f t="array" ref="O207">_xll.RssIndexMarket("AUD/NZD", "高値時刻")</f>
        <v/>
      </c>
      <c r="P207" s="1" t="str">
        <f t="array" ref="P207">_xll.RssIndexMarket("AUD/NZD", "安値時刻")</f>
        <v/>
      </c>
      <c r="Q207" s="2" t="str">
        <f t="array" ref="Q207">_xll.RssIndexMarket("AUD/NZD", "出来高")</f>
        <v/>
      </c>
      <c r="R207" s="2" t="str">
        <f t="array" ref="R207">_xll.RssIndexMarket("AUD/NZD", "売買代金")</f>
        <v/>
      </c>
      <c r="S207" s="2" t="str">
        <f t="array" ref="S207">_xll.RssIndexMarket("AUD/NZD", "前年最高値")</f>
        <v/>
      </c>
      <c r="T207" s="2" t="str">
        <f t="array" ref="T207">_xll.RssIndexMarket("AUD/NZD", "前年最安値")</f>
        <v/>
      </c>
      <c r="U207" s="2" t="str">
        <f t="array" ref="U207">_xll.RssIndexMarket("AUD/NZD", "前年終値")</f>
        <v/>
      </c>
      <c r="V207" s="2" t="str">
        <f t="array" ref="V207">_xll.RssIndexMarket("AUD/NZD", "年初来高値")</f>
        <v/>
      </c>
      <c r="W207" s="2" t="str">
        <f t="array" ref="W207">_xll.RssIndexMarket("AUD/NZD", "年初来安値")</f>
        <v/>
      </c>
      <c r="X207" s="2" t="str">
        <f t="array" ref="X207">_xll.RssIndexMarket("AUD/NZD", "上場来高値")</f>
        <v/>
      </c>
      <c r="Y207" s="2" t="str">
        <f t="array" ref="Y207">_xll.RssIndexMarket("AUD/NZD", "上場来安値")</f>
        <v/>
      </c>
      <c r="Z207" s="1" t="str">
        <f t="array" ref="Z207">_xll.RssIndexMarket("AUD/NZD", "上場来高値日付")</f>
        <v/>
      </c>
      <c r="AA207" s="1" t="str">
        <f t="array" ref="AA207">_xll.RssIndexMarket("AUD/NZD", "上場来安値日付")</f>
        <v/>
      </c>
    </row>
    <row r="208" spans="1:27">
      <c r="A208" s="1" t="str">
        <f t="array" ref="A208">_xll.RssIndexMarket("NOK/JPY", "指標コード")</f>
        <v/>
      </c>
      <c r="B208" s="1" t="str">
        <f t="array" ref="B208">_xll.RssIndexMarket("NOK/JPY", "指標名称")</f>
        <v/>
      </c>
      <c r="C208" s="1" t="str">
        <f t="array" ref="C208">_xll.RssIndexMarket("NOK/JPY", "現在日付")</f>
        <v/>
      </c>
      <c r="D208" s="1" t="str">
        <f t="array" ref="D208">_xll.RssIndexMarket("NOK/JPY", "更新時刻")</f>
        <v/>
      </c>
      <c r="E208" s="2" t="str">
        <f t="array" ref="E208">_xll.RssIndexMarket("NOK/JPY", "現在値")</f>
        <v/>
      </c>
      <c r="F208" s="1" t="str">
        <f t="array" ref="F208">_xll.RssIndexMarket("NOK/JPY", "現在値ティック")</f>
        <v/>
      </c>
      <c r="G208" s="2" t="str">
        <f t="array" ref="G208">_xll.RssIndexMarket("NOK/JPY", "前日比")</f>
        <v/>
      </c>
      <c r="H208" s="2" t="str">
        <f t="array" ref="H208">_xll.RssIndexMarket("NOK/JPY", "前日比率")</f>
        <v/>
      </c>
      <c r="I208" s="2" t="str">
        <f t="array" ref="I208">_xll.RssIndexMarket("NOK/JPY", "前日終値")</f>
        <v/>
      </c>
      <c r="J208" s="1" t="str">
        <f t="array" ref="J208">_xll.RssIndexMarket("NOK/JPY", "前日日付")</f>
        <v/>
      </c>
      <c r="K208" s="2" t="str">
        <f t="array" ref="K208">_xll.RssIndexMarket("NOK/JPY", "始値")</f>
        <v/>
      </c>
      <c r="L208" s="2" t="str">
        <f t="array" ref="L208">_xll.RssIndexMarket("NOK/JPY", "高値")</f>
        <v/>
      </c>
      <c r="M208" s="2" t="str">
        <f t="array" ref="M208">_xll.RssIndexMarket("NOK/JPY", "安値")</f>
        <v/>
      </c>
      <c r="N208" s="1" t="str">
        <f t="array" ref="N208">_xll.RssIndexMarket("NOK/JPY", "始値時刻")</f>
        <v/>
      </c>
      <c r="O208" s="1" t="str">
        <f t="array" ref="O208">_xll.RssIndexMarket("NOK/JPY", "高値時刻")</f>
        <v/>
      </c>
      <c r="P208" s="1" t="str">
        <f t="array" ref="P208">_xll.RssIndexMarket("NOK/JPY", "安値時刻")</f>
        <v/>
      </c>
      <c r="Q208" s="2" t="str">
        <f t="array" ref="Q208">_xll.RssIndexMarket("NOK/JPY", "出来高")</f>
        <v/>
      </c>
      <c r="R208" s="2" t="str">
        <f t="array" ref="R208">_xll.RssIndexMarket("NOK/JPY", "売買代金")</f>
        <v/>
      </c>
      <c r="S208" s="2" t="str">
        <f t="array" ref="S208">_xll.RssIndexMarket("NOK/JPY", "前年最高値")</f>
        <v/>
      </c>
      <c r="T208" s="2" t="str">
        <f t="array" ref="T208">_xll.RssIndexMarket("NOK/JPY", "前年最安値")</f>
        <v/>
      </c>
      <c r="U208" s="2" t="str">
        <f t="array" ref="U208">_xll.RssIndexMarket("NOK/JPY", "前年終値")</f>
        <v/>
      </c>
      <c r="V208" s="2" t="str">
        <f t="array" ref="V208">_xll.RssIndexMarket("NOK/JPY", "年初来高値")</f>
        <v/>
      </c>
      <c r="W208" s="2" t="str">
        <f t="array" ref="W208">_xll.RssIndexMarket("NOK/JPY", "年初来安値")</f>
        <v/>
      </c>
      <c r="X208" s="2" t="str">
        <f t="array" ref="X208">_xll.RssIndexMarket("NOK/JPY", "上場来高値")</f>
        <v/>
      </c>
      <c r="Y208" s="2" t="str">
        <f t="array" ref="Y208">_xll.RssIndexMarket("NOK/JPY", "上場来安値")</f>
        <v/>
      </c>
      <c r="Z208" s="1" t="str">
        <f t="array" ref="Z208">_xll.RssIndexMarket("NOK/JPY", "上場来高値日付")</f>
        <v/>
      </c>
      <c r="AA208" s="1" t="str">
        <f t="array" ref="AA208">_xll.RssIndexMarket("NOK/JPY", "上場来安値日付")</f>
        <v/>
      </c>
    </row>
    <row r="209" spans="1:27">
      <c r="A209" s="1" t="str">
        <f t="array" ref="A209">_xll.RssIndexMarket("TRY/JPY", "指標コード")</f>
        <v/>
      </c>
      <c r="B209" s="1" t="str">
        <f t="array" ref="B209">_xll.RssIndexMarket("TRY/JPY", "指標名称")</f>
        <v/>
      </c>
      <c r="C209" s="1" t="str">
        <f t="array" ref="C209">_xll.RssIndexMarket("TRY/JPY", "現在日付")</f>
        <v/>
      </c>
      <c r="D209" s="1" t="str">
        <f t="array" ref="D209">_xll.RssIndexMarket("TRY/JPY", "更新時刻")</f>
        <v/>
      </c>
      <c r="E209" s="2" t="str">
        <f t="array" ref="E209">_xll.RssIndexMarket("TRY/JPY", "現在値")</f>
        <v/>
      </c>
      <c r="F209" s="1" t="str">
        <f t="array" ref="F209">_xll.RssIndexMarket("TRY/JPY", "現在値ティック")</f>
        <v/>
      </c>
      <c r="G209" s="2" t="str">
        <f t="array" ref="G209">_xll.RssIndexMarket("TRY/JPY", "前日比")</f>
        <v/>
      </c>
      <c r="H209" s="2" t="str">
        <f t="array" ref="H209">_xll.RssIndexMarket("TRY/JPY", "前日比率")</f>
        <v/>
      </c>
      <c r="I209" s="2" t="str">
        <f t="array" ref="I209">_xll.RssIndexMarket("TRY/JPY", "前日終値")</f>
        <v/>
      </c>
      <c r="J209" s="1" t="str">
        <f t="array" ref="J209">_xll.RssIndexMarket("TRY/JPY", "前日日付")</f>
        <v/>
      </c>
      <c r="K209" s="2" t="str">
        <f t="array" ref="K209">_xll.RssIndexMarket("TRY/JPY", "始値")</f>
        <v/>
      </c>
      <c r="L209" s="2" t="str">
        <f t="array" ref="L209">_xll.RssIndexMarket("TRY/JPY", "高値")</f>
        <v/>
      </c>
      <c r="M209" s="2" t="str">
        <f t="array" ref="M209">_xll.RssIndexMarket("TRY/JPY", "安値")</f>
        <v/>
      </c>
      <c r="N209" s="1" t="str">
        <f t="array" ref="N209">_xll.RssIndexMarket("TRY/JPY", "始値時刻")</f>
        <v/>
      </c>
      <c r="O209" s="1" t="str">
        <f t="array" ref="O209">_xll.RssIndexMarket("TRY/JPY", "高値時刻")</f>
        <v/>
      </c>
      <c r="P209" s="1" t="str">
        <f t="array" ref="P209">_xll.RssIndexMarket("TRY/JPY", "安値時刻")</f>
        <v/>
      </c>
      <c r="Q209" s="2" t="str">
        <f t="array" ref="Q209">_xll.RssIndexMarket("TRY/JPY", "出来高")</f>
        <v/>
      </c>
      <c r="R209" s="2" t="str">
        <f t="array" ref="R209">_xll.RssIndexMarket("TRY/JPY", "売買代金")</f>
        <v/>
      </c>
      <c r="S209" s="2" t="str">
        <f t="array" ref="S209">_xll.RssIndexMarket("TRY/JPY", "前年最高値")</f>
        <v/>
      </c>
      <c r="T209" s="2" t="str">
        <f t="array" ref="T209">_xll.RssIndexMarket("TRY/JPY", "前年最安値")</f>
        <v/>
      </c>
      <c r="U209" s="2" t="str">
        <f t="array" ref="U209">_xll.RssIndexMarket("TRY/JPY", "前年終値")</f>
        <v/>
      </c>
      <c r="V209" s="2" t="str">
        <f t="array" ref="V209">_xll.RssIndexMarket("TRY/JPY", "年初来高値")</f>
        <v/>
      </c>
      <c r="W209" s="2" t="str">
        <f t="array" ref="W209">_xll.RssIndexMarket("TRY/JPY", "年初来安値")</f>
        <v/>
      </c>
      <c r="X209" s="2" t="str">
        <f t="array" ref="X209">_xll.RssIndexMarket("TRY/JPY", "上場来高値")</f>
        <v/>
      </c>
      <c r="Y209" s="2" t="str">
        <f t="array" ref="Y209">_xll.RssIndexMarket("TRY/JPY", "上場来安値")</f>
        <v/>
      </c>
      <c r="Z209" s="1" t="str">
        <f t="array" ref="Z209">_xll.RssIndexMarket("TRY/JPY", "上場来高値日付")</f>
        <v/>
      </c>
      <c r="AA209" s="1" t="str">
        <f t="array" ref="AA209">_xll.RssIndexMarket("TRY/JPY", "上場来安値日付")</f>
        <v/>
      </c>
    </row>
    <row r="210" spans="1:27">
      <c r="A210" s="1" t="str">
        <f t="array" ref="A210">_xll.RssIndexMarket("CNH/JPY", "指標コード")</f>
        <v/>
      </c>
      <c r="B210" s="1" t="str">
        <f t="array" ref="B210">_xll.RssIndexMarket("CNH/JPY", "指標名称")</f>
        <v/>
      </c>
      <c r="C210" s="1" t="str">
        <f t="array" ref="C210">_xll.RssIndexMarket("CNH/JPY", "現在日付")</f>
        <v/>
      </c>
      <c r="D210" s="1" t="str">
        <f t="array" ref="D210">_xll.RssIndexMarket("CNH/JPY", "更新時刻")</f>
        <v/>
      </c>
      <c r="E210" s="2" t="str">
        <f t="array" ref="E210">_xll.RssIndexMarket("CNH/JPY", "現在値")</f>
        <v/>
      </c>
      <c r="F210" s="1" t="str">
        <f t="array" ref="F210">_xll.RssIndexMarket("CNH/JPY", "現在値ティック")</f>
        <v/>
      </c>
      <c r="G210" s="2" t="str">
        <f t="array" ref="G210">_xll.RssIndexMarket("CNH/JPY", "前日比")</f>
        <v/>
      </c>
      <c r="H210" s="2" t="str">
        <f t="array" ref="H210">_xll.RssIndexMarket("CNH/JPY", "前日比率")</f>
        <v/>
      </c>
      <c r="I210" s="2" t="str">
        <f t="array" ref="I210">_xll.RssIndexMarket("CNH/JPY", "前日終値")</f>
        <v/>
      </c>
      <c r="J210" s="1" t="str">
        <f t="array" ref="J210">_xll.RssIndexMarket("CNH/JPY", "前日日付")</f>
        <v/>
      </c>
      <c r="K210" s="2" t="str">
        <f t="array" ref="K210">_xll.RssIndexMarket("CNH/JPY", "始値")</f>
        <v/>
      </c>
      <c r="L210" s="2" t="str">
        <f t="array" ref="L210">_xll.RssIndexMarket("CNH/JPY", "高値")</f>
        <v/>
      </c>
      <c r="M210" s="2" t="str">
        <f t="array" ref="M210">_xll.RssIndexMarket("CNH/JPY", "安値")</f>
        <v/>
      </c>
      <c r="N210" s="1" t="str">
        <f t="array" ref="N210">_xll.RssIndexMarket("CNH/JPY", "始値時刻")</f>
        <v/>
      </c>
      <c r="O210" s="1" t="str">
        <f t="array" ref="O210">_xll.RssIndexMarket("CNH/JPY", "高値時刻")</f>
        <v/>
      </c>
      <c r="P210" s="1" t="str">
        <f t="array" ref="P210">_xll.RssIndexMarket("CNH/JPY", "安値時刻")</f>
        <v/>
      </c>
      <c r="Q210" s="2" t="str">
        <f t="array" ref="Q210">_xll.RssIndexMarket("CNH/JPY", "出来高")</f>
        <v/>
      </c>
      <c r="R210" s="2" t="str">
        <f t="array" ref="R210">_xll.RssIndexMarket("CNH/JPY", "売買代金")</f>
        <v/>
      </c>
      <c r="S210" s="2" t="str">
        <f t="array" ref="S210">_xll.RssIndexMarket("CNH/JPY", "前年最高値")</f>
        <v/>
      </c>
      <c r="T210" s="2" t="str">
        <f t="array" ref="T210">_xll.RssIndexMarket("CNH/JPY", "前年最安値")</f>
        <v/>
      </c>
      <c r="U210" s="2" t="str">
        <f t="array" ref="U210">_xll.RssIndexMarket("CNH/JPY", "前年終値")</f>
        <v/>
      </c>
      <c r="V210" s="2" t="str">
        <f t="array" ref="V210">_xll.RssIndexMarket("CNH/JPY", "年初来高値")</f>
        <v/>
      </c>
      <c r="W210" s="2" t="str">
        <f t="array" ref="W210">_xll.RssIndexMarket("CNH/JPY", "年初来安値")</f>
        <v/>
      </c>
      <c r="X210" s="2" t="str">
        <f t="array" ref="X210">_xll.RssIndexMarket("CNH/JPY", "上場来高値")</f>
        <v/>
      </c>
      <c r="Y210" s="2" t="str">
        <f t="array" ref="Y210">_xll.RssIndexMarket("CNH/JPY", "上場来安値")</f>
        <v/>
      </c>
      <c r="Z210" s="1" t="str">
        <f t="array" ref="Z210">_xll.RssIndexMarket("CNH/JPY", "上場来高値日付")</f>
        <v/>
      </c>
      <c r="AA210" s="1" t="str">
        <f t="array" ref="AA210">_xll.RssIndexMarket("CNH/JPY", "上場来安値日付")</f>
        <v/>
      </c>
    </row>
    <row r="211" spans="1:27">
      <c r="A211" s="1" t="str">
        <f t="array" ref="A211">_xll.RssIndexMarket("MXN/JPY", "指標コード")</f>
        <v/>
      </c>
      <c r="B211" s="1" t="str">
        <f t="array" ref="B211">_xll.RssIndexMarket("MXN/JPY", "指標名称")</f>
        <v/>
      </c>
      <c r="C211" s="1" t="str">
        <f t="array" ref="C211">_xll.RssIndexMarket("MXN/JPY", "現在日付")</f>
        <v/>
      </c>
      <c r="D211" s="1" t="str">
        <f t="array" ref="D211">_xll.RssIndexMarket("MXN/JPY", "更新時刻")</f>
        <v/>
      </c>
      <c r="E211" s="2" t="str">
        <f t="array" ref="E211">_xll.RssIndexMarket("MXN/JPY", "現在値")</f>
        <v/>
      </c>
      <c r="F211" s="1" t="str">
        <f t="array" ref="F211">_xll.RssIndexMarket("MXN/JPY", "現在値ティック")</f>
        <v/>
      </c>
      <c r="G211" s="2" t="str">
        <f t="array" ref="G211">_xll.RssIndexMarket("MXN/JPY", "前日比")</f>
        <v/>
      </c>
      <c r="H211" s="2" t="str">
        <f t="array" ref="H211">_xll.RssIndexMarket("MXN/JPY", "前日比率")</f>
        <v/>
      </c>
      <c r="I211" s="2" t="str">
        <f t="array" ref="I211">_xll.RssIndexMarket("MXN/JPY", "前日終値")</f>
        <v/>
      </c>
      <c r="J211" s="1" t="str">
        <f t="array" ref="J211">_xll.RssIndexMarket("MXN/JPY", "前日日付")</f>
        <v/>
      </c>
      <c r="K211" s="2" t="str">
        <f t="array" ref="K211">_xll.RssIndexMarket("MXN/JPY", "始値")</f>
        <v/>
      </c>
      <c r="L211" s="2" t="str">
        <f t="array" ref="L211">_xll.RssIndexMarket("MXN/JPY", "高値")</f>
        <v/>
      </c>
      <c r="M211" s="2" t="str">
        <f t="array" ref="M211">_xll.RssIndexMarket("MXN/JPY", "安値")</f>
        <v/>
      </c>
      <c r="N211" s="1" t="str">
        <f t="array" ref="N211">_xll.RssIndexMarket("MXN/JPY", "始値時刻")</f>
        <v/>
      </c>
      <c r="O211" s="1" t="str">
        <f t="array" ref="O211">_xll.RssIndexMarket("MXN/JPY", "高値時刻")</f>
        <v/>
      </c>
      <c r="P211" s="1" t="str">
        <f t="array" ref="P211">_xll.RssIndexMarket("MXN/JPY", "安値時刻")</f>
        <v/>
      </c>
      <c r="Q211" s="2" t="str">
        <f t="array" ref="Q211">_xll.RssIndexMarket("MXN/JPY", "出来高")</f>
        <v/>
      </c>
      <c r="R211" s="2" t="str">
        <f t="array" ref="R211">_xll.RssIndexMarket("MXN/JPY", "売買代金")</f>
        <v/>
      </c>
      <c r="S211" s="2" t="str">
        <f t="array" ref="S211">_xll.RssIndexMarket("MXN/JPY", "前年最高値")</f>
        <v/>
      </c>
      <c r="T211" s="2" t="str">
        <f t="array" ref="T211">_xll.RssIndexMarket("MXN/JPY", "前年最安値")</f>
        <v/>
      </c>
      <c r="U211" s="2" t="str">
        <f t="array" ref="U211">_xll.RssIndexMarket("MXN/JPY", "前年終値")</f>
        <v/>
      </c>
      <c r="V211" s="2" t="str">
        <f t="array" ref="V211">_xll.RssIndexMarket("MXN/JPY", "年初来高値")</f>
        <v/>
      </c>
      <c r="W211" s="2" t="str">
        <f t="array" ref="W211">_xll.RssIndexMarket("MXN/JPY", "年初来安値")</f>
        <v/>
      </c>
      <c r="X211" s="2" t="str">
        <f t="array" ref="X211">_xll.RssIndexMarket("MXN/JPY", "上場来高値")</f>
        <v/>
      </c>
      <c r="Y211" s="2" t="str">
        <f t="array" ref="Y211">_xll.RssIndexMarket("MXN/JPY", "上場来安値")</f>
        <v/>
      </c>
      <c r="Z211" s="1" t="str">
        <f t="array" ref="Z211">_xll.RssIndexMarket("MXN/JPY", "上場来高値日付")</f>
        <v/>
      </c>
      <c r="AA211" s="1" t="str">
        <f t="array" ref="AA211">_xll.RssIndexMarket("MXN/JPY", "上場来安値日付")</f>
        <v/>
      </c>
    </row>
    <row r="212" spans="1:27">
      <c r="A212" s="1" t="str">
        <f t="array" ref="A212">_xll.RssIndexMarket("USD/CAD", "指標コード")</f>
        <v/>
      </c>
      <c r="B212" s="1" t="str">
        <f t="array" ref="B212">_xll.RssIndexMarket("USD/CAD", "指標名称")</f>
        <v/>
      </c>
      <c r="C212" s="1" t="str">
        <f t="array" ref="C212">_xll.RssIndexMarket("USD/CAD", "現在日付")</f>
        <v/>
      </c>
      <c r="D212" s="1" t="str">
        <f t="array" ref="D212">_xll.RssIndexMarket("USD/CAD", "更新時刻")</f>
        <v/>
      </c>
      <c r="E212" s="2" t="str">
        <f t="array" ref="E212">_xll.RssIndexMarket("USD/CAD", "現在値")</f>
        <v/>
      </c>
      <c r="F212" s="1" t="str">
        <f t="array" ref="F212">_xll.RssIndexMarket("USD/CAD", "現在値ティック")</f>
        <v/>
      </c>
      <c r="G212" s="2" t="str">
        <f t="array" ref="G212">_xll.RssIndexMarket("USD/CAD", "前日比")</f>
        <v/>
      </c>
      <c r="H212" s="2" t="str">
        <f t="array" ref="H212">_xll.RssIndexMarket("USD/CAD", "前日比率")</f>
        <v/>
      </c>
      <c r="I212" s="2" t="str">
        <f t="array" ref="I212">_xll.RssIndexMarket("USD/CAD", "前日終値")</f>
        <v/>
      </c>
      <c r="J212" s="1" t="str">
        <f t="array" ref="J212">_xll.RssIndexMarket("USD/CAD", "前日日付")</f>
        <v/>
      </c>
      <c r="K212" s="2" t="str">
        <f t="array" ref="K212">_xll.RssIndexMarket("USD/CAD", "始値")</f>
        <v/>
      </c>
      <c r="L212" s="2" t="str">
        <f t="array" ref="L212">_xll.RssIndexMarket("USD/CAD", "高値")</f>
        <v/>
      </c>
      <c r="M212" s="2" t="str">
        <f t="array" ref="M212">_xll.RssIndexMarket("USD/CAD", "安値")</f>
        <v/>
      </c>
      <c r="N212" s="1" t="str">
        <f t="array" ref="N212">_xll.RssIndexMarket("USD/CAD", "始値時刻")</f>
        <v/>
      </c>
      <c r="O212" s="1" t="str">
        <f t="array" ref="O212">_xll.RssIndexMarket("USD/CAD", "高値時刻")</f>
        <v/>
      </c>
      <c r="P212" s="1" t="str">
        <f t="array" ref="P212">_xll.RssIndexMarket("USD/CAD", "安値時刻")</f>
        <v/>
      </c>
      <c r="Q212" s="2" t="str">
        <f t="array" ref="Q212">_xll.RssIndexMarket("USD/CAD", "出来高")</f>
        <v/>
      </c>
      <c r="R212" s="2" t="str">
        <f t="array" ref="R212">_xll.RssIndexMarket("USD/CAD", "売買代金")</f>
        <v/>
      </c>
      <c r="S212" s="2" t="str">
        <f t="array" ref="S212">_xll.RssIndexMarket("USD/CAD", "前年最高値")</f>
        <v/>
      </c>
      <c r="T212" s="2" t="str">
        <f t="array" ref="T212">_xll.RssIndexMarket("USD/CAD", "前年最安値")</f>
        <v/>
      </c>
      <c r="U212" s="2" t="str">
        <f t="array" ref="U212">_xll.RssIndexMarket("USD/CAD", "前年終値")</f>
        <v/>
      </c>
      <c r="V212" s="2" t="str">
        <f t="array" ref="V212">_xll.RssIndexMarket("USD/CAD", "年初来高値")</f>
        <v/>
      </c>
      <c r="W212" s="2" t="str">
        <f t="array" ref="W212">_xll.RssIndexMarket("USD/CAD", "年初来安値")</f>
        <v/>
      </c>
      <c r="X212" s="2" t="str">
        <f t="array" ref="X212">_xll.RssIndexMarket("USD/CAD", "上場来高値")</f>
        <v/>
      </c>
      <c r="Y212" s="2" t="str">
        <f t="array" ref="Y212">_xll.RssIndexMarket("USD/CAD", "上場来安値")</f>
        <v/>
      </c>
      <c r="Z212" s="1" t="str">
        <f t="array" ref="Z212">_xll.RssIndexMarket("USD/CAD", "上場来高値日付")</f>
        <v/>
      </c>
      <c r="AA212" s="1" t="str">
        <f t="array" ref="AA212">_xll.RssIndexMarket("USD/CAD", "上場来安値日付")</f>
        <v/>
      </c>
    </row>
    <row r="213" spans="1:27">
      <c r="A213" s="1" t="str">
        <f t="array" ref="A213">_xll.RssIndexMarket("EUR/AUD", "指標コード")</f>
        <v/>
      </c>
      <c r="B213" s="1" t="str">
        <f t="array" ref="B213">_xll.RssIndexMarket("EUR/AUD", "指標名称")</f>
        <v/>
      </c>
      <c r="C213" s="1" t="str">
        <f t="array" ref="C213">_xll.RssIndexMarket("EUR/AUD", "現在日付")</f>
        <v/>
      </c>
      <c r="D213" s="1" t="str">
        <f t="array" ref="D213">_xll.RssIndexMarket("EUR/AUD", "更新時刻")</f>
        <v/>
      </c>
      <c r="E213" s="2" t="str">
        <f t="array" ref="E213">_xll.RssIndexMarket("EUR/AUD", "現在値")</f>
        <v/>
      </c>
      <c r="F213" s="1" t="str">
        <f t="array" ref="F213">_xll.RssIndexMarket("EUR/AUD", "現在値ティック")</f>
        <v/>
      </c>
      <c r="G213" s="2" t="str">
        <f t="array" ref="G213">_xll.RssIndexMarket("EUR/AUD", "前日比")</f>
        <v/>
      </c>
      <c r="H213" s="2" t="str">
        <f t="array" ref="H213">_xll.RssIndexMarket("EUR/AUD", "前日比率")</f>
        <v/>
      </c>
      <c r="I213" s="2" t="str">
        <f t="array" ref="I213">_xll.RssIndexMarket("EUR/AUD", "前日終値")</f>
        <v/>
      </c>
      <c r="J213" s="1" t="str">
        <f t="array" ref="J213">_xll.RssIndexMarket("EUR/AUD", "前日日付")</f>
        <v/>
      </c>
      <c r="K213" s="2" t="str">
        <f t="array" ref="K213">_xll.RssIndexMarket("EUR/AUD", "始値")</f>
        <v/>
      </c>
      <c r="L213" s="2" t="str">
        <f t="array" ref="L213">_xll.RssIndexMarket("EUR/AUD", "高値")</f>
        <v/>
      </c>
      <c r="M213" s="2" t="str">
        <f t="array" ref="M213">_xll.RssIndexMarket("EUR/AUD", "安値")</f>
        <v/>
      </c>
      <c r="N213" s="1" t="str">
        <f t="array" ref="N213">_xll.RssIndexMarket("EUR/AUD", "始値時刻")</f>
        <v/>
      </c>
      <c r="O213" s="1" t="str">
        <f t="array" ref="O213">_xll.RssIndexMarket("EUR/AUD", "高値時刻")</f>
        <v/>
      </c>
      <c r="P213" s="1" t="str">
        <f t="array" ref="P213">_xll.RssIndexMarket("EUR/AUD", "安値時刻")</f>
        <v/>
      </c>
      <c r="Q213" s="2" t="str">
        <f t="array" ref="Q213">_xll.RssIndexMarket("EUR/AUD", "出来高")</f>
        <v/>
      </c>
      <c r="R213" s="2" t="str">
        <f t="array" ref="R213">_xll.RssIndexMarket("EUR/AUD", "売買代金")</f>
        <v/>
      </c>
      <c r="S213" s="2" t="str">
        <f t="array" ref="S213">_xll.RssIndexMarket("EUR/AUD", "前年最高値")</f>
        <v/>
      </c>
      <c r="T213" s="2" t="str">
        <f t="array" ref="T213">_xll.RssIndexMarket("EUR/AUD", "前年最安値")</f>
        <v/>
      </c>
      <c r="U213" s="2" t="str">
        <f t="array" ref="U213">_xll.RssIndexMarket("EUR/AUD", "前年終値")</f>
        <v/>
      </c>
      <c r="V213" s="2" t="str">
        <f t="array" ref="V213">_xll.RssIndexMarket("EUR/AUD", "年初来高値")</f>
        <v/>
      </c>
      <c r="W213" s="2" t="str">
        <f t="array" ref="W213">_xll.RssIndexMarket("EUR/AUD", "年初来安値")</f>
        <v/>
      </c>
      <c r="X213" s="2" t="str">
        <f t="array" ref="X213">_xll.RssIndexMarket("EUR/AUD", "上場来高値")</f>
        <v/>
      </c>
      <c r="Y213" s="2" t="str">
        <f t="array" ref="Y213">_xll.RssIndexMarket("EUR/AUD", "上場来安値")</f>
        <v/>
      </c>
      <c r="Z213" s="1" t="str">
        <f t="array" ref="Z213">_xll.RssIndexMarket("EUR/AUD", "上場来高値日付")</f>
        <v/>
      </c>
      <c r="AA213" s="1" t="str">
        <f t="array" ref="AA213">_xll.RssIndexMarket("EUR/AUD", "上場来安値日付")</f>
        <v/>
      </c>
    </row>
    <row r="214" spans="1:27">
      <c r="A214" s="1" t="str">
        <f t="array" ref="A214">_xll.RssIndexMarket("GBP/AUD", "指標コード")</f>
        <v/>
      </c>
      <c r="B214" s="1" t="str">
        <f t="array" ref="B214">_xll.RssIndexMarket("GBP/AUD", "指標名称")</f>
        <v/>
      </c>
      <c r="C214" s="1" t="str">
        <f t="array" ref="C214">_xll.RssIndexMarket("GBP/AUD", "現在日付")</f>
        <v/>
      </c>
      <c r="D214" s="1" t="str">
        <f t="array" ref="D214">_xll.RssIndexMarket("GBP/AUD", "更新時刻")</f>
        <v/>
      </c>
      <c r="E214" s="2" t="str">
        <f t="array" ref="E214">_xll.RssIndexMarket("GBP/AUD", "現在値")</f>
        <v/>
      </c>
      <c r="F214" s="1" t="str">
        <f t="array" ref="F214">_xll.RssIndexMarket("GBP/AUD", "現在値ティック")</f>
        <v/>
      </c>
      <c r="G214" s="2" t="str">
        <f t="array" ref="G214">_xll.RssIndexMarket("GBP/AUD", "前日比")</f>
        <v/>
      </c>
      <c r="H214" s="2" t="str">
        <f t="array" ref="H214">_xll.RssIndexMarket("GBP/AUD", "前日比率")</f>
        <v/>
      </c>
      <c r="I214" s="2" t="str">
        <f t="array" ref="I214">_xll.RssIndexMarket("GBP/AUD", "前日終値")</f>
        <v/>
      </c>
      <c r="J214" s="1" t="str">
        <f t="array" ref="J214">_xll.RssIndexMarket("GBP/AUD", "前日日付")</f>
        <v/>
      </c>
      <c r="K214" s="2" t="str">
        <f t="array" ref="K214">_xll.RssIndexMarket("GBP/AUD", "始値")</f>
        <v/>
      </c>
      <c r="L214" s="2" t="str">
        <f t="array" ref="L214">_xll.RssIndexMarket("GBP/AUD", "高値")</f>
        <v/>
      </c>
      <c r="M214" s="2" t="str">
        <f t="array" ref="M214">_xll.RssIndexMarket("GBP/AUD", "安値")</f>
        <v/>
      </c>
      <c r="N214" s="1" t="str">
        <f t="array" ref="N214">_xll.RssIndexMarket("GBP/AUD", "始値時刻")</f>
        <v/>
      </c>
      <c r="O214" s="1" t="str">
        <f t="array" ref="O214">_xll.RssIndexMarket("GBP/AUD", "高値時刻")</f>
        <v/>
      </c>
      <c r="P214" s="1" t="str">
        <f t="array" ref="P214">_xll.RssIndexMarket("GBP/AUD", "安値時刻")</f>
        <v/>
      </c>
      <c r="Q214" s="2" t="str">
        <f t="array" ref="Q214">_xll.RssIndexMarket("GBP/AUD", "出来高")</f>
        <v/>
      </c>
      <c r="R214" s="2" t="str">
        <f t="array" ref="R214">_xll.RssIndexMarket("GBP/AUD", "売買代金")</f>
        <v/>
      </c>
      <c r="S214" s="2" t="str">
        <f t="array" ref="S214">_xll.RssIndexMarket("GBP/AUD", "前年最高値")</f>
        <v/>
      </c>
      <c r="T214" s="2" t="str">
        <f t="array" ref="T214">_xll.RssIndexMarket("GBP/AUD", "前年最安値")</f>
        <v/>
      </c>
      <c r="U214" s="2" t="str">
        <f t="array" ref="U214">_xll.RssIndexMarket("GBP/AUD", "前年終値")</f>
        <v/>
      </c>
      <c r="V214" s="2" t="str">
        <f t="array" ref="V214">_xll.RssIndexMarket("GBP/AUD", "年初来高値")</f>
        <v/>
      </c>
      <c r="W214" s="2" t="str">
        <f t="array" ref="W214">_xll.RssIndexMarket("GBP/AUD", "年初来安値")</f>
        <v/>
      </c>
      <c r="X214" s="2" t="str">
        <f t="array" ref="X214">_xll.RssIndexMarket("GBP/AUD", "上場来高値")</f>
        <v/>
      </c>
      <c r="Y214" s="2" t="str">
        <f t="array" ref="Y214">_xll.RssIndexMarket("GBP/AUD", "上場来安値")</f>
        <v/>
      </c>
      <c r="Z214" s="1" t="str">
        <f t="array" ref="Z214">_xll.RssIndexMarket("GBP/AUD", "上場来高値日付")</f>
        <v/>
      </c>
      <c r="AA214" s="1" t="str">
        <f t="array" ref="AA214">_xll.RssIndexMarket("GBP/AUD", "上場来安値日付")</f>
        <v/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玉澤崇</dc:creator>
  <cp:lastModifiedBy>崇 玉澤</cp:lastModifiedBy>
  <dcterms:created xsi:type="dcterms:W3CDTF">2015-06-05T18:19:34Z</dcterms:created>
  <dcterms:modified xsi:type="dcterms:W3CDTF">2026-03-01T05:00:51Z</dcterms:modified>
</cp:coreProperties>
</file>