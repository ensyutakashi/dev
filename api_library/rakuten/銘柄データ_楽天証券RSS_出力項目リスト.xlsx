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nsyu\Documents\Speculation\TDnet\TDnet適時情報開示サービス\Quants\rakuten\"/>
    </mc:Choice>
  </mc:AlternateContent>
  <xr:revisionPtr revIDLastSave="0" documentId="13_ncr:1_{C82B246E-D9F6-4D40-AE2C-C89176325D44}" xr6:coauthVersionLast="47" xr6:coauthVersionMax="47" xr10:uidLastSave="{00000000-0000-0000-0000-000000000000}"/>
  <bookViews>
    <workbookView xWindow="-110" yWindow="-110" windowWidth="38620" windowHeight="21220" activeTab="3" xr2:uid="{00000000-000D-0000-FFFF-FFFF00000000}"/>
  </bookViews>
  <sheets>
    <sheet name="関数一覧サマリー(4-5)" sheetId="1" r:id="rId1"/>
    <sheet name="関数引数一覧(6-19)" sheetId="6" r:id="rId2"/>
    <sheet name="関数戻り値一覧_注文関数(20)" sheetId="5" r:id="rId3"/>
    <sheet name="関数戻り値一覧(21-33)" sheetId="4" r:id="rId4"/>
    <sheet name="指標コード(34-37)" sheetId="3" r:id="rId5"/>
    <sheet name="足種(38)" sheetId="2" r:id="rId6"/>
  </sheets>
  <definedNames>
    <definedName name="_xlnm._FilterDatabase" localSheetId="3" hidden="1">'関数戻り値一覧(21-33)'!$A$1:$K$554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9" i="1" l="1"/>
  <c r="F37" i="1"/>
  <c r="F36" i="1"/>
  <c r="F34" i="1"/>
  <c r="F32" i="1"/>
  <c r="F35" i="1"/>
  <c r="F33" i="1"/>
  <c r="F38" i="1"/>
  <c r="B3" i="4"/>
  <c r="R3" i="4"/>
  <c r="L4" i="4"/>
  <c r="F5" i="4"/>
  <c r="V5" i="4"/>
  <c r="P6" i="4"/>
  <c r="J7" i="4"/>
  <c r="D8" i="4"/>
  <c r="T8" i="4"/>
  <c r="N9" i="4"/>
  <c r="H10" i="4"/>
  <c r="B11" i="4"/>
  <c r="R11" i="4"/>
  <c r="L12" i="4"/>
  <c r="F13" i="4"/>
  <c r="V13" i="4"/>
  <c r="P14" i="4"/>
  <c r="J15" i="4"/>
  <c r="D16" i="4"/>
  <c r="T16" i="4"/>
  <c r="N17" i="4"/>
  <c r="H18" i="4"/>
  <c r="K18" i="4"/>
  <c r="G14" i="4"/>
  <c r="H6" i="4"/>
  <c r="D12" i="4"/>
  <c r="H14" i="4"/>
  <c r="L16" i="4"/>
  <c r="P18" i="4"/>
  <c r="U4" i="4"/>
  <c r="M8" i="4"/>
  <c r="K11" i="4"/>
  <c r="Q18" i="4"/>
  <c r="P13" i="4"/>
  <c r="G12" i="4"/>
  <c r="I17" i="4"/>
  <c r="B5" i="4"/>
  <c r="P8" i="4"/>
  <c r="B13" i="4"/>
  <c r="T18" i="4"/>
  <c r="K9" i="4"/>
  <c r="M14" i="4"/>
  <c r="E18" i="4"/>
  <c r="N6" i="4"/>
  <c r="V10" i="4"/>
  <c r="D13" i="4"/>
  <c r="V18" i="4"/>
  <c r="I7" i="4"/>
  <c r="S8" i="4"/>
  <c r="E13" i="4"/>
  <c r="C3" i="4"/>
  <c r="S3" i="4"/>
  <c r="M4" i="4"/>
  <c r="G5" i="4"/>
  <c r="W5" i="4"/>
  <c r="Q6" i="4"/>
  <c r="K7" i="4"/>
  <c r="E8" i="4"/>
  <c r="U8" i="4"/>
  <c r="O9" i="4"/>
  <c r="I10" i="4"/>
  <c r="C11" i="4"/>
  <c r="S11" i="4"/>
  <c r="M12" i="4"/>
  <c r="G13" i="4"/>
  <c r="W13" i="4"/>
  <c r="Q14" i="4"/>
  <c r="K15" i="4"/>
  <c r="E16" i="4"/>
  <c r="U16" i="4"/>
  <c r="O17" i="4"/>
  <c r="I18" i="4"/>
  <c r="I13" i="4"/>
  <c r="M15" i="4"/>
  <c r="Q17" i="4"/>
  <c r="V11" i="4"/>
  <c r="T14" i="4"/>
  <c r="W11" i="4"/>
  <c r="U14" i="4"/>
  <c r="C17" i="4"/>
  <c r="B12" i="4"/>
  <c r="L13" i="4"/>
  <c r="P15" i="4"/>
  <c r="K8" i="4"/>
  <c r="C12" i="4"/>
  <c r="N5" i="4"/>
  <c r="V9" i="4"/>
  <c r="N13" i="4"/>
  <c r="C7" i="4"/>
  <c r="G9" i="4"/>
  <c r="U12" i="4"/>
  <c r="D15" i="4"/>
  <c r="B18" i="4"/>
  <c r="E7" i="4"/>
  <c r="Q13" i="4"/>
  <c r="N3" i="4"/>
  <c r="L14" i="4"/>
  <c r="Q8" i="4"/>
  <c r="D3" i="4"/>
  <c r="T3" i="4"/>
  <c r="N4" i="4"/>
  <c r="H5" i="4"/>
  <c r="B6" i="4"/>
  <c r="R6" i="4"/>
  <c r="L7" i="4"/>
  <c r="F8" i="4"/>
  <c r="V8" i="4"/>
  <c r="P9" i="4"/>
  <c r="J10" i="4"/>
  <c r="D11" i="4"/>
  <c r="T11" i="4"/>
  <c r="N12" i="4"/>
  <c r="H13" i="4"/>
  <c r="B14" i="4"/>
  <c r="R14" i="4"/>
  <c r="L15" i="4"/>
  <c r="F16" i="4"/>
  <c r="V16" i="4"/>
  <c r="P17" i="4"/>
  <c r="J18" i="4"/>
  <c r="W8" i="4"/>
  <c r="K10" i="4"/>
  <c r="E11" i="4"/>
  <c r="O12" i="4"/>
  <c r="S14" i="4"/>
  <c r="W16" i="4"/>
  <c r="D14" i="4"/>
  <c r="B17" i="4"/>
  <c r="L18" i="4"/>
  <c r="I8" i="4"/>
  <c r="M18" i="4"/>
  <c r="J16" i="4"/>
  <c r="N18" i="4"/>
  <c r="Q15" i="4"/>
  <c r="J3" i="4"/>
  <c r="P10" i="4"/>
  <c r="F17" i="4"/>
  <c r="E4" i="4"/>
  <c r="S7" i="4"/>
  <c r="Q10" i="4"/>
  <c r="C15" i="4"/>
  <c r="G17" i="4"/>
  <c r="R10" i="4"/>
  <c r="T15" i="4"/>
  <c r="G4" i="4"/>
  <c r="U7" i="4"/>
  <c r="E15" i="4"/>
  <c r="O16" i="4"/>
  <c r="F7" i="4"/>
  <c r="H12" i="4"/>
  <c r="J17" i="4"/>
  <c r="O3" i="4"/>
  <c r="G7" i="4"/>
  <c r="U10" i="4"/>
  <c r="I12" i="4"/>
  <c r="W15" i="4"/>
  <c r="J4" i="4"/>
  <c r="R8" i="4"/>
  <c r="B16" i="4"/>
  <c r="E3" i="4"/>
  <c r="U3" i="4"/>
  <c r="O4" i="4"/>
  <c r="I5" i="4"/>
  <c r="C6" i="4"/>
  <c r="S6" i="4"/>
  <c r="M7" i="4"/>
  <c r="G8" i="4"/>
  <c r="Q9" i="4"/>
  <c r="U11" i="4"/>
  <c r="C14" i="4"/>
  <c r="G16" i="4"/>
  <c r="P12" i="4"/>
  <c r="N15" i="4"/>
  <c r="O7" i="4"/>
  <c r="M10" i="4"/>
  <c r="E14" i="4"/>
  <c r="I16" i="4"/>
  <c r="J11" i="4"/>
  <c r="M3" i="4"/>
  <c r="K6" i="4"/>
  <c r="O8" i="4"/>
  <c r="W12" i="4"/>
  <c r="C18" i="4"/>
  <c r="L6" i="4"/>
  <c r="J9" i="4"/>
  <c r="R13" i="4"/>
  <c r="P16" i="4"/>
  <c r="I4" i="4"/>
  <c r="W7" i="4"/>
  <c r="E10" i="4"/>
  <c r="O11" i="4"/>
  <c r="G15" i="4"/>
  <c r="K17" i="4"/>
  <c r="P3" i="4"/>
  <c r="H7" i="4"/>
  <c r="B8" i="4"/>
  <c r="T13" i="4"/>
  <c r="R16" i="4"/>
  <c r="F18" i="4"/>
  <c r="U5" i="4"/>
  <c r="G10" i="4"/>
  <c r="U13" i="4"/>
  <c r="W18" i="4"/>
  <c r="F3" i="4"/>
  <c r="V3" i="4"/>
  <c r="P4" i="4"/>
  <c r="J5" i="4"/>
  <c r="D6" i="4"/>
  <c r="T6" i="4"/>
  <c r="N7" i="4"/>
  <c r="H8" i="4"/>
  <c r="B9" i="4"/>
  <c r="R9" i="4"/>
  <c r="L10" i="4"/>
  <c r="F11" i="4"/>
  <c r="J13" i="4"/>
  <c r="H16" i="4"/>
  <c r="R17" i="4"/>
  <c r="C9" i="4"/>
  <c r="Q12" i="4"/>
  <c r="F14" i="4"/>
  <c r="D17" i="4"/>
  <c r="I11" i="4"/>
  <c r="U17" i="4"/>
  <c r="R7" i="4"/>
  <c r="R15" i="4"/>
  <c r="K3" i="4"/>
  <c r="O5" i="4"/>
  <c r="O13" i="4"/>
  <c r="W17" i="4"/>
  <c r="F12" i="4"/>
  <c r="N16" i="4"/>
  <c r="I9" i="4"/>
  <c r="K14" i="4"/>
  <c r="U15" i="4"/>
  <c r="G3" i="4"/>
  <c r="W3" i="4"/>
  <c r="Q4" i="4"/>
  <c r="K5" i="4"/>
  <c r="E6" i="4"/>
  <c r="U6" i="4"/>
  <c r="S9" i="4"/>
  <c r="G11" i="4"/>
  <c r="K13" i="4"/>
  <c r="O15" i="4"/>
  <c r="S17" i="4"/>
  <c r="R12" i="4"/>
  <c r="V14" i="4"/>
  <c r="T17" i="4"/>
  <c r="E9" i="4"/>
  <c r="W14" i="4"/>
  <c r="O18" i="4"/>
  <c r="T4" i="4"/>
  <c r="B7" i="4"/>
  <c r="F9" i="4"/>
  <c r="T12" i="4"/>
  <c r="W9" i="4"/>
  <c r="S15" i="4"/>
  <c r="J14" i="4"/>
  <c r="H17" i="4"/>
  <c r="W4" i="4"/>
  <c r="M11" i="4"/>
  <c r="H4" i="4"/>
  <c r="V7" i="4"/>
  <c r="N11" i="4"/>
  <c r="F15" i="4"/>
  <c r="D18" i="4"/>
  <c r="M6" i="4"/>
  <c r="Q3" i="4"/>
  <c r="C8" i="4"/>
  <c r="Q11" i="4"/>
  <c r="I15" i="4"/>
  <c r="G18" i="4"/>
  <c r="H3" i="4"/>
  <c r="B4" i="4"/>
  <c r="R4" i="4"/>
  <c r="L5" i="4"/>
  <c r="F6" i="4"/>
  <c r="V6" i="4"/>
  <c r="P7" i="4"/>
  <c r="J8" i="4"/>
  <c r="D9" i="4"/>
  <c r="T9" i="4"/>
  <c r="N10" i="4"/>
  <c r="H11" i="4"/>
  <c r="O10" i="4"/>
  <c r="M13" i="4"/>
  <c r="K16" i="4"/>
  <c r="C13" i="4"/>
  <c r="Q16" i="4"/>
  <c r="T5" i="4"/>
  <c r="J12" i="4"/>
  <c r="K4" i="4"/>
  <c r="W10" i="4"/>
  <c r="C16" i="4"/>
  <c r="I3" i="4"/>
  <c r="C4" i="4"/>
  <c r="S4" i="4"/>
  <c r="M5" i="4"/>
  <c r="G6" i="4"/>
  <c r="W6" i="4"/>
  <c r="Q7" i="4"/>
  <c r="U9" i="4"/>
  <c r="S12" i="4"/>
  <c r="E17" i="4"/>
  <c r="D4" i="4"/>
  <c r="L8" i="4"/>
  <c r="B15" i="4"/>
  <c r="V17" i="4"/>
  <c r="I6" i="4"/>
  <c r="E12" i="4"/>
  <c r="I14" i="4"/>
  <c r="M16" i="4"/>
  <c r="V12" i="4"/>
  <c r="R18" i="4"/>
  <c r="Q5" i="4"/>
  <c r="S10" i="4"/>
  <c r="T10" i="4"/>
  <c r="V15" i="4"/>
  <c r="S5" i="4"/>
  <c r="F10" i="4"/>
  <c r="N14" i="4"/>
  <c r="L17" i="4"/>
  <c r="O6" i="4"/>
  <c r="M9" i="4"/>
  <c r="O14" i="4"/>
  <c r="M17" i="4"/>
  <c r="H15" i="4"/>
  <c r="E5" i="4"/>
  <c r="K12" i="4"/>
  <c r="L3" i="4"/>
  <c r="F4" i="4"/>
  <c r="V4" i="4"/>
  <c r="P5" i="4"/>
  <c r="J6" i="4"/>
  <c r="D7" i="4"/>
  <c r="T7" i="4"/>
  <c r="N8" i="4"/>
  <c r="H9" i="4"/>
  <c r="B10" i="4"/>
  <c r="L11" i="4"/>
  <c r="C10" i="4"/>
  <c r="S18" i="4"/>
  <c r="R5" i="4"/>
  <c r="D10" i="4"/>
  <c r="C5" i="4"/>
  <c r="S13" i="4"/>
  <c r="U18" i="4"/>
  <c r="D5" i="4"/>
  <c r="L9" i="4"/>
  <c r="P11" i="4"/>
  <c r="S16" i="4"/>
  <c r="F30" i="1"/>
  <c r="F31" i="1"/>
  <c r="F15" i="1"/>
  <c r="F28" i="1"/>
  <c r="F29" i="1"/>
</calcChain>
</file>

<file path=xl/sharedStrings.xml><?xml version="1.0" encoding="utf-8"?>
<sst xmlns="http://schemas.openxmlformats.org/spreadsheetml/2006/main" count="5081" uniqueCount="1823">
  <si>
    <t>カテゴリー</t>
  </si>
  <si>
    <t>No</t>
  </si>
  <si>
    <t>関数</t>
  </si>
  <si>
    <t>関数名</t>
  </si>
  <si>
    <t>機能説明</t>
  </si>
  <si>
    <t>入力形式</t>
  </si>
  <si>
    <t>VBA関数</t>
  </si>
  <si>
    <t>表示形式</t>
  </si>
  <si>
    <t>自動更新</t>
  </si>
  <si>
    <t>登録画面</t>
  </si>
  <si>
    <t>備考</t>
  </si>
  <si>
    <t>注文関数</t>
  </si>
  <si>
    <t>1</t>
  </si>
  <si>
    <t>RssStockOrder</t>
  </si>
  <si>
    <t>国内株式 現物注文</t>
  </si>
  <si>
    <t>指定した国内株式銘柄について、注
文区分ごとに現物注文を出します。</t>
  </si>
  <si>
    <t>RssStockOrder(発注ID,発注トリガー,銘柄コード,売買区分,注文区分,SOR区分,
注文数量,価格区分,注文価格,執行条件,注文期限,口座区分,逆指値条件価格,逆
指値条件区分,逆指値価格区分,逆指値価格,セット注文区分,セット注文価格,セット
注文執行条件,セット注文期限)</t>
  </si>
  <si>
    <t>○</t>
  </si>
  <si>
    <t>-</t>
  </si>
  <si>
    <t>×</t>
  </si>
  <si>
    <t>VBA関数
RssStockOrder_v
VBA関数の引数は第2引数の「発注ト
リガー」を除いた入力形式となります。</t>
  </si>
  <si>
    <t>2</t>
  </si>
  <si>
    <t>RssMarginOpenOrder</t>
  </si>
  <si>
    <t>国内株式 信用新規</t>
  </si>
  <si>
    <t>指定した国内株式銘柄について、注
文区分ごとに信用取引の新規注文
を出します。</t>
  </si>
  <si>
    <t>RssMarginOpenOrder(発注ID,発注トリガー,銘柄コード,売買区分,注文区分,SOR
区分,信用区分,注文数量,価格区分,注文価格,執行条件,注文期限,口座区分,逆指
値条件価格,逆指値条件区分,逆指値価格区分,逆指値価格,セット注文区分,セット
注文価格区分,セット注文価格,セット注文執行条件,セット注文期限)</t>
  </si>
  <si>
    <t>VBA関数
RssMarginOpenOrder_v
VBA関数の引数は第2引数の「発注ト
リガー」を除いた入力形式となります。</t>
  </si>
  <si>
    <t>3</t>
  </si>
  <si>
    <t>RssMarginCloseOrder</t>
  </si>
  <si>
    <t>国内株式 信用返済</t>
  </si>
  <si>
    <t>指定した信用取引建玉について、注
文区分ごとに返済注文を出します。</t>
  </si>
  <si>
    <t>RssMarginCloseOrder(発注ID,発注トリガー,銘柄コード,売買区分,注文区
分,SOR区分,信用区分,注文数量,価格区分,注文価格,執行条件,注文期限,口座区
分,建日,建単価,建市場,逆指値条件価格,逆指値条件区分,逆指値価格区分,逆指
値価格)</t>
  </si>
  <si>
    <t>VBA関数
RssMarginCloseOrder_v
VBA関数の引数は第2引数の「発注ト
リガー」を除いた入力形式となります。</t>
  </si>
  <si>
    <t>4</t>
  </si>
  <si>
    <t>RssModifyOrder</t>
  </si>
  <si>
    <t>国内株式 訂正注文</t>
  </si>
  <si>
    <t>指定した現物注文、信用取引注文
を注文区分ごとに訂正注文を出しま
す。</t>
  </si>
  <si>
    <t>RssModifyOrder(発注ID,発注トリガー,注文番号,注文区分,注文数量,価格区分,
注文価格,執行条件,注文期限,逆指値条件価格,逆指値条件区分,逆指値価格区
分,逆指値価格,セット注文価格区分,セット注文価格,セット注文執行条件,セット注文
期限)</t>
  </si>
  <si>
    <t>VBA関数
RssModifyOrder_v
VBA関数の引数は第2引数の「発注ト
リガー」を除いた入力形式となります。</t>
  </si>
  <si>
    <t>5</t>
  </si>
  <si>
    <t>RssCancelOrder</t>
  </si>
  <si>
    <t>国内株式 取消注文</t>
  </si>
  <si>
    <t>指定した現物注文、信用取引注文
の取消注文を出します。</t>
  </si>
  <si>
    <t>RssCancelOrder(発注ID,発注トリガー,注文番号)</t>
  </si>
  <si>
    <t>VBA関数
RssCancelOrder_v
VBA関数の引数は第2引数の「発注ト
リガー」を除いた入力形式となります。</t>
  </si>
  <si>
    <t>6</t>
  </si>
  <si>
    <t>RssFOPOpenOrder</t>
  </si>
  <si>
    <t>先物OP 個別新規注文</t>
  </si>
  <si>
    <t>指定した銘柄について、注文区分ご
とに先物オプションの新規注文を出し
ます。</t>
  </si>
  <si>
    <t>RssFOPOpenOrder(発注ID,発注トリガー,銘柄コード,売買区分,注文区分,注文数
量,価格区分,注文価格,執行数量条件,執行時間条件,注文期限,逆指値条件価格,
逆指値条件区分,逆指値価格区分,逆指値価格,SOR区分)</t>
  </si>
  <si>
    <t>VBA関数
RssFOPOpenOrder_v
VBA関数の引数は第2引数の「発注ト
リガー」を除いた入力形式となります。</t>
  </si>
  <si>
    <t>7</t>
  </si>
  <si>
    <t>RssFOPCloseOrder</t>
  </si>
  <si>
    <t>先物OP 個別転売買戻注文</t>
  </si>
  <si>
    <t>指定した先物オプション取引建玉につ
いて、注文区分ごとに転売買戻注文
を出します。</t>
  </si>
  <si>
    <t>RssFOPCloseOrder(発注ID,発注トリガー,銘柄コード,売買区分,注文区分,注文数
量,価格区分,注文価格,執行数量条件,執行時間条件,注文期限,建日,建単価,逆指
値条件価格,逆指値条件区分,逆指値価格区分,逆指値価格,SOR区分)</t>
  </si>
  <si>
    <t>VBA関数
RssFOPCloseOrder_v
VBA関数の引数は第2引数の「発注ト
リガー」を除いた入力形式となります。</t>
  </si>
  <si>
    <t>8</t>
  </si>
  <si>
    <t>RssFOPMultiOpenOrder</t>
  </si>
  <si>
    <t>先物OP 複数新規注文</t>
  </si>
  <si>
    <t>指定した2件の銘柄について、注文
区分ごとに先物オプションの新規注文
を出します。</t>
  </si>
  <si>
    <t>RssFOPMultiOpenOrder(発注ID,発注トリガー,銘柄コード1,売買区分1,注文区分
1,注文数量1,価格区分1,注文価格,執行数量条件1,執行時間条件1,注文期限1,
銘柄コード2,売買区分2,注文区分2,注文数量2,価格区分2,注文価格2,執行数量
条件2,執行時間条件2,注文期限2)
※2件目は省略可。銘柄コード2入力時、1件目の必須項目に該当する項目は必須。</t>
  </si>
  <si>
    <t>VBA関数
RssFOPMultiOpenOrder_v
VBA関数の引数は第2引数の「発注ト
リガー」を除いた入力形式となります。</t>
  </si>
  <si>
    <t>9</t>
  </si>
  <si>
    <t>RssFOPMultiCloseOrder</t>
  </si>
  <si>
    <t>先物OP 複数転売買戻注文</t>
  </si>
  <si>
    <t>指定した2件以上の建玉について、
先物オプションの転売買戻注文を出
します。
複数入力時の上限は10件となりま
す。</t>
  </si>
  <si>
    <t>RssFOPMultiCloseOrder(発注ID,発注トリガー,銘柄コード1,売買区分1,注文区分
1,注文数量1,価格区分1,注文価格1,執行数量条件1,執行時間条件1,注文期限1,
建日1,建単価1,銘柄コード2,売買区分2,注文区分2,注文数量2,価格区分2,注文
価格2,執行数量条件2,執行時間条件2,注文期限2,建日2,建単価2)
※2件目以降は省略可。銘柄コード2入力時、1件目の必須項目に該当する項目は必
須。
※3件目以降のの注文がある場合、上記の24引数に続けて、第14引数から第24引数
までの11引数と同じ引数を繰り返し設定します。</t>
  </si>
  <si>
    <t>VBA関数
RssFOPMultiCloseOrder_v
VBA関数の引数は第2引数の「発注ト
リガー」を除いた入力形式となります。
（VBA関数の上限は5件となります。）</t>
  </si>
  <si>
    <t>10</t>
  </si>
  <si>
    <t>RssFOPModifyOrder</t>
  </si>
  <si>
    <t>先物OP 訂正注文</t>
  </si>
  <si>
    <t>指定した注文について、注文区分ご
とに先物オプションの訂正注文を出し
ます。</t>
  </si>
  <si>
    <t>RssFOPModifyOrder(発注ID,発注トリガー,注文番号,注文区分,注文価格,注文期
限,逆指値条件価格,逆指値条件区分,逆指値価格)
※ 任意項目は、訂正項目のみ入力</t>
  </si>
  <si>
    <t>VBA関数
RssFOPModifyOrder_v
VBA関数の引数は第2引数の「発注ト
リガー」を除いた入力形式となります。</t>
  </si>
  <si>
    <t>11</t>
  </si>
  <si>
    <t>RssFOPCancelOrder</t>
  </si>
  <si>
    <t>先物OP 取消注文</t>
  </si>
  <si>
    <t>指定した先物オプション注文の取消
注文を出します。</t>
  </si>
  <si>
    <t>RssFOPCancelOrder(発注ID,発注トリガー,注文番号)</t>
  </si>
  <si>
    <t>VBA関数
RssFOPCancelOrder_v
VBA関数の引数は第2引数の「発注ト
リガー」を除いた入力形式となります。</t>
  </si>
  <si>
    <t>注文約定関数</t>
  </si>
  <si>
    <t>RssOrderList</t>
  </si>
  <si>
    <t>国内株式注文一覧</t>
  </si>
  <si>
    <t>国内株式の現物注文、信用取引注
文の注文状況の一覧を表示します。
全チャンネルからの注文を表示します</t>
  </si>
  <si>
    <t>一覧</t>
  </si>
  <si>
    <t>RssExecutionList</t>
  </si>
  <si>
    <t>国内株式約定一覧</t>
  </si>
  <si>
    <t>国内株式の現物注文、信用取引注
文の約定一覧を表示します</t>
  </si>
  <si>
    <t>RssExecutionList(ヘッダー行,注文種類,銘柄コード,口座区分,信用区分,売買)</t>
  </si>
  <si>
    <t>RssFOPOrderList</t>
  </si>
  <si>
    <t>先物OP注文一覧</t>
  </si>
  <si>
    <t>先物オプション注文の注文一覧を表
示します</t>
  </si>
  <si>
    <t>RssFOPOrderList(ヘッダー行,注文状況,銘柄種類,取引種類)</t>
  </si>
  <si>
    <t>RssFOPExecutionList</t>
  </si>
  <si>
    <t>先物OP約定一覧</t>
  </si>
  <si>
    <t>先物オプション注文の約定一覧を表
示します</t>
  </si>
  <si>
    <t>RssFOPExecutionList(ヘッダー行,銘柄種類,取引種類)</t>
  </si>
  <si>
    <t>RssPositionList</t>
  </si>
  <si>
    <t>保有銘柄一覧</t>
  </si>
  <si>
    <t>国内株式の現物保有一覧を表示し
ます</t>
  </si>
  <si>
    <t>RssPositionList(ヘッダー行,銘柄コード,口座区分)</t>
  </si>
  <si>
    <t>RssMarginPositionList</t>
  </si>
  <si>
    <t>信用建玉一覧</t>
  </si>
  <si>
    <t>国内株式の信用取引建玉一覧を表
示します</t>
  </si>
  <si>
    <t>RssMarginPositionList(ヘッダー行,銘柄コード,口座区分,信用区分,売買,直近最終
返済日)</t>
  </si>
  <si>
    <t>RssFOPPositionList</t>
  </si>
  <si>
    <t>先物OP建玉一覧</t>
  </si>
  <si>
    <t>先物オプション取引建玉一覧を表示
します</t>
  </si>
  <si>
    <t>RssFOPPositionList(ヘッダー行,銘柄種類,売買)</t>
  </si>
  <si>
    <t>RssCapacityList</t>
  </si>
  <si>
    <t>余力・保証金率</t>
  </si>
  <si>
    <t>口座の現物買付余力、信用新規建
余力等を表示する</t>
  </si>
  <si>
    <t>RssCapacityList(ヘッダー行)</t>
  </si>
  <si>
    <t>RssBuyingPower</t>
  </si>
  <si>
    <t>余力情報（現物）</t>
  </si>
  <si>
    <t>指定した国内株式の買付可能額を
表示します。</t>
  </si>
  <si>
    <t>RssBuyingPower(ヘッダー行,銘柄コード)</t>
  </si>
  <si>
    <t>RssMarginPower</t>
  </si>
  <si>
    <t>余力情報（信用）</t>
  </si>
  <si>
    <t>指定した国内株式の信用新規建余
力を表示します。</t>
  </si>
  <si>
    <t>RssMarginPower(ヘッダー行,銘柄コード)</t>
  </si>
  <si>
    <t>RssFOPCapacityList</t>
  </si>
  <si>
    <t>余力情報（先物OP）</t>
  </si>
  <si>
    <t>先物オプションの余力情報を表示しま
す。</t>
  </si>
  <si>
    <t>RssFOPCapacityList(ヘッダー行)</t>
  </si>
  <si>
    <t>12</t>
  </si>
  <si>
    <t>RssOrderIDList</t>
  </si>
  <si>
    <t>発注ID一覧</t>
  </si>
  <si>
    <t>使用済み発注IDの一覧を表示しま
す。</t>
  </si>
  <si>
    <t>RssOrderIDList(ヘッダー行)</t>
  </si>
  <si>
    <t>13</t>
  </si>
  <si>
    <t>RssOrderStatus</t>
  </si>
  <si>
    <t>注文状況取得</t>
  </si>
  <si>
    <t>発注IDごとの注文状況を表示しま
す。</t>
  </si>
  <si>
    <t>RssOrderStatus(発注ID)</t>
  </si>
  <si>
    <t>単項目</t>
  </si>
  <si>
    <t>投資情報関数</t>
  </si>
  <si>
    <t>RssMarket</t>
  </si>
  <si>
    <t>市況情報（国内株式）</t>
  </si>
  <si>
    <t>指定した国内株式の指定した項目ご
との市況情報を表示します。</t>
  </si>
  <si>
    <t>RssFOPMarket</t>
  </si>
  <si>
    <t>市況情報（先物OP）</t>
  </si>
  <si>
    <t>指定した先物オプションの市況情報
を表示します。</t>
  </si>
  <si>
    <t>RssIndexMarket</t>
  </si>
  <si>
    <t>市況情報（指標）</t>
  </si>
  <si>
    <t>指定した各種指標の市況情報を表
示します。</t>
  </si>
  <si>
    <t>RssFXMarket</t>
  </si>
  <si>
    <t>市況情報（為替レート）</t>
  </si>
  <si>
    <t>指定した為替レートの市況情報を表
示します。</t>
  </si>
  <si>
    <t>RssMarketHeader</t>
  </si>
  <si>
    <t>市況情報ヘッダー行作成</t>
  </si>
  <si>
    <t>市況情報関数のヘッダー行を関数ご
とに表示します。</t>
  </si>
  <si>
    <t>RssTickList</t>
  </si>
  <si>
    <t>歩み値</t>
  </si>
  <si>
    <t>指定した国内株式、先物オプションの
歩み値を表示します。</t>
  </si>
  <si>
    <t>RssMarginInfo</t>
  </si>
  <si>
    <t>信用取引情報</t>
  </si>
  <si>
    <t>指定した国内株式の信用取引に関
する当社情報を表示します。</t>
  </si>
  <si>
    <t>RssFutInfo</t>
  </si>
  <si>
    <t>先物取引情報</t>
  </si>
  <si>
    <t>先物商品の証拠金情報を表示しま
す。</t>
  </si>
  <si>
    <t>RssMarketDes</t>
  </si>
  <si>
    <t>国内株式銘柄情報</t>
  </si>
  <si>
    <t>指定した国内株式の銘柄情報を表
示します。</t>
  </si>
  <si>
    <t>RssFOPMarketDes</t>
  </si>
  <si>
    <t>先物OP銘柄情報</t>
  </si>
  <si>
    <t>指定した先物OPの銘柄情報を表示
します。</t>
  </si>
  <si>
    <t>チャート関数</t>
  </si>
  <si>
    <t>RssChart</t>
  </si>
  <si>
    <t>チャート情報</t>
  </si>
  <si>
    <t>指定した銘柄のチャート情報を表示
します。</t>
  </si>
  <si>
    <t>RssChartPast</t>
  </si>
  <si>
    <t>チャート情報（過去）</t>
  </si>
  <si>
    <t>指定した銘柄の過去日付のチャート
情報を表示します。</t>
  </si>
  <si>
    <t>RssTrendSMA</t>
  </si>
  <si>
    <t>単純移動平均線</t>
  </si>
  <si>
    <t>指定した銘柄の単純移動平均線情
報を表示します。</t>
  </si>
  <si>
    <t>補助関数</t>
  </si>
  <si>
    <t>RssFOPCode</t>
  </si>
  <si>
    <t>先物OP銘柄コード取得</t>
  </si>
  <si>
    <t>指定した銘柄の先物OP銘柄コード
を表示します。</t>
  </si>
  <si>
    <t>引数</t>
  </si>
  <si>
    <t>注記</t>
  </si>
  <si>
    <t>項目名</t>
  </si>
  <si>
    <t>入力説明</t>
  </si>
  <si>
    <t>必須/任意</t>
  </si>
  <si>
    <t>データ型</t>
  </si>
  <si>
    <t>発注ID</t>
  </si>
  <si>
    <t>Excelから注文を一意に識別するための番号（1以上の数値で入力。）</t>
  </si>
  <si>
    <t>必須</t>
  </si>
  <si>
    <t>数値</t>
  </si>
  <si>
    <t>発注トリガー</t>
  </si>
  <si>
    <t>0（False）:待機、1（True）:発注 （省略時は、「0（False）:待機」）
（直接True/Falseを入力可。また、数式入力も可。）</t>
  </si>
  <si>
    <t>銘柄コード</t>
  </si>
  <si>
    <t>「銘柄コード.市場」の形式で入力「.市場」は省略可。
市場は.T:東証（省略時東証）、.JAX:JAX、.JNX:JNX</t>
  </si>
  <si>
    <t>文字列</t>
  </si>
  <si>
    <t>売買区分</t>
  </si>
  <si>
    <t>1:売り、3:買い</t>
  </si>
  <si>
    <t>注文区分</t>
  </si>
  <si>
    <t>0:通常注文、1:逆指値付注文、2:逆指値待機注文</t>
  </si>
  <si>
    <t>SOR区分</t>
  </si>
  <si>
    <t>0:通常注文、1:SOR注文</t>
  </si>
  <si>
    <t>注文数量</t>
  </si>
  <si>
    <t>注文数量を入力。</t>
  </si>
  <si>
    <t>価格区分</t>
  </si>
  <si>
    <t>0:成行、1:指値
（注文区分が「0:通常注文」 or 「1:逆指値付通常注文」 の場合、必須。）</t>
  </si>
  <si>
    <t>任意</t>
  </si>
  <si>
    <t>注文価格</t>
  </si>
  <si>
    <t>注文価格を入力。成行の場合は省略。
（注文区分が「0:通常注文」 or 「1:逆指値付通常注文」 の場合、必須。）</t>
  </si>
  <si>
    <t>執行条件</t>
  </si>
  <si>
    <t>1:本日中 2:今週中 3:寄付 4:引け 5:期間指定 6:大引不成 7:不成
※ SOR区分が「1:SOR注文」時、3:寄付 4:引けの選択は不可</t>
  </si>
  <si>
    <t>注文期限</t>
  </si>
  <si>
    <t>執行条件が「5:期間指定」の場合、必須。</t>
  </si>
  <si>
    <t>文字列
(YYYYMMDD)</t>
  </si>
  <si>
    <t>口座区分</t>
  </si>
  <si>
    <t>0:特定 1:一般 2:NISA 3:旧NISA</t>
  </si>
  <si>
    <t>逆指値条件価格</t>
  </si>
  <si>
    <t>逆指値条件価格を入力。
（注文区分が「1:逆指値付通常注文」 or 「2:逆指値注文」の場合、必須。）</t>
  </si>
  <si>
    <t>14</t>
  </si>
  <si>
    <t>逆指値条件区分</t>
  </si>
  <si>
    <t>1:以上、2:以下
（注文区分が「1:逆指値付通常注文」 or 「2:逆指値注文」の場合、必須。）</t>
  </si>
  <si>
    <t>15</t>
  </si>
  <si>
    <t>逆指値価格区分</t>
  </si>
  <si>
    <t>0:成行、1:指値
（注文区分が「1:逆指値付通常注文」 or 「2:逆指値注文」の場合、必須。）</t>
  </si>
  <si>
    <t>16</t>
  </si>
  <si>
    <t>逆指値価格</t>
  </si>
  <si>
    <t>逆指値価格を入力。成行の場合は省略。
（注文区分が「1:逆指値付通常注文」 or 「2:逆指値注文」の場合、必須。）</t>
  </si>
  <si>
    <t>17</t>
  </si>
  <si>
    <t>セット注文区分</t>
  </si>
  <si>
    <t>0:通常（予約しない）、1:セット注文（予約する）
（省略時、通常（予約しない））</t>
  </si>
  <si>
    <t>18</t>
  </si>
  <si>
    <t>セット注文価格</t>
  </si>
  <si>
    <t>セット注文価格を入力。
（セット注文区分が「1:セット注文（予約する）」の場合、必須。）</t>
  </si>
  <si>
    <t>19</t>
  </si>
  <si>
    <t>セット注文執行条件</t>
  </si>
  <si>
    <t>1:本日中 2:今週中 3:寄付 4:引け 5:期間指定 6:大引不成 7:不成
※ SOR区分が「1:SOR注文」時、3:寄付 4:引けの選択は不可
（セット注文区分が「1:セット注文（予約する）」の場合、必須。）</t>
  </si>
  <si>
    <t>20</t>
  </si>
  <si>
    <t>セット注文期限</t>
  </si>
  <si>
    <t>セット注文執行条件が「5:期間指定」の場合、必須。</t>
  </si>
  <si>
    <t>1:売り（売建）、3:買い（買建）</t>
  </si>
  <si>
    <t>信用区分</t>
  </si>
  <si>
    <t>1:制度信用（6ヶ月）、2:一般信用（無制限）、3:一般信用（14日）、
4:一般信用（いちにち）</t>
  </si>
  <si>
    <t>0:特定 1:一般</t>
  </si>
  <si>
    <t>セット注文価格区分</t>
  </si>
  <si>
    <t>1:指値 2:値幅指定
（セット注文区分が「1:セット注文（予約する）」の場合、必須。）</t>
  </si>
  <si>
    <t>21</t>
  </si>
  <si>
    <t>22</t>
  </si>
  <si>
    <t>1:売り（売埋）、3:買い（買埋）</t>
  </si>
  <si>
    <t>建日</t>
  </si>
  <si>
    <t>返済建玉の建日を入力。</t>
  </si>
  <si>
    <t>建単価</t>
  </si>
  <si>
    <t>返済建玉の建単価を入力。</t>
  </si>
  <si>
    <t>建市場</t>
  </si>
  <si>
    <t>1:東証、4:JNX、5:JAX、6:Chi-X</t>
  </si>
  <si>
    <t>注文番号</t>
  </si>
  <si>
    <t>訂正対象明細の注文番号を入力。</t>
  </si>
  <si>
    <t>訂正元の注文区分を入力
0:通常注文、1:逆指値付通常注文、2:逆指値注文
訂正元の注文区分を訂正する場合、
3:通常注文⇒逆指値付通常注文、4:逆指値付通常注文⇒通常注文</t>
  </si>
  <si>
    <t>注文数量の訂正時入力。（訂正可否条件あり。）</t>
  </si>
  <si>
    <t>価格区分訂正時、0:成行、1:指値を入力。
（注文区分が「0:通常注文」 or 「1:逆指値付通常注文」 の場合、訂正可能。）</t>
  </si>
  <si>
    <t>注文価格の訂正時入力。
（注文区分が「0:通常注文」 or 「1:逆指値付通常注文」 の場合、訂正可能。）</t>
  </si>
  <si>
    <t>訂正元の執行条件が「2:今週中」「5:期間指定」以外の執行条件は訂正可能。</t>
  </si>
  <si>
    <t>訂正元の執行条件が「5:期間指定」の場合、訂正可能。</t>
  </si>
  <si>
    <t>逆指値条件価格の訂正時入力。
（注文区分が「1:逆指値付通常注文」 or 「2:逆指値注文」の場合、訂正可能。）</t>
  </si>
  <si>
    <t>逆指値条件区分訂正時、1:以上、2:以下を入力。
（注文区分が「1:逆指値付通常注文」 or 「2:逆指値注文」の場合、訂正可能。）</t>
  </si>
  <si>
    <t>逆指値区分訂正時、0:成行、1:指値を入力。
（注文区分が「1:逆指値付通常注文」 or 「2:逆指値注文」の場合、訂正可能。）</t>
  </si>
  <si>
    <t>逆指値価格訂正時入力。
（注文区分が「1:逆指値付通常注文」 or 「2:逆指値注文」の場合、訂正可能。）</t>
  </si>
  <si>
    <t>セット注文価格区分訂正時に入力。1:指値 2:値幅指定</t>
  </si>
  <si>
    <t>セット注文価格を入力。
（セット注文区分が「1:セット注文（予約する）」の場合、訂正可能。）</t>
  </si>
  <si>
    <t>セット注文執行条件は訂正できません。</t>
  </si>
  <si>
    <t>取消対象明細の注文番号を入力。</t>
  </si>
  <si>
    <t>銘柄コード 9桁</t>
  </si>
  <si>
    <t>0:通常注文、1:逆指値付通常注文、2:逆指値注文</t>
  </si>
  <si>
    <t>執行数量条件</t>
  </si>
  <si>
    <t>1:FOK 2:FAK 3:FAS</t>
  </si>
  <si>
    <t>執行時間条件</t>
  </si>
  <si>
    <t>1:当セッション、4:引け、5:期間指定、9:取引最終日</t>
  </si>
  <si>
    <t>執行時間条件が「5:期間指定」の場合、必須。</t>
  </si>
  <si>
    <t>0:通常注文、1:SOR注文（省略時は、「0:通常注文」）</t>
  </si>
  <si>
    <t>1:売り（転売）、3:買い（買戻）</t>
  </si>
  <si>
    <t>転売買戻対象建玉の建日。</t>
  </si>
  <si>
    <t>転売買戻対象建玉の建単価</t>
  </si>
  <si>
    <t>銘柄コード1</t>
  </si>
  <si>
    <t>売買区分1</t>
  </si>
  <si>
    <t>注文区分1</t>
  </si>
  <si>
    <t>0:通常注文</t>
  </si>
  <si>
    <t>注文数量1</t>
  </si>
  <si>
    <t>価格区分1</t>
  </si>
  <si>
    <t>0:成行、1:指値</t>
  </si>
  <si>
    <t>注文価格を入力。成行の場合は省略。</t>
  </si>
  <si>
    <t>執行数量条件1</t>
  </si>
  <si>
    <t>執行時間条件1</t>
  </si>
  <si>
    <t>注文期限1</t>
  </si>
  <si>
    <t>銘柄コード2</t>
  </si>
  <si>
    <t>売買区分2</t>
  </si>
  <si>
    <t>注文区分2</t>
  </si>
  <si>
    <t>注文数量2</t>
  </si>
  <si>
    <t>価格区分2</t>
  </si>
  <si>
    <t>注文価格2</t>
  </si>
  <si>
    <t>執行数量条件2</t>
  </si>
  <si>
    <t>執行時間条件2</t>
  </si>
  <si>
    <t>注文期限2</t>
  </si>
  <si>
    <t>注文価格1</t>
  </si>
  <si>
    <t>建日1</t>
  </si>
  <si>
    <t>建単価1</t>
  </si>
  <si>
    <t>23</t>
  </si>
  <si>
    <t>建日2</t>
  </si>
  <si>
    <t>24</t>
  </si>
  <si>
    <t>建単価2</t>
  </si>
  <si>
    <t>ヘッダー行</t>
  </si>
  <si>
    <t>取得項目が入力されているセル範囲を指定します。
省略時はすべての取得項目を表示します。</t>
  </si>
  <si>
    <t>セル参照</t>
  </si>
  <si>
    <t>注文状況</t>
  </si>
  <si>
    <t>0:全て、1:訂正取消可能注文、2:執行待ち、3:執行中、4:出来有、5:約定、6:取
消中（出来有）、7:取消中（出来無）、8:取消済（出来無）、9:取消済（出来
有）、10:出来ず（出来有）、11:出来ず（出来無）、12:訂正済、13:-（逆指値･ア
ルゴ）
《省略された場合は、「0」として扱います。》</t>
  </si>
  <si>
    <t>注文種類</t>
  </si>
  <si>
    <t>0:全て、1:現物、2:信用
《省略された場合は、「0」として扱います。》</t>
  </si>
  <si>
    <t>数字4桁（or 5桁）
市場コードの指定は不要です。
《省略された場合は、全てとして扱います。》</t>
  </si>
  <si>
    <t>A:全て、0:特定、1:一般、2:NISA、3:旧NISA
《省略された場合は、「A」として扱います。》</t>
  </si>
  <si>
    <t>売買</t>
  </si>
  <si>
    <t>0:全て、1:売、3:買
《省略された場合は、「0」として扱います。》</t>
  </si>
  <si>
    <t>信用取引</t>
  </si>
  <si>
    <t>0:全て、1:信用新規、2:信用返済、3:現引、4:現渡
《省略された場合は、「0」として扱います。》</t>
  </si>
  <si>
    <t>0:全て、1:制度（6ヶ月）、2:一般（無期限）、3:一般（14日）、4:一般（1日）
《省略された場合は、「0」として扱います。》</t>
  </si>
  <si>
    <t>アルゴ注文</t>
  </si>
  <si>
    <t>0:全て、1:アルゴ注文含まず、2:アルゴ注文のみ
《省略された場合は、「0」として扱います。》</t>
  </si>
  <si>
    <t>アルゴ注文種類</t>
  </si>
  <si>
    <t>0:全て、1:アイスバーグ、2:スナイパー、3:トレイリング、4:リザーブ、5:リンク
《省略された場合は、「0」として扱います。》</t>
  </si>
  <si>
    <t>銘柄種類</t>
  </si>
  <si>
    <t>0:全て、F:指数先物全て、C:商品先物全て、N225F:日経225先物、N225MF:日経
225ミニ、MOTF:東証マザーズ指数先物、N225OP:日経225オプション、N225C:日経
225オプション コール、N225P:日経225オプション プット、GOLDF:金、GOLDMINIF:金ミ
ニ、GOLDSPOTF:金スポット、PLATINUMF:白金、PLATINUMMINIF:白金ミニ、
PLATINUMSPOTF:白金スポット、SILVERF:銀、PALLADIUMF:パラジウム、RSS3F:
ゴム(RSS3)、TSR20F:ゴム(TSR20)、REDBEANF:小豆、SOYBEANF:一般大豆、
CORNF:とうもろこし
《省略された場合は、「0」として扱います。》</t>
  </si>
  <si>
    <t>取引種類</t>
  </si>
  <si>
    <t>0:全て、1:売建、2:転売、3:買建、4:買戻、5:ＳＱ決済
《省略された場合は、「0」として扱います。》</t>
  </si>
  <si>
    <t>A:全て、0:特定、1:一般
《省略された場合は、「A」として扱います。》</t>
  </si>
  <si>
    <t>0:全て、1:売建、3:買建
《省略された場合は、「0」として扱います。》</t>
  </si>
  <si>
    <t>直近最終返済日</t>
  </si>
  <si>
    <t>0:全て、1:当日、2:1週間以内、3:1ヶ月以内、4:3ヶ月以内、5:3ヶ月超
《省略された場合は、「0」として扱います。》</t>
  </si>
  <si>
    <t>数字4桁（or 5桁）
市場コードの指定は不要です。</t>
  </si>
  <si>
    <t>注文状況を取得したい発注IDを指定します。</t>
  </si>
  <si>
    <t>数字4桁（5桁）:東証
数字4桁（5桁）.T:東証
数字4桁（5桁）.JAX:JAX
数字4桁（5桁）.JNX:JNX</t>
  </si>
  <si>
    <t>取得項目</t>
  </si>
  <si>
    <t>関数戻り値一覧「取得項目」参照。</t>
  </si>
  <si>
    <t>9桁:国内先物OP
N225.YYYYMM.C:225先物CME
N225.YYYYMM.S:225先物SGX）
※YYYYMMは指定する限月</t>
  </si>
  <si>
    <t>指標コード</t>
  </si>
  <si>
    <t>「指標コード」参照。</t>
  </si>
  <si>
    <t>為替レート</t>
  </si>
  <si>
    <t>商品種類</t>
  </si>
  <si>
    <t>1:国内株式、2:先物OP・指標（先物）、3:指標（指数）、4:為替レート</t>
  </si>
  <si>
    <t>貼り付け方向</t>
  </si>
  <si>
    <t>1:横、2:縦
《省略された場合は、「1」として扱います。》</t>
  </si>
  <si>
    <t>取得項目が入力されているセル範囲を指定します。
省略時はすべての取得項目を自動で表示します。</t>
  </si>
  <si>
    <t>＜国内株式＞
数字4桁（5桁）:東証
数字4桁（5桁）.T:東証
数字4桁（5桁）.JAX:JAX
数字4桁（5桁）.JNX:JNX
＜先物OP＞
9桁:国内先物OP</t>
  </si>
  <si>
    <t>表示本数</t>
  </si>
  <si>
    <t>1～300</t>
  </si>
  <si>
    <t>＜国内株式＞
数字4桁（or 5桁）:東証
数字4桁（or 5桁）.T:東証
数字4桁（or 5桁）.JAX:JAX
数字4桁（or 5桁）.JNX:JNX
＜先物OP＞・9桁:大阪
＜指標＞:指標コード（参照）
＜為替レート＞指標コード（参照）</t>
  </si>
  <si>
    <t>足種</t>
  </si>
  <si>
    <t>T:ティック、1M:1分足、2M:2分足、3M:3分足、4M:4分足、5M:5分足、10M:10
分足、15M:15分足、30M:30分足、60M:60分足、2H:2時間足、4H:4時間足、
8H:8時間足、D:日足、W:週足、M:月足
※商品種類によって対応する足種は「足種」参照。</t>
  </si>
  <si>
    <t>1～3000</t>
  </si>
  <si>
    <t>＜国内株式＞
数字4桁（or 5桁）:東証
数字4桁（or 5桁）.T:東証
数字4桁（or 5桁）.JAX:JAX
数字4桁（or 5桁）.JNX:JNX
＜先物OP＞9桁:大阪
＜指標＞指標コード（参照）</t>
  </si>
  <si>
    <t>D:日足、W:週足、M:月足
※オプションは日足のみ表示</t>
  </si>
  <si>
    <t>開始日</t>
  </si>
  <si>
    <t>取得するチャートの開始日を指定。</t>
  </si>
  <si>
    <t>＜国内株式＞
数字4桁（or 5桁）:東証
数字4桁（or 5桁）.T:東証
数字4桁（or 5桁）.JAX:JAX
数字4桁（or 5桁）.JNX:JNX
＜先物OP＞9桁:大阪
＜指標＞指標コード（参照）
＜為替レート＞指標コード（参照）</t>
  </si>
  <si>
    <t>1M:1分足、2M:2分足、3M:3分足、4M:4分足、5M:5分足、10M:10分足、
15M:15分足、30M:30分足、60M:60分足、2H:2時間足、4H:4時間足、8H:8
時間足、D:日足、W:週足、M:月足
※商品種類によって対応する足種は「足種」参照。</t>
  </si>
  <si>
    <t>1～2000</t>
  </si>
  <si>
    <t>期間1</t>
  </si>
  <si>
    <t>1～999</t>
  </si>
  <si>
    <t>期間2</t>
  </si>
  <si>
    <t>0～999</t>
  </si>
  <si>
    <t>期間3</t>
  </si>
  <si>
    <t>期間4</t>
  </si>
  <si>
    <t>期間5</t>
  </si>
  <si>
    <t>期間6</t>
  </si>
  <si>
    <t>期間7</t>
  </si>
  <si>
    <t>N225F:日経225先物、N225MF:日経225先物ミニ、MOTF:東証マザーズ先物、
N225OP:日経225オプション、TOPXF:TOPIX先物、JN400F:JPX日経400先物、
GOLDF:金、GOLDMINIF:金ミニ、GOLDSPOTF:金スポット、PLATINUMF:白金、
PLATINUMMINIF:白金ミニ、PLATINUMSPOTF:白金スポット、SILVERF:銀、
PALLADIUMF:パラジウム、RSS3F:ゴム(RSS3)、TSR20F:ゴム(TSR20)、
REDBEANF:小豆、SOYBEANF:一般大豆、CORNF:とうもろこし</t>
  </si>
  <si>
    <t>限月</t>
  </si>
  <si>
    <t>21年3月限の場合、「202103」
ウィークリーオプション時、語尾に「#n」を指定します。（例:21年3月限4週「202103#4」）</t>
  </si>
  <si>
    <t>C/P区分</t>
  </si>
  <si>
    <t>1:コール、2:プット（日経225オプション時、必須。）</t>
  </si>
  <si>
    <t>行使価格</t>
  </si>
  <si>
    <t>行使価格を入力します。（日経225オプション時、必須。）</t>
  </si>
  <si>
    <t>関数戻り値</t>
  </si>
  <si>
    <t>戻り値概要</t>
  </si>
  <si>
    <t>ステータス（注文結果）、取得項目</t>
  </si>
  <si>
    <t>表示条件</t>
  </si>
  <si>
    <t>RSS関数を記入したセルに「 = &gt; 」と注文結果、
状態を表すステータスを表示します。
（以下、注文関数は共通のため記載省略）</t>
  </si>
  <si>
    <t>発注ID=xxxx は既に使用済みです。</t>
  </si>
  <si>
    <t>既に使用済みの発注IDを指定した場合</t>
  </si>
  <si>
    <t>待機中</t>
  </si>
  <si>
    <t>発注トリガーがFalse状態の場合</t>
  </si>
  <si>
    <t>発注ロック中（発注を行うには発注機能を有効
にしてください）</t>
  </si>
  <si>
    <t>発注トリガーがTrue状態かつ発注機能がOFFの場合</t>
  </si>
  <si>
    <t>接続待ち</t>
  </si>
  <si>
    <t>発注可能状態で、サーバ未接続の場合</t>
  </si>
  <si>
    <t>応答待ち</t>
  </si>
  <si>
    <t>電文応答待ちの場合</t>
  </si>
  <si>
    <t>キャンセル</t>
  </si>
  <si>
    <t>注文確認画面でキャンセルした場合</t>
  </si>
  <si>
    <t>発注済み(発注ID=xxxx)</t>
  </si>
  <si>
    <t>発注済みの場合</t>
  </si>
  <si>
    <t>引数チェックエラーメッセージ</t>
  </si>
  <si>
    <t>入力引数のチェックのメッセージを表示。
「入力エラー:」＋メッセージの形式で表示する。発注ID
未使用状態。</t>
  </si>
  <si>
    <t>サーバチェックエラーメッセージ</t>
  </si>
  <si>
    <t>サーバチェック時のエラーメッセージを表示。
(マーケットスピード Ⅱ のチェック含む）発注ID使用済状
態。</t>
  </si>
  <si>
    <t>上記に同じ</t>
  </si>
  <si>
    <t>出力形式</t>
  </si>
  <si>
    <t>項目説明</t>
  </si>
  <si>
    <t>受付No</t>
  </si>
  <si>
    <t>受付Noを表示</t>
  </si>
  <si>
    <t>通常注文状況</t>
  </si>
  <si>
    <t>通常注文の注文状況を表示（執行待ち、執行中、出来有、約定、取消中
（出来有）、取消中（出来無）、取消済（出来有）、取消済（出来無）、
出来ず（出来有）、出来ず（出来無）、訂正済）</t>
  </si>
  <si>
    <t>逆指値注文状況</t>
  </si>
  <si>
    <t>逆指値注文の注文状況を表示（受付、待機中、市場執行中、取消済）</t>
  </si>
  <si>
    <t>証券コード協議会で定められた銘柄コードを表示、5桁目が0の場合5桁目を削
除して表示</t>
  </si>
  <si>
    <t>銘柄名称</t>
  </si>
  <si>
    <t>銘柄名称を表示</t>
  </si>
  <si>
    <t>口座区分を表示（一般、特定、NISA、旧NISA）</t>
  </si>
  <si>
    <t>市場名称</t>
  </si>
  <si>
    <t>信用区分を表示（制度、一般）</t>
  </si>
  <si>
    <t>弁済期限</t>
  </si>
  <si>
    <t>弁済期限を表示（6ヶ月、無期限、14日、1日）</t>
  </si>
  <si>
    <t>YYYY/MM/DD HH:MM:SS</t>
  </si>
  <si>
    <t>売買を表示（買付、買建、買埋、売付、売建、売埋）</t>
  </si>
  <si>
    <t>取引</t>
  </si>
  <si>
    <t>YYYYMMDD</t>
  </si>
  <si>
    <t>注文数量を表示</t>
  </si>
  <si>
    <t>約定数量</t>
  </si>
  <si>
    <t>約定数量を表示</t>
  </si>
  <si>
    <t>注文単価</t>
  </si>
  <si>
    <t>注文区分を表示（通常注文、逆指値注文、逆指値付通常注文）</t>
  </si>
  <si>
    <t>逆指値条件</t>
  </si>
  <si>
    <t>逆指値注文の執行条件を表示</t>
  </si>
  <si>
    <t>税区分</t>
  </si>
  <si>
    <t>税区分を表示（申告、源泉あり）</t>
  </si>
  <si>
    <t>25</t>
  </si>
  <si>
    <t>注文失効日時</t>
  </si>
  <si>
    <t>YYYY/MM/DD HH:MM</t>
  </si>
  <si>
    <t>注文失効日時を表示</t>
  </si>
  <si>
    <t>26</t>
  </si>
  <si>
    <t>注文失効理由</t>
  </si>
  <si>
    <t>注文失効理由を表示</t>
  </si>
  <si>
    <t>27</t>
  </si>
  <si>
    <t>入力経路</t>
  </si>
  <si>
    <t>どの入力経路から注文が発注されたかを表示</t>
  </si>
  <si>
    <t>28</t>
  </si>
  <si>
    <t>29</t>
  </si>
  <si>
    <t>30</t>
  </si>
  <si>
    <t>約定日</t>
  </si>
  <si>
    <t>約定日を表示</t>
  </si>
  <si>
    <t>受渡日</t>
  </si>
  <si>
    <t>受渡日を表示</t>
  </si>
  <si>
    <t>市場を表示（東証:東証、JNX:JNX、JAX:JAX）</t>
  </si>
  <si>
    <t>信用区分を表示、信用取引以外「ー」表示（制度、一般）</t>
  </si>
  <si>
    <t>弁済期限を表示、信用取引以外「ー」表示（6ヶ月、無期限、14日、1日）</t>
  </si>
  <si>
    <t>取引内容を表示、信用取引以外「ー」表示（現物、信用新規、信用返済）</t>
  </si>
  <si>
    <t>約定単価</t>
  </si>
  <si>
    <t>約定単価を表示</t>
  </si>
  <si>
    <t>約定代金</t>
  </si>
  <si>
    <t>約定代金を表示</t>
  </si>
  <si>
    <t>特別空売り料(円)</t>
  </si>
  <si>
    <t>特別空売り料を表示、信用取引以外は「－」を表示</t>
  </si>
  <si>
    <t>注文番号を表示</t>
  </si>
  <si>
    <t>証券コード協議会で定められた銘柄コードを表示</t>
  </si>
  <si>
    <t>市場を表示（大阪:大阪取引所）</t>
  </si>
  <si>
    <t>発注・受注日時</t>
  </si>
  <si>
    <t>発注・受注の日時を表示</t>
  </si>
  <si>
    <t>セッション区分</t>
  </si>
  <si>
    <t>どちらのセッションで発注されたかを表示（日中、夜間）</t>
  </si>
  <si>
    <t>取引内容を表示（買建、買埋、売建、売埋）</t>
  </si>
  <si>
    <t>執行数量条件を表示（FAS、FAK、FOK）</t>
  </si>
  <si>
    <t>執行時間条件を表示（当セッション、期間指定、取引最終日、引け）</t>
  </si>
  <si>
    <t>注文単価を表示</t>
  </si>
  <si>
    <t>価格判定時刻</t>
  </si>
  <si>
    <t>SOR有効時の大阪取引所最良気配の判定時刻を表示</t>
  </si>
  <si>
    <t>価格判定情報/対象外理由</t>
  </si>
  <si>
    <t>価格判定時の大阪取引所最良気配/SOR対象外または価格改善対象外理
由を表示</t>
  </si>
  <si>
    <t>最良気配</t>
  </si>
  <si>
    <t>立会外約定時の大阪取引所最良気配を表示</t>
  </si>
  <si>
    <t>価格改善効果</t>
  </si>
  <si>
    <t>大阪取引所最良気配と立会外約定価格との差に取引倍率と約定枚数をそれぞ
れ乗じた額を表示</t>
  </si>
  <si>
    <t>手数料減額</t>
  </si>
  <si>
    <t>1枚あたりの手数料減額分に約定枚数を乗じた額を表示</t>
  </si>
  <si>
    <t>改善効果合計</t>
  </si>
  <si>
    <t>価格改善効果と手数料減額分を加えた改善効果の合計額を表示</t>
  </si>
  <si>
    <t>どちらのセッションで約定したかを表示（日中、夜間）</t>
  </si>
  <si>
    <t>手数料</t>
  </si>
  <si>
    <t>手数料を表示</t>
  </si>
  <si>
    <t>税金</t>
  </si>
  <si>
    <t>税金を表示</t>
  </si>
  <si>
    <t>受渡金額</t>
  </si>
  <si>
    <t>受渡金額を表示</t>
  </si>
  <si>
    <t>保有数量</t>
  </si>
  <si>
    <t>保有数量を表示</t>
  </si>
  <si>
    <t>発注数量</t>
  </si>
  <si>
    <t>発注数量を表示</t>
  </si>
  <si>
    <t>平均取得価額</t>
  </si>
  <si>
    <t>平均取得価額を表示</t>
  </si>
  <si>
    <t>時価</t>
  </si>
  <si>
    <t>時価を表示</t>
  </si>
  <si>
    <t>前日比</t>
  </si>
  <si>
    <t>前日比を表示</t>
  </si>
  <si>
    <t>前日比率</t>
  </si>
  <si>
    <t>前日比率を表示</t>
  </si>
  <si>
    <t>時価評価額</t>
  </si>
  <si>
    <t>時価評価額を表示</t>
  </si>
  <si>
    <t>評価損益額</t>
  </si>
  <si>
    <t>評価損益額を表示</t>
  </si>
  <si>
    <t>評価損益率</t>
  </si>
  <si>
    <t>評価損益率を表示</t>
  </si>
  <si>
    <t>銘柄情報等</t>
  </si>
  <si>
    <t>決算などの銘柄に関する情報を表示</t>
  </si>
  <si>
    <t>JAX時価</t>
  </si>
  <si>
    <t>JAX市場での時価を表示</t>
  </si>
  <si>
    <t>JNX時価</t>
  </si>
  <si>
    <t>JNX市場での時価を表示</t>
  </si>
  <si>
    <t>PER</t>
  </si>
  <si>
    <t>PER（株価収益率）を表示</t>
  </si>
  <si>
    <t>PBR</t>
  </si>
  <si>
    <t>PBR（株価純資産倍率）を表示</t>
  </si>
  <si>
    <t>配当利回り</t>
  </si>
  <si>
    <t>配当利回りを表示</t>
  </si>
  <si>
    <t>口座区分を表示（一般、特定）</t>
  </si>
  <si>
    <t>約定した市場を表示（東証:東証、JNX:JNX、JAX:JAX、Chi-X:Chi-
X）</t>
  </si>
  <si>
    <t>売買を表示（買建、売建）</t>
  </si>
  <si>
    <t>建玉数量</t>
  </si>
  <si>
    <t>建玉数量を表示</t>
  </si>
  <si>
    <t>建値</t>
  </si>
  <si>
    <t>建値を表示</t>
  </si>
  <si>
    <t>建日を表示</t>
  </si>
  <si>
    <t>最終返済日</t>
  </si>
  <si>
    <t>最終返済日を表示</t>
  </si>
  <si>
    <t>保証金率</t>
  </si>
  <si>
    <t>保証金率を表示</t>
  </si>
  <si>
    <t>現金保証金率</t>
  </si>
  <si>
    <t>現金保証金率を表示</t>
  </si>
  <si>
    <t>建単価を表示</t>
  </si>
  <si>
    <t>評価価格</t>
  </si>
  <si>
    <t>評価価格を表示</t>
  </si>
  <si>
    <t>現物買付可能額</t>
  </si>
  <si>
    <t>現物買付可能額を表示</t>
  </si>
  <si>
    <t>信用口座_保証金余裕額</t>
  </si>
  <si>
    <t>保証金余裕額を表示、信用口座未開設は「－」を表示</t>
  </si>
  <si>
    <t>信用口座_信用新規建余力</t>
  </si>
  <si>
    <t>信用新規建余力を表示、信用口座未開設は「－」を表示</t>
  </si>
  <si>
    <t>信用口座_保証金率（新規建）</t>
  </si>
  <si>
    <t>保証金率を表示、信用口座未開設は「－」を表示</t>
  </si>
  <si>
    <t>自動振替含む_保証金余裕額</t>
  </si>
  <si>
    <t>自動振替を含んだ保証金余裕額を表示、信用口座未開設は「－」を表示</t>
  </si>
  <si>
    <t>自動振替含む_信用新規建余力</t>
  </si>
  <si>
    <t>自動振替を含んだ信用新規建余力を表示、信用口座未開設は「－」を表示</t>
  </si>
  <si>
    <t>自動振替含む_保証金率（新規建）</t>
  </si>
  <si>
    <t>自動振替を含んだ保証金率を表示、信用口座未開設は「－」を表示</t>
  </si>
  <si>
    <t>信用新規建余力</t>
  </si>
  <si>
    <t>信用新規建余力を表示</t>
  </si>
  <si>
    <t>保証金率(新規建)</t>
  </si>
  <si>
    <t>保証金率(新規建)を表示</t>
  </si>
  <si>
    <t>保証金率(リアル)</t>
  </si>
  <si>
    <t>保証金率(リアル)を表示</t>
  </si>
  <si>
    <t>証拠金維持率</t>
  </si>
  <si>
    <t>証拠金維持率を表示</t>
  </si>
  <si>
    <t>受入証拠金</t>
  </si>
  <si>
    <t>受入証拠金を表示</t>
  </si>
  <si>
    <t>最低証拠金所要額</t>
  </si>
  <si>
    <t>最低証拠金所要額を表示</t>
  </si>
  <si>
    <t>当社証拠金所要額</t>
  </si>
  <si>
    <t>当社証拠金所要額を表示</t>
  </si>
  <si>
    <t>追証余裕額</t>
  </si>
  <si>
    <t>追証余裕額を表示</t>
  </si>
  <si>
    <t>純資産</t>
  </si>
  <si>
    <t>純資産を表示</t>
  </si>
  <si>
    <t>利用した発注IDを表示</t>
  </si>
  <si>
    <t>利用した発注関数名を表示</t>
  </si>
  <si>
    <t>発注日</t>
  </si>
  <si>
    <t>発注日を表示</t>
  </si>
  <si>
    <t>発注時刻</t>
  </si>
  <si>
    <t>発注時刻を表示</t>
  </si>
  <si>
    <t>注文番号を表示、複数注文/セット注文は「－」表示</t>
  </si>
  <si>
    <t>発注結果</t>
  </si>
  <si>
    <t>注文関数のステータスを表示</t>
  </si>
  <si>
    <t>単項目として指定した発注IDの注文状況を表す
ステータスIDを示します</t>
  </si>
  <si>
    <t>-1</t>
  </si>
  <si>
    <t>該当なし（指定した発注IDから注文明細が取得できない場合）</t>
  </si>
  <si>
    <t>無効（出来ず、取消済等、既に無効な状態）</t>
  </si>
  <si>
    <t>有効（執行中、出来有、待機中等、指定の注文が生きている状態）</t>
  </si>
  <si>
    <t>約定（全数量が約定した状態）</t>
  </si>
  <si>
    <t>指定した銘柄及び取得項目の市場情報を表示し
ます。</t>
  </si>
  <si>
    <t>市場コード</t>
  </si>
  <si>
    <t>市場のコードを表示（T:東証、JAX:JAX、JNX:JNX）</t>
  </si>
  <si>
    <t>市場を表示（東証:東証、JAX:JAX、JNX:JNX）</t>
  </si>
  <si>
    <t>市場部名称</t>
  </si>
  <si>
    <t>部名称を表示（東証P、東証S、東証G、JAX、JNX）</t>
  </si>
  <si>
    <t>市場部略称</t>
  </si>
  <si>
    <t>部名称の略称を表示（東P、東S、東G、JAX、JNX）</t>
  </si>
  <si>
    <t>現在日付</t>
  </si>
  <si>
    <t>YYYY/MM/DD</t>
  </si>
  <si>
    <t>現在日付を表示</t>
  </si>
  <si>
    <t>現在値</t>
  </si>
  <si>
    <t>現在値を表示</t>
  </si>
  <si>
    <t>現在値時刻</t>
  </si>
  <si>
    <t>HH:MM</t>
  </si>
  <si>
    <t>現在値が更新された時刻を表示</t>
  </si>
  <si>
    <t>現在値詳細時刻</t>
  </si>
  <si>
    <t>HH:MM:SS</t>
  </si>
  <si>
    <t>現在値ティック</t>
  </si>
  <si>
    <t>直近約定単価からの値上り・値下がりを表示（↑:値上り、↓:値下がり）</t>
  </si>
  <si>
    <t>現在値フラグ</t>
  </si>
  <si>
    <t>現在値の状態を表示（C:終値引け、*:ザラバ引け、#:一時停止/システム
停止いわゆる坂寄せ/中断、H:ストップ高、L:ストップ安）</t>
  </si>
  <si>
    <t>前日終値</t>
  </si>
  <si>
    <t>前日終値を表示</t>
  </si>
  <si>
    <t>前日日付</t>
  </si>
  <si>
    <t>前日終値が確定した日付を表示</t>
  </si>
  <si>
    <t>前日終値フラグ</t>
  </si>
  <si>
    <t>前日終値の状態を表示（C:終値引け、*:ザラバ引け、A:特別売気配引
け、B:特別買気配引け、#:いわゆる坂寄せ/中断引け、E:最終気配）</t>
  </si>
  <si>
    <t>歩み1</t>
  </si>
  <si>
    <t>直近の歩み値を表示</t>
  </si>
  <si>
    <t>歩み2</t>
  </si>
  <si>
    <t>直近から1つ前の歩み値を表示</t>
  </si>
  <si>
    <t>歩み3</t>
  </si>
  <si>
    <t>直近から2つ前の歩み値を表示</t>
  </si>
  <si>
    <t>歩み4</t>
  </si>
  <si>
    <t>直近から3つ前の歩み値を表示</t>
  </si>
  <si>
    <t>歩み1詳細時刻</t>
  </si>
  <si>
    <t>直近の歩み値の更新された時刻を表示</t>
  </si>
  <si>
    <t>歩み2詳細時刻</t>
  </si>
  <si>
    <t>直近から1つ前の歩み値の更新された時刻を表示</t>
  </si>
  <si>
    <t>歩み3詳細時刻</t>
  </si>
  <si>
    <t>直近から2つ前の歩み値の更新された時刻を表示</t>
  </si>
  <si>
    <t>歩み4詳細時刻</t>
  </si>
  <si>
    <t>直近から3つ前の歩み値の更新された時刻を表示</t>
  </si>
  <si>
    <t>出来高</t>
  </si>
  <si>
    <t>約定出来高を表示</t>
  </si>
  <si>
    <t>売買代金</t>
  </si>
  <si>
    <t>売買代金を表示</t>
  </si>
  <si>
    <t>出来高加重平均</t>
  </si>
  <si>
    <t>出来高加重平均価格を表示</t>
  </si>
  <si>
    <t>時価総額</t>
  </si>
  <si>
    <t>時価総額を表示</t>
  </si>
  <si>
    <t>始値</t>
  </si>
  <si>
    <t>始値を表示</t>
  </si>
  <si>
    <t>31</t>
  </si>
  <si>
    <t>高値</t>
  </si>
  <si>
    <t>高値を表示</t>
  </si>
  <si>
    <t>32</t>
  </si>
  <si>
    <t>安値</t>
  </si>
  <si>
    <t>安値を表示</t>
  </si>
  <si>
    <t>33</t>
  </si>
  <si>
    <t>始値時刻</t>
  </si>
  <si>
    <t>始値が更新された時刻を表示</t>
  </si>
  <si>
    <t>34</t>
  </si>
  <si>
    <t>高値時刻</t>
  </si>
  <si>
    <t>高値が更新された時刻を表示</t>
  </si>
  <si>
    <t>35</t>
  </si>
  <si>
    <t>安値時刻</t>
  </si>
  <si>
    <t>安値が更新された時刻を表示</t>
  </si>
  <si>
    <t>36</t>
  </si>
  <si>
    <t>始値詳細時刻</t>
  </si>
  <si>
    <t>37</t>
  </si>
  <si>
    <t>高値詳細時刻</t>
  </si>
  <si>
    <t>38</t>
  </si>
  <si>
    <t>安値詳細時刻</t>
  </si>
  <si>
    <t>39</t>
  </si>
  <si>
    <t>前場始値</t>
  </si>
  <si>
    <t>前場始値を表示</t>
  </si>
  <si>
    <t>40</t>
  </si>
  <si>
    <t>前場高値</t>
  </si>
  <si>
    <t>前場高値を表示</t>
  </si>
  <si>
    <t>41</t>
  </si>
  <si>
    <t>前場安値</t>
  </si>
  <si>
    <t>前場安値を表示</t>
  </si>
  <si>
    <t>42</t>
  </si>
  <si>
    <t>前場終値</t>
  </si>
  <si>
    <t>前場終値を表示</t>
  </si>
  <si>
    <t>43</t>
  </si>
  <si>
    <t>前場出来高</t>
  </si>
  <si>
    <t>前場の約定出来高を表示</t>
  </si>
  <si>
    <t>44</t>
  </si>
  <si>
    <t>後場始値</t>
  </si>
  <si>
    <t>後場始値を表示</t>
  </si>
  <si>
    <t>45</t>
  </si>
  <si>
    <t>後場高値</t>
  </si>
  <si>
    <t>後場高値を表示</t>
  </si>
  <si>
    <t>46</t>
  </si>
  <si>
    <t>後場安値</t>
  </si>
  <si>
    <t>後場安値を表示</t>
  </si>
  <si>
    <t>47</t>
  </si>
  <si>
    <t>前場始値時刻</t>
  </si>
  <si>
    <t>前場始値が更新された時刻を表示</t>
  </si>
  <si>
    <t>48</t>
  </si>
  <si>
    <t>前場高値時刻</t>
  </si>
  <si>
    <t>前場高値が更新された時刻を表示</t>
  </si>
  <si>
    <t>49</t>
  </si>
  <si>
    <t>前場安値時刻</t>
  </si>
  <si>
    <t>前場安値が更新された時刻を表示</t>
  </si>
  <si>
    <t>50</t>
  </si>
  <si>
    <t>前場終値時刻</t>
  </si>
  <si>
    <t>前場終値が更新された時刻を表示</t>
  </si>
  <si>
    <t>51</t>
  </si>
  <si>
    <t>前場出来高時刻</t>
  </si>
  <si>
    <t>前場約定出来高が更新された時刻を表示</t>
  </si>
  <si>
    <t>52</t>
  </si>
  <si>
    <t>後場始値時刻</t>
  </si>
  <si>
    <t>後場始値が更新された時刻を表示</t>
  </si>
  <si>
    <t>53</t>
  </si>
  <si>
    <t>後場高値時刻</t>
  </si>
  <si>
    <t>後場高値が更新された時刻を表示</t>
  </si>
  <si>
    <t>54</t>
  </si>
  <si>
    <t>後場安値時刻</t>
  </si>
  <si>
    <t>後場安値が更新された時刻を表示</t>
  </si>
  <si>
    <t>55</t>
  </si>
  <si>
    <t>最良売気配値</t>
  </si>
  <si>
    <t>最良売気配の価格を表示</t>
  </si>
  <si>
    <t>56</t>
  </si>
  <si>
    <t>最良買気配値</t>
  </si>
  <si>
    <t>最良買気配の価格を表示</t>
  </si>
  <si>
    <t>57</t>
  </si>
  <si>
    <t>最良売気配数量</t>
  </si>
  <si>
    <t>最良売気配の数量を表示</t>
  </si>
  <si>
    <t>58</t>
  </si>
  <si>
    <t>最良買気配数量</t>
  </si>
  <si>
    <t>最良買気配の数量を表示</t>
  </si>
  <si>
    <t>59</t>
  </si>
  <si>
    <t>最良売気配時刻</t>
  </si>
  <si>
    <t>最良売気配が更新された時刻を表示</t>
  </si>
  <si>
    <t>60</t>
  </si>
  <si>
    <t>最良買気配時刻</t>
  </si>
  <si>
    <t>最良買気配が更新された時刻を表示</t>
  </si>
  <si>
    <t>61</t>
  </si>
  <si>
    <t>最良売気配詳細時刻</t>
  </si>
  <si>
    <t>62</t>
  </si>
  <si>
    <t>最良買気配詳細時刻</t>
  </si>
  <si>
    <t>63</t>
  </si>
  <si>
    <t>特別売気配フラグ</t>
  </si>
  <si>
    <t>特別売気配の際に「S」を表示</t>
  </si>
  <si>
    <t>64</t>
  </si>
  <si>
    <t>特別買気配フラグ</t>
  </si>
  <si>
    <t>特別買気配の際に「S」を表示</t>
  </si>
  <si>
    <t>65</t>
  </si>
  <si>
    <t>信用貸借区分</t>
  </si>
  <si>
    <t>信用貸借区分を表示（1:貸借、2:信用）</t>
  </si>
  <si>
    <t>66</t>
  </si>
  <si>
    <t>逆日歩</t>
  </si>
  <si>
    <t>逆日歩を表示</t>
  </si>
  <si>
    <t>67</t>
  </si>
  <si>
    <t>逆日歩更新日付</t>
  </si>
  <si>
    <t>逆日歩更新日付を表示</t>
  </si>
  <si>
    <t>68</t>
  </si>
  <si>
    <t>信用売残</t>
  </si>
  <si>
    <t>信用売の未決済残高を表示、東証以外は「－」を表示</t>
  </si>
  <si>
    <t>69</t>
  </si>
  <si>
    <t>信用売残前週比</t>
  </si>
  <si>
    <t>信用売残の前週比を表示、東証以外は「－」を表示</t>
  </si>
  <si>
    <t>70</t>
  </si>
  <si>
    <t>信用買残</t>
  </si>
  <si>
    <t>信用買の未決済残高を表示、東証以外は「－」を表示</t>
  </si>
  <si>
    <t>71</t>
  </si>
  <si>
    <t>信用買残前週比</t>
  </si>
  <si>
    <t>信用買残の前週比を表示、東証以外は「－」を表示</t>
  </si>
  <si>
    <t>72</t>
  </si>
  <si>
    <t>信用倍率</t>
  </si>
  <si>
    <t>信用倍率を表示、東証以外は「－」を表示</t>
  </si>
  <si>
    <t>73</t>
  </si>
  <si>
    <t>証金残更新日付</t>
  </si>
  <si>
    <t>証金残の更新日付を表示</t>
  </si>
  <si>
    <t>74</t>
  </si>
  <si>
    <t>新規貸株</t>
  </si>
  <si>
    <t>貸株の新規申込数を表示</t>
  </si>
  <si>
    <t>75</t>
  </si>
  <si>
    <t>新規融資</t>
  </si>
  <si>
    <t>融資の新規申込数を表示</t>
  </si>
  <si>
    <t>76</t>
  </si>
  <si>
    <t>返済貸株</t>
  </si>
  <si>
    <t>貸株の返済申込数を表示</t>
  </si>
  <si>
    <t>77</t>
  </si>
  <si>
    <t>返済融資</t>
  </si>
  <si>
    <t>融資の返済申込数を表示</t>
  </si>
  <si>
    <t>78</t>
  </si>
  <si>
    <t>残高貸株</t>
  </si>
  <si>
    <t>貸株の残高数を表示</t>
  </si>
  <si>
    <t>79</t>
  </si>
  <si>
    <t>残高融資</t>
  </si>
  <si>
    <t>融資の残高数を表示</t>
  </si>
  <si>
    <t>80</t>
  </si>
  <si>
    <t>残高差引</t>
  </si>
  <si>
    <t>残高融資から残高貸株を引いた値を表示</t>
  </si>
  <si>
    <t>81</t>
  </si>
  <si>
    <t>前日比貸株</t>
  </si>
  <si>
    <t>貸株の前日比を表示</t>
  </si>
  <si>
    <t>82</t>
  </si>
  <si>
    <t>前日比融資</t>
  </si>
  <si>
    <t>融資の前日比を表示</t>
  </si>
  <si>
    <t>83</t>
  </si>
  <si>
    <t>前日比差引</t>
  </si>
  <si>
    <t>前日比融資から前日比貸株を引いた値を表示</t>
  </si>
  <si>
    <t>84</t>
  </si>
  <si>
    <t>回転日数</t>
  </si>
  <si>
    <t>回転日数を表示</t>
  </si>
  <si>
    <t>85</t>
  </si>
  <si>
    <t>貸借倍率</t>
  </si>
  <si>
    <t>貸株倍率を表示</t>
  </si>
  <si>
    <t>86</t>
  </si>
  <si>
    <t>最良売気配値1</t>
  </si>
  <si>
    <t>最良気配に1番目に近い売気配値を表示</t>
  </si>
  <si>
    <t>87</t>
  </si>
  <si>
    <t>最良売気配値2</t>
  </si>
  <si>
    <t>最良気配に2番目に近い売気配値を表示</t>
  </si>
  <si>
    <t>88</t>
  </si>
  <si>
    <t>最良売気配値3</t>
  </si>
  <si>
    <t>最良気配に3番目に近い売気配値を表示</t>
  </si>
  <si>
    <t>89</t>
  </si>
  <si>
    <t>最良売気配値4</t>
  </si>
  <si>
    <t>最良気配に4番目に近い売気配値を表示</t>
  </si>
  <si>
    <t>90</t>
  </si>
  <si>
    <t>最良売気配値5</t>
  </si>
  <si>
    <t>最良気配に5番目に近い売気配値を表示</t>
  </si>
  <si>
    <t>91</t>
  </si>
  <si>
    <t>最良売気配値6</t>
  </si>
  <si>
    <t>最良気配に6番目に近い売気配値を表示</t>
  </si>
  <si>
    <t>92</t>
  </si>
  <si>
    <t>最良売気配値7</t>
  </si>
  <si>
    <t>最良気配に7番目に近い売気配値を表示</t>
  </si>
  <si>
    <t>93</t>
  </si>
  <si>
    <t>最良売気配値8</t>
  </si>
  <si>
    <t>最良気配に8番目に近い売気配値を表示</t>
  </si>
  <si>
    <t>94</t>
  </si>
  <si>
    <t>最良売気配値9</t>
  </si>
  <si>
    <t>最良気配に9番目に近い売気配値を表示</t>
  </si>
  <si>
    <t>95</t>
  </si>
  <si>
    <t>最良売気配値10</t>
  </si>
  <si>
    <t>最良気配に10番目に近い売気配値を表示</t>
  </si>
  <si>
    <t>96</t>
  </si>
  <si>
    <t>最良買気配値1</t>
  </si>
  <si>
    <t>最良気配に1番目に近い買気配値を表示</t>
  </si>
  <si>
    <t>97</t>
  </si>
  <si>
    <t>最良買気配値2</t>
  </si>
  <si>
    <t>最良気配に2番目に近い買気配値を表示</t>
  </si>
  <si>
    <t>98</t>
  </si>
  <si>
    <t>最良買気配値3</t>
  </si>
  <si>
    <t>最良気配に3番目に近い買気配値を表示</t>
  </si>
  <si>
    <t>99</t>
  </si>
  <si>
    <t>最良買気配値4</t>
  </si>
  <si>
    <t>最良気配に4番目に近い買気配値を表示</t>
  </si>
  <si>
    <t>100</t>
  </si>
  <si>
    <t>最良買気配値5</t>
  </si>
  <si>
    <t>最良気配に5番目に近い買気配値を表示</t>
  </si>
  <si>
    <t>101</t>
  </si>
  <si>
    <t>最良買気配値6</t>
  </si>
  <si>
    <t>最良気配に6番目に近い買気配値を表示</t>
  </si>
  <si>
    <t>102</t>
  </si>
  <si>
    <t>最良買気配値7</t>
  </si>
  <si>
    <t>最良気配に7番目に近い買気配値を表示</t>
  </si>
  <si>
    <t>103</t>
  </si>
  <si>
    <t>最良買気配値8</t>
  </si>
  <si>
    <t>最良気配に8番目に近い買気配値を表示</t>
  </si>
  <si>
    <t>104</t>
  </si>
  <si>
    <t>最良買気配値9</t>
  </si>
  <si>
    <t>最良気配に9番目に近い買気配値を表示</t>
  </si>
  <si>
    <t>105</t>
  </si>
  <si>
    <t>最良買気配値10</t>
  </si>
  <si>
    <t>最良気配に10番目に近い買気配値を表示</t>
  </si>
  <si>
    <t>106</t>
  </si>
  <si>
    <t>最良売気配数量1</t>
  </si>
  <si>
    <t>最良気配に1番目に近い売気配数量を表示</t>
  </si>
  <si>
    <t>107</t>
  </si>
  <si>
    <t>最良売気配数量2</t>
  </si>
  <si>
    <t>最良気配に2番目に近い売気配数量を表示</t>
  </si>
  <si>
    <t>108</t>
  </si>
  <si>
    <t>最良売気配数量3</t>
  </si>
  <si>
    <t>最良気配に3番目に近い売気配数量を表示</t>
  </si>
  <si>
    <t>109</t>
  </si>
  <si>
    <t>最良売気配数量4</t>
  </si>
  <si>
    <t>最良気配に4番目に近い売気配数量を表示</t>
  </si>
  <si>
    <t>110</t>
  </si>
  <si>
    <t>最良売気配数量5</t>
  </si>
  <si>
    <t>最良気配に5番目に近い売気配数量を表示</t>
  </si>
  <si>
    <t>111</t>
  </si>
  <si>
    <t>最良売気配数量6</t>
  </si>
  <si>
    <t>最良気配に6番目に近い売気配数量を表示</t>
  </si>
  <si>
    <t>112</t>
  </si>
  <si>
    <t>最良売気配数量7</t>
  </si>
  <si>
    <t>最良気配に7番目に近い売気配数量を表示</t>
  </si>
  <si>
    <t>113</t>
  </si>
  <si>
    <t>最良売気配数量8</t>
  </si>
  <si>
    <t>最良気配に8番目に近い売気配数量を表示</t>
  </si>
  <si>
    <t>114</t>
  </si>
  <si>
    <t>最良売気配数量9</t>
  </si>
  <si>
    <t>最良気配に9番目に近い売気配数量を表示</t>
  </si>
  <si>
    <t>115</t>
  </si>
  <si>
    <t>最良売気配数量10</t>
  </si>
  <si>
    <t>最良気配に10番目に近い売気配数量を表示</t>
  </si>
  <si>
    <t>116</t>
  </si>
  <si>
    <t>最良買気配数量1</t>
  </si>
  <si>
    <t>最良気配に1番目に近い買気配数量を表示</t>
  </si>
  <si>
    <t>117</t>
  </si>
  <si>
    <t>最良買気配数量2</t>
  </si>
  <si>
    <t>最良気配に2番目に近い買気配数量を表示</t>
  </si>
  <si>
    <t>118</t>
  </si>
  <si>
    <t>最良買気配数量3</t>
  </si>
  <si>
    <t>最良気配に3番目に近い買気配数量を表示</t>
  </si>
  <si>
    <t>119</t>
  </si>
  <si>
    <t>最良買気配数量4</t>
  </si>
  <si>
    <t>最良気配に4番目に近い買気配数量を表示</t>
  </si>
  <si>
    <t>120</t>
  </si>
  <si>
    <t>最良買気配数量5</t>
  </si>
  <si>
    <t>最良気配に5番目に近い買気配数量を表示</t>
  </si>
  <si>
    <t>121</t>
  </si>
  <si>
    <t>最良買気配数量6</t>
  </si>
  <si>
    <t>最良気配に6番目に近い買気配数量を表示</t>
  </si>
  <si>
    <t>122</t>
  </si>
  <si>
    <t>最良買気配数量7</t>
  </si>
  <si>
    <t>最良気配に7番目に近い買気配数量を表示</t>
  </si>
  <si>
    <t>123</t>
  </si>
  <si>
    <t>最良買気配数量8</t>
  </si>
  <si>
    <t>最良気配に8番目に近い買気配数量を表示</t>
  </si>
  <si>
    <t>124</t>
  </si>
  <si>
    <t>最良買気配数量9</t>
  </si>
  <si>
    <t>最良気配に9番目に近い買気配数量を表示</t>
  </si>
  <si>
    <t>125</t>
  </si>
  <si>
    <t>最良買気配数量10</t>
  </si>
  <si>
    <t>最良気配に10番目に近い買気配数量を表示</t>
  </si>
  <si>
    <t>126</t>
  </si>
  <si>
    <t>売成行数量</t>
  </si>
  <si>
    <t>売成行数量を表示</t>
  </si>
  <si>
    <t>127</t>
  </si>
  <si>
    <t>買成行数量</t>
  </si>
  <si>
    <t>買成行数量を表示</t>
  </si>
  <si>
    <t>128</t>
  </si>
  <si>
    <t>OVER気配数量</t>
  </si>
  <si>
    <t>OVER気配数量を表示</t>
  </si>
  <si>
    <t>129</t>
  </si>
  <si>
    <t>UNDER気配数量</t>
  </si>
  <si>
    <t>UNDER気配数量を表示</t>
  </si>
  <si>
    <t>130</t>
  </si>
  <si>
    <t>単位株数</t>
  </si>
  <si>
    <t>単位株数を表示</t>
  </si>
  <si>
    <t>131</t>
  </si>
  <si>
    <t>配当</t>
  </si>
  <si>
    <t>配当を表示</t>
  </si>
  <si>
    <t>132</t>
  </si>
  <si>
    <t>配当落日</t>
  </si>
  <si>
    <t>配当落日を表示</t>
  </si>
  <si>
    <t>133</t>
  </si>
  <si>
    <t>中配落日</t>
  </si>
  <si>
    <t>中配落日を表示</t>
  </si>
  <si>
    <t>134</t>
  </si>
  <si>
    <t>権利落日</t>
  </si>
  <si>
    <t>権利落日を表示</t>
  </si>
  <si>
    <t>135</t>
  </si>
  <si>
    <t>決算発表日</t>
  </si>
  <si>
    <t>決算発表日を表示</t>
  </si>
  <si>
    <t>136</t>
  </si>
  <si>
    <t>137</t>
  </si>
  <si>
    <t>138</t>
  </si>
  <si>
    <t>当日基準値</t>
  </si>
  <si>
    <t>当日基準値を表示</t>
  </si>
  <si>
    <t>139</t>
  </si>
  <si>
    <t>年初来高値</t>
  </si>
  <si>
    <t>年初来高値を表示</t>
  </si>
  <si>
    <t>140</t>
  </si>
  <si>
    <t>年初来安値</t>
  </si>
  <si>
    <t>年初来安値を表示</t>
  </si>
  <si>
    <t>141</t>
  </si>
  <si>
    <t>年初来高値日付</t>
  </si>
  <si>
    <t>年初来高値の更新日付を表示</t>
  </si>
  <si>
    <t>142</t>
  </si>
  <si>
    <t>年初来安値日付</t>
  </si>
  <si>
    <t>年初来安値の更新日付を表示</t>
  </si>
  <si>
    <t>143</t>
  </si>
  <si>
    <t>上場来高値</t>
  </si>
  <si>
    <t>上場来高値を表示</t>
  </si>
  <si>
    <t>144</t>
  </si>
  <si>
    <t>上場来安値</t>
  </si>
  <si>
    <t>上場来安値を表示</t>
  </si>
  <si>
    <t>145</t>
  </si>
  <si>
    <t>上場来高値日付</t>
  </si>
  <si>
    <t>上場来高値の更新日付を表示</t>
  </si>
  <si>
    <t>146</t>
  </si>
  <si>
    <t>上場来安値日付</t>
  </si>
  <si>
    <t>上場来安値の更新日付を表示</t>
  </si>
  <si>
    <t>147</t>
  </si>
  <si>
    <t>貸株金利</t>
  </si>
  <si>
    <t>貸株金利を表示</t>
  </si>
  <si>
    <t>148</t>
  </si>
  <si>
    <t>貸株金利適用日</t>
  </si>
  <si>
    <t>貸株金利適用日を表示</t>
  </si>
  <si>
    <t>指定した銘柄及び取得項目の市況情報を表示し
ます。</t>
  </si>
  <si>
    <t>市場のコードを表示（OS:大証、C:CME、S:SGX）</t>
  </si>
  <si>
    <t>YYMM</t>
  </si>
  <si>
    <t>限月を表示</t>
  </si>
  <si>
    <t>CP区分</t>
  </si>
  <si>
    <t>コール/プット区分を表示、国内先物/海外先物は「－」を表示（C :コール、
P:プット）</t>
  </si>
  <si>
    <t>権利行使価格</t>
  </si>
  <si>
    <t>権利行使価格を表示、国内先物/海外先物は「－」を表示</t>
  </si>
  <si>
    <t>市場を表示（大阪:大阪取引所、XCME:CME、XSIM:SGX）</t>
  </si>
  <si>
    <t>現在値が更新された時刻を表示、海外先物は「－」を表示</t>
  </si>
  <si>
    <t>現在値の状態を表示、海外先物は「－」を表示（C:終値引け、*:ザラバ引
け、#:一時停止/システム停止いわゆる坂寄せ/中断、H:ストップ高、L:ス
トップ安）</t>
  </si>
  <si>
    <t>前日終値の状態を表示、海外先物は「－」を表示（C:終値引け、*:ザラバ
引け、A:特別売気配引け、B:特別買気配引け、#:いわゆる坂寄せ/中断
引け、E:最終気配）</t>
  </si>
  <si>
    <t>建玉</t>
  </si>
  <si>
    <t>建玉数を表示</t>
  </si>
  <si>
    <t>建玉日付</t>
  </si>
  <si>
    <t>建玉日付を表示、海外先物は「－」を表示</t>
  </si>
  <si>
    <t>建玉前日比</t>
  </si>
  <si>
    <t>建玉数の前日比を表示</t>
  </si>
  <si>
    <t>歩み1時刻</t>
  </si>
  <si>
    <t>歩み2時刻</t>
  </si>
  <si>
    <t>歩み3時刻</t>
  </si>
  <si>
    <t>歩み4時刻</t>
  </si>
  <si>
    <t>直近の歩み値の更新された時刻を表示、海外先物は「－」を表示</t>
  </si>
  <si>
    <t>直近から1つ前の歩み値の更新された時刻を表示、海外先物は「－」を表示</t>
  </si>
  <si>
    <t>直近から2つ前の歩み値の更新された時刻を表示、海外先物は「－」を表示</t>
  </si>
  <si>
    <t>直近から3つ前の歩み値の更新された時刻を表示、海外先物は「－」を表示</t>
  </si>
  <si>
    <t>売買代金を表示、海外先物は「－」を表示</t>
  </si>
  <si>
    <t>出来高加重平均価格を表示、海外先物は「－」を表示</t>
  </si>
  <si>
    <t>ＩＶ</t>
  </si>
  <si>
    <t>インプライドボラティリティを表示、国内先物、海外先物は「－」を表示</t>
  </si>
  <si>
    <t>デルタ</t>
  </si>
  <si>
    <t>原資産が1円変動した場合のオプション価格の変化率を表示、国内先物、海外
先物は「－」を表示</t>
  </si>
  <si>
    <t>ガンマ</t>
  </si>
  <si>
    <t>原資産価格が1円変化した場合のデルタの変化率を表示、国内先物、海外先
物は「－」を表示</t>
  </si>
  <si>
    <t>ベガ</t>
  </si>
  <si>
    <t>IVが1％変化した場合のオプション価格の変化率を表示、国内先物、海外先物
は「－」を表示</t>
  </si>
  <si>
    <t>セータ</t>
  </si>
  <si>
    <t>残存期間が短くなった場合どの程度オプション価格に変化が現れるかを表示、国
内先物/海外先物は「－」を表示</t>
  </si>
  <si>
    <t>ロー</t>
  </si>
  <si>
    <t>金利が1％変化した場合のオプション価格変化額を表示、国内先物/海外先物
は「－」を表示</t>
  </si>
  <si>
    <t>始値が更新された時刻を表示、海外先物は「－」を表示</t>
  </si>
  <si>
    <t>高値が更新された時刻を表示、海外先物は「－」を表示</t>
  </si>
  <si>
    <t>安値が更新された時刻を表示、海外先物は「－」を表示</t>
  </si>
  <si>
    <t>日中始値</t>
  </si>
  <si>
    <t>デイセッションの始値を表示、海外先物は「－」を表示</t>
  </si>
  <si>
    <t>日中高値</t>
  </si>
  <si>
    <t>デイセッションの高値を表示、海外先物は「－」を表示</t>
  </si>
  <si>
    <t>日中安値</t>
  </si>
  <si>
    <t>デイセッションの安値を表示、海外先物は「－」を表示</t>
  </si>
  <si>
    <t>日中始値時刻</t>
  </si>
  <si>
    <t>デイセッションの始値が更新された時刻を表示、海外先物は「－」を表示</t>
  </si>
  <si>
    <t>日中高値時刻</t>
  </si>
  <si>
    <t>デイセッションの高値が更新された時刻を表示、海外先物は「－」を表示</t>
  </si>
  <si>
    <t>日中安値時刻</t>
  </si>
  <si>
    <t>デイセッションの安値が更新された時刻を表示、海外先物は「－」を表示</t>
  </si>
  <si>
    <t>夕場始値</t>
  </si>
  <si>
    <t>ナイトセッションの始値を表示、海外先物は「－」を表示</t>
  </si>
  <si>
    <t>夕場高値</t>
  </si>
  <si>
    <t>ナイトセッションの高値を表示、海外先物は「－」を表示</t>
  </si>
  <si>
    <t>夕場安値</t>
  </si>
  <si>
    <t>ナイトセッションの安値を表示、海外先物は「－」を表示</t>
  </si>
  <si>
    <t>夕場終値</t>
  </si>
  <si>
    <t>ナイトセッションの終値を表示、海外先物は「－」を表示</t>
  </si>
  <si>
    <t>夕場出来高</t>
  </si>
  <si>
    <t>ナイトセッションの出来高を表示、海外先物は「－」を表示</t>
  </si>
  <si>
    <t>夕場始値時刻</t>
  </si>
  <si>
    <t>ナイトセッションの始値が更新された時刻を表示、海外先物は「－」を表示</t>
  </si>
  <si>
    <t>夕場高値時刻</t>
  </si>
  <si>
    <t>ナイトセッションの高値が更新された時刻を表示、海外先物は「－」を表示</t>
  </si>
  <si>
    <t>夕場安値時刻</t>
  </si>
  <si>
    <t>ナイトセッションの安値が更新された時刻を表示、海外先物は「－」を表示</t>
  </si>
  <si>
    <t>夕場終値時刻</t>
  </si>
  <si>
    <t>ナイトセッションの終値が更新された時刻を表示、海外先物は「－」を表示</t>
  </si>
  <si>
    <t>夕場出来高時刻</t>
  </si>
  <si>
    <t>ナイトセッションの出来高が更新された時刻を表示、海外先物は「－」を表示</t>
  </si>
  <si>
    <t>最良気配に1番目に近い売気配値を表示、海外先物は「－」を表示</t>
  </si>
  <si>
    <t>最良気配に2番目に近い売気配値を表示、海外先物は「－」を表示</t>
  </si>
  <si>
    <t>最良気配に3番目に近い売気配値を表示、海外先物は「－」を表示</t>
  </si>
  <si>
    <t>最良気配に4番目に近い売気配値を表示、海外先物は「－」を表示</t>
  </si>
  <si>
    <t>最良気配に5番目に近い売気配値を表示、海外先物は「－」を表示</t>
  </si>
  <si>
    <t>最良気配に6番目に近い売気配値を表示、海外先物は「－」を表示</t>
  </si>
  <si>
    <t>最良気配に7番目に近い売気配値を表示、海外先物は「－」を表示</t>
  </si>
  <si>
    <t>最良気配に8番目に近い売気配値を表示、海外先物は「－」を表示</t>
  </si>
  <si>
    <t>最良気配に9番目に近い売気配値を表示、海外先物は「－」を表示</t>
  </si>
  <si>
    <t>最良気配に10番目に近い売気配値を表示、海外先物は「－」を表示</t>
  </si>
  <si>
    <t>最良気配に1番目に近い買気配値を表示、海外先物は「－」を表示</t>
  </si>
  <si>
    <t>最良気配に2番目に近い買気配値を表示、海外先物は「－」を表示</t>
  </si>
  <si>
    <t>最良気配に3番目に近い買気配値を表示、海外先物は「－」を表示</t>
  </si>
  <si>
    <t>最良気配に4番目に近い買気配値を表示、海外先物は「－」を表示</t>
  </si>
  <si>
    <t>最良気配に5番目に近い買気配値を表示、海外先物は「－」を表示</t>
  </si>
  <si>
    <t>最良気配に6番目に近い買気配値を表示、海外先物は「－」を表示</t>
  </si>
  <si>
    <t>最良気配に7番目に近い買気配値を表示、海外先物は「－」を表示</t>
  </si>
  <si>
    <t>最良気配に8番目に近い買気配値を表示、海外先物は「－」を表示</t>
  </si>
  <si>
    <t>最良気配に9番目に近い買気配値を表示、海外先物は「－」を表示</t>
  </si>
  <si>
    <t>最良気配に10番目に近い買気配値を表示、海外先物は「－」を表示</t>
  </si>
  <si>
    <t>最良気配に1番目に近い売気配数量を表示、海外先物は「－」を表示</t>
  </si>
  <si>
    <t>最良気配に2番目に近い売気配数量を表示、海外先物は「－」を表示</t>
  </si>
  <si>
    <t>最良気配に3番目に近い売気配数量を表示、海外先物は「－」を表示</t>
  </si>
  <si>
    <t>最良気配に4番目に近い売気配数量を表示、海外先物は「－」を表示</t>
  </si>
  <si>
    <t>最良気配に5番目に近い売気配数量を表示、海外先物は「－」を表示</t>
  </si>
  <si>
    <t>最良気配に6番目に近い売気配数量を表示、海外先物は「－」を表示</t>
  </si>
  <si>
    <t>最良気配に7番目に近い売気配数量を表示、海外先物は「－」を表示</t>
  </si>
  <si>
    <t>最良気配に8番目に近い売気配数量を表示、海外先物は「－」を表示</t>
  </si>
  <si>
    <t>最良気配に9番目に近い売気配数量を表示、海外先物は「－」を表示</t>
  </si>
  <si>
    <t>最良気配に10番目に近い売気配数量を表示、海外先物は「－」を表示</t>
  </si>
  <si>
    <t>最良気配に1番目に近い買気配数量を表示、海外先物は「－」を表示</t>
  </si>
  <si>
    <t>最良気配に2番目に近い買気配数量を表示、海外先物は「－」を表示</t>
  </si>
  <si>
    <t>最良気配に3番目に近い買気配数量を表示、海外先物は「－」を表示</t>
  </si>
  <si>
    <t>最良気配に4番目に近い買気配数量を表示、海外先物は「－」を表示</t>
  </si>
  <si>
    <t>最良気配に5番目に近い買気配数量を表示、海外先物は「－」を表示</t>
  </si>
  <si>
    <t>最良気配に6番目に近い買気配数量を表示、海外先物は「－」を表示</t>
  </si>
  <si>
    <t>最良気配に7番目に近い買気配数量を表示、海外先物は「－」を表示</t>
  </si>
  <si>
    <t>最良気配に8番目に近い買気配数量を表示、海外先物は「－」を表示</t>
  </si>
  <si>
    <t>最良気配に9番目に近い買気配数量を表示、海外先物は「－」を表示</t>
  </si>
  <si>
    <t>最良気配に10番目に近い買気配数量を表示、海外先物は「－」を表示</t>
  </si>
  <si>
    <t>売買最終日</t>
  </si>
  <si>
    <t>取引最終日を表示</t>
  </si>
  <si>
    <t>残存日数</t>
  </si>
  <si>
    <t>満期日までの残り日数を表示、海外先物は「－」を表示</t>
  </si>
  <si>
    <t>当社最終決済日</t>
  </si>
  <si>
    <t>当社の定める最終決済日を表示、オプションは「－」を表示</t>
  </si>
  <si>
    <t>サイズ</t>
  </si>
  <si>
    <t>取引単位を表示</t>
  </si>
  <si>
    <t>清算値</t>
  </si>
  <si>
    <t>清算値を表示</t>
  </si>
  <si>
    <t>前SQ</t>
  </si>
  <si>
    <t>前SQの精算値を表示、オプション/海外先物は「－」を表示</t>
  </si>
  <si>
    <t>限月高値</t>
  </si>
  <si>
    <t>取引開始以降の高値を表示</t>
  </si>
  <si>
    <t>限月安値</t>
  </si>
  <si>
    <t>取引開始以降の安値を表示</t>
  </si>
  <si>
    <t>限月高値日付</t>
  </si>
  <si>
    <t>取引開始以降の高値の更新日付を表示、海外先物は「－」を表示</t>
  </si>
  <si>
    <t>限月安値日付</t>
  </si>
  <si>
    <t>取引開始以降の安値の更新日付を表示、海外先物は「－」を表示</t>
  </si>
  <si>
    <t>サーキットブレーカー</t>
  </si>
  <si>
    <t>取引中断の理由が即時約定可能値幅に基づく中断かサーキットブレーカーによる
中断かを表示、海外先物は「－」を表示（0:取引中、1:DCBにて中断、
2:SCBにて中断）</t>
  </si>
  <si>
    <t>指標コードを表示</t>
  </si>
  <si>
    <t>指標名称</t>
  </si>
  <si>
    <t>指標名証を表示</t>
  </si>
  <si>
    <t>更新時刻</t>
  </si>
  <si>
    <t>データ更新時刻を表示</t>
  </si>
  <si>
    <t>↑:上昇、↓:下降</t>
  </si>
  <si>
    <t>直近単価からの値上り・値下がりを表示（↑:値上り、↓:値下がり）</t>
  </si>
  <si>
    <t>始値が更新された時刻を表示、外国指標は「－」を表示</t>
  </si>
  <si>
    <t>高値が更新された時刻を表示、外国指標は「－」を表示</t>
  </si>
  <si>
    <t>安値が更新された時刻を表示、外国指標は「－」を表示</t>
  </si>
  <si>
    <t>約定出来高を表示、外国指標は「－」を表示</t>
  </si>
  <si>
    <t>売買代金を表示、外国指標は「－」を表示</t>
  </si>
  <si>
    <t>前年最高値</t>
  </si>
  <si>
    <t>前年の最高値を表示</t>
  </si>
  <si>
    <t>前年最安値</t>
  </si>
  <si>
    <t>前年の最安値を表示</t>
  </si>
  <si>
    <t>前年終値</t>
  </si>
  <si>
    <t>前年の終値を表示</t>
  </si>
  <si>
    <t>通貨コード1</t>
  </si>
  <si>
    <t>通貨コードを表示</t>
  </si>
  <si>
    <t>通貨コード2</t>
  </si>
  <si>
    <t>通貨名称1</t>
  </si>
  <si>
    <t>通貨名証を表示</t>
  </si>
  <si>
    <t>通貨名称2</t>
  </si>
  <si>
    <t>現在値(Bid)</t>
  </si>
  <si>
    <t>現在の売りレートが表示</t>
  </si>
  <si>
    <t>現在値(Ask)</t>
  </si>
  <si>
    <t>現在の買いレートが表示</t>
  </si>
  <si>
    <t>現在値更新日時</t>
  </si>
  <si>
    <t>YY/MM/DD HH:MM</t>
  </si>
  <si>
    <t>前日比(Bid)</t>
  </si>
  <si>
    <t>売りレートの前日比を表示</t>
  </si>
  <si>
    <t>前日終値(Bid)</t>
  </si>
  <si>
    <t>売りレートの前日終値を表示</t>
  </si>
  <si>
    <t>始値(Bid)</t>
  </si>
  <si>
    <t>売りレートの始値を表示</t>
  </si>
  <si>
    <t>高値(Bid)</t>
  </si>
  <si>
    <t>売りレートの高値を表示</t>
  </si>
  <si>
    <t>高値更新時刻(Bid)</t>
  </si>
  <si>
    <t>売りレートの高値が更新された時刻を表示</t>
  </si>
  <si>
    <t>安値(Bid)</t>
  </si>
  <si>
    <t>売りレートの安値を表示</t>
  </si>
  <si>
    <t>安値更新時刻(Bid)</t>
  </si>
  <si>
    <t>売りレートの安値が更新された時刻を表示</t>
  </si>
  <si>
    <t>前日比(Ask)</t>
  </si>
  <si>
    <t>買いレートの前日比を表示</t>
  </si>
  <si>
    <t>前日終値(Ask)</t>
  </si>
  <si>
    <t>買いレートの前日終値を表示</t>
  </si>
  <si>
    <t>始値(Ask)</t>
  </si>
  <si>
    <t>買いレートの始値を表示</t>
  </si>
  <si>
    <t>高値(Ask)</t>
  </si>
  <si>
    <t>買いレートの高値を表示</t>
  </si>
  <si>
    <t>高値更新時刻(Ask)</t>
  </si>
  <si>
    <t>買いレートの高値が更新された時刻を表示</t>
  </si>
  <si>
    <t>安値(Ask)</t>
  </si>
  <si>
    <t>買いレートの安値を表示</t>
  </si>
  <si>
    <t>安値更新時刻(Ask)</t>
  </si>
  <si>
    <t>買いレートの安値が更新された時刻を表示</t>
  </si>
  <si>
    <t>指定した商品種類の取得項目リストをヘッダーとし
て表示します。貼り付け方向を指定する場合は縦
横の向きで表示します。</t>
  </si>
  <si>
    <t>商品区分に応じた全項目</t>
  </si>
  <si>
    <t>各関数の取得項目ラベルを表示する</t>
  </si>
  <si>
    <t>指定した銘柄の歩み値情報を一覧表示します。</t>
  </si>
  <si>
    <t>時刻</t>
  </si>
  <si>
    <t>約定時の時刻を表示</t>
  </si>
  <si>
    <t>約定した出来高を表示</t>
  </si>
  <si>
    <t>約定値</t>
  </si>
  <si>
    <t>約定値を表示</t>
  </si>
  <si>
    <t>指定した銘柄の信用取引情報を一覧表示しま
す。</t>
  </si>
  <si>
    <t>売建可能数量</t>
  </si>
  <si>
    <t>売建可能数量を表示</t>
  </si>
  <si>
    <t>特別空売り料</t>
  </si>
  <si>
    <t>特別空売り料を表示</t>
  </si>
  <si>
    <t>特別空売り料適用日</t>
  </si>
  <si>
    <t>特別空売り料適用日を表示</t>
  </si>
  <si>
    <t>制度_買建</t>
  </si>
  <si>
    <t>制度信用の買建が可能かどうかを表示（1:可、0:不可）</t>
  </si>
  <si>
    <t>制度_売建</t>
  </si>
  <si>
    <t>制度信用の売建が可能かどうかを表示（1:可、0:不可）</t>
  </si>
  <si>
    <t>一般_1日_買建</t>
  </si>
  <si>
    <t>一般信用（1日）の買建が可能かどうかを表示（1:可、0:不可）</t>
  </si>
  <si>
    <t>一般_1日_売建</t>
  </si>
  <si>
    <t>一般信用（1日）の売建が可能かどうかを表示（1:可、0:不可）</t>
  </si>
  <si>
    <t>一般_短期_買建</t>
  </si>
  <si>
    <t>一般信用（14日）の買建が可能かどうかを表示（1:可、0:不可）</t>
  </si>
  <si>
    <t>一般_短期_売建</t>
  </si>
  <si>
    <t>一般信用（14日）の売建が可能かどうかを表示（1:可、0:不可）</t>
  </si>
  <si>
    <t>一般_無期限_買建</t>
  </si>
  <si>
    <t>一般信用（無期限）の買建が可能かどうかを表示（1:可、0:不可）</t>
  </si>
  <si>
    <t>一般_無期限_売建</t>
  </si>
  <si>
    <t>一般信用（無期限）の売建が可能かどうかを表示（1:可、0:不可）</t>
  </si>
  <si>
    <t>信用貸株金利</t>
  </si>
  <si>
    <t>信用貸株金利を表示</t>
  </si>
  <si>
    <t>信用貸株金利適用日</t>
  </si>
  <si>
    <t>信用貸株金利適用日を表示</t>
  </si>
  <si>
    <t>指定した銘柄の証拠金情報を一覧表示します。</t>
  </si>
  <si>
    <t>商品種類を表示</t>
  </si>
  <si>
    <t>SPAN証拠金額</t>
  </si>
  <si>
    <t>SPAN証拠金額を表示</t>
  </si>
  <si>
    <t>SPAN証拠金額掛目</t>
  </si>
  <si>
    <t>SPAN証拠金額掛目を表示</t>
  </si>
  <si>
    <t>当社SPAN証拠金額</t>
  </si>
  <si>
    <t>当社SPAN証拠金額を表示</t>
  </si>
  <si>
    <t>結果は各取得項目セルの1つ下のセル（2行
目）を起点に一覧として表示する。
1行目 関数
2行目 取得項目
3行目 取得データ</t>
  </si>
  <si>
    <t>市場を表示（東証:東証、JAX:JAX、JNX:JNX、大阪:大阪取引所）</t>
  </si>
  <si>
    <t>足種を表示（T:ティック、1M:1分足、2M:2分足、3M:3分足、4M:4
分足、5M:5分足、10M:10分足、15M:15分足、30M:30分足、
60M:60分足、2H:2時間足、4H:4時間足、8H:8時間足、D:日足、
W:週足、M:月足）</t>
  </si>
  <si>
    <t>日付</t>
  </si>
  <si>
    <t>チャート情報の日付を表示</t>
  </si>
  <si>
    <t>HH:MM、HH:MM:SS</t>
  </si>
  <si>
    <t>チャート情報の時刻を表示（ティック表示時は表示形式HH:MM:SSで表示）</t>
  </si>
  <si>
    <t>チャート情報の始値を表示</t>
  </si>
  <si>
    <t>チャート情報の高値を表示</t>
  </si>
  <si>
    <t>チャート情報の安値を表示</t>
  </si>
  <si>
    <t>終値</t>
  </si>
  <si>
    <t>チャート情報の終値を表示</t>
  </si>
  <si>
    <t>チャート情報の出来高を表示</t>
  </si>
  <si>
    <t>足種を表示（D:日足、W:週足、M:月足）</t>
  </si>
  <si>
    <t>※常にブランク表示</t>
  </si>
  <si>
    <t>チャート情報の時刻を表示</t>
  </si>
  <si>
    <t>移動平均1</t>
  </si>
  <si>
    <t>期間1に設定した引数に対しての移動平均線情報を表示</t>
  </si>
  <si>
    <t>移動平均2</t>
  </si>
  <si>
    <t>期間2に設定した引数に対しての移動平均線情報を表示</t>
  </si>
  <si>
    <t>移動平均3</t>
  </si>
  <si>
    <t>期間3に設定した引数に対しての移動平均線情報を表示</t>
  </si>
  <si>
    <t>移動平均4</t>
  </si>
  <si>
    <t>期間4に設定した引数に対しての移動平均線情報を表示</t>
  </si>
  <si>
    <t>移動平均5</t>
  </si>
  <si>
    <t>期間5に設定した引数に対しての移動平均線情報を表示</t>
  </si>
  <si>
    <t>移動平均6</t>
  </si>
  <si>
    <t>期間6に設定した引数に対しての移動平均線情報を表示</t>
  </si>
  <si>
    <t>移動平均7</t>
  </si>
  <si>
    <t>期間7に設定した引数に対しての移動平均線情報を表示</t>
  </si>
  <si>
    <t>RSS関数を記入したセルに戻り値を返却する。
正常時（条件一致した銘柄コード返却）:
166060018
エラー時:RssFOPCode(20,202103) ＝＞
銘柄種類コート範囲外</t>
  </si>
  <si>
    <t>入力引数チェックのエラーメッセージを表示。</t>
  </si>
  <si>
    <t>銘柄コードは取得できませんでした。</t>
  </si>
  <si>
    <t>指定した条件で銘柄コードが取得出来ない場合</t>
  </si>
  <si>
    <t>♯</t>
  </si>
  <si>
    <t>名称</t>
  </si>
  <si>
    <t>種類</t>
  </si>
  <si>
    <t>N225</t>
  </si>
  <si>
    <t>日経225</t>
  </si>
  <si>
    <t>指標（国内）</t>
  </si>
  <si>
    <t>N300</t>
  </si>
  <si>
    <t>日経300</t>
  </si>
  <si>
    <t>TOPX</t>
  </si>
  <si>
    <t>TOPIX</t>
  </si>
  <si>
    <t>JN400</t>
  </si>
  <si>
    <t>JPX日経400</t>
  </si>
  <si>
    <t>TSPM</t>
  </si>
  <si>
    <t>東証プライム市場指数</t>
  </si>
  <si>
    <t>TSSM</t>
  </si>
  <si>
    <t>東証スタンダード市場指数</t>
  </si>
  <si>
    <t>TSGM</t>
  </si>
  <si>
    <t>東証グロース市場指数</t>
  </si>
  <si>
    <t>N500</t>
  </si>
  <si>
    <t>日経500</t>
  </si>
  <si>
    <t>TS1EX</t>
  </si>
  <si>
    <t>旧東証市場第一部指数</t>
  </si>
  <si>
    <t>TSM20</t>
  </si>
  <si>
    <t>東証スタンダード市場TOP20</t>
  </si>
  <si>
    <t>TSGMC</t>
  </si>
  <si>
    <t>東証グロース市場Core指数</t>
  </si>
  <si>
    <t>MTHR</t>
  </si>
  <si>
    <t>東証グロース市場250指数</t>
  </si>
  <si>
    <t>NVI</t>
  </si>
  <si>
    <t>日経平均VI指数</t>
  </si>
  <si>
    <t>TREIT</t>
  </si>
  <si>
    <t>東証REIT指数</t>
  </si>
  <si>
    <t>JGB:F</t>
  </si>
  <si>
    <t>JPX国債先物</t>
  </si>
  <si>
    <t>JGB:FL</t>
  </si>
  <si>
    <t>JPX国債先物レバレッジ</t>
  </si>
  <si>
    <t>JGB:FI</t>
  </si>
  <si>
    <t>JPX国債先物インバース</t>
  </si>
  <si>
    <t>JGB:FDI</t>
  </si>
  <si>
    <t>JPX国債先物ダブルインバース</t>
  </si>
  <si>
    <t>DJIA</t>
  </si>
  <si>
    <t>NYダウ</t>
  </si>
  <si>
    <t>指標（米国）</t>
  </si>
  <si>
    <t>NQ</t>
  </si>
  <si>
    <t>NASDAQ</t>
  </si>
  <si>
    <t>NQ100</t>
  </si>
  <si>
    <t>NASDAQ100</t>
  </si>
  <si>
    <t>SP100</t>
  </si>
  <si>
    <t>S&amp;P100指数</t>
  </si>
  <si>
    <t>SP500</t>
  </si>
  <si>
    <t>S&amp;P500指数</t>
  </si>
  <si>
    <t>VIX</t>
  </si>
  <si>
    <t>VIX指数</t>
  </si>
  <si>
    <t>VVIX</t>
  </si>
  <si>
    <t>VVIX指数</t>
  </si>
  <si>
    <t>SIXB</t>
  </si>
  <si>
    <t>S&amp;P素材セレクト・セクター指数</t>
  </si>
  <si>
    <t>SIXE</t>
  </si>
  <si>
    <t>S&amp;Pエナジー・セレクト・セクター指数</t>
  </si>
  <si>
    <t>SIXM</t>
  </si>
  <si>
    <t>S&amp;P金融セレクト・セクター指数</t>
  </si>
  <si>
    <t>SIXRE</t>
  </si>
  <si>
    <t>S&amp;P不動産セレクト・セクター指数</t>
  </si>
  <si>
    <t>SIXU</t>
  </si>
  <si>
    <t>S&amp;P公益事業セレクト・セクター指数</t>
  </si>
  <si>
    <t>SIXY</t>
  </si>
  <si>
    <t>S&amp;P一般消費財セレクト・セクター指数</t>
  </si>
  <si>
    <t>SIXC</t>
  </si>
  <si>
    <t>S&amp;P通信サービス・セレクト・セクター指数</t>
  </si>
  <si>
    <t>SIXI</t>
  </si>
  <si>
    <t>S&amp;P資本財セレクト・セクター指数</t>
  </si>
  <si>
    <t>SIXR</t>
  </si>
  <si>
    <t>S&amp;P生活必需品セレクト・セクター指数</t>
  </si>
  <si>
    <t>SIXT</t>
  </si>
  <si>
    <t>S&amp;Pテクノロジー・セレクト・セクター指数</t>
  </si>
  <si>
    <t>SIXV</t>
  </si>
  <si>
    <t>S&amp;Pヘルスケア・セレクト・セクター指数</t>
  </si>
  <si>
    <t>SPESG</t>
  </si>
  <si>
    <t>S&amp;P500 ESG指数</t>
  </si>
  <si>
    <t>INDS</t>
  </si>
  <si>
    <t>NASDAQ工業株指数</t>
  </si>
  <si>
    <t>BANK</t>
  </si>
  <si>
    <t>NASDAQ銀行株指数</t>
  </si>
  <si>
    <t>INSR</t>
  </si>
  <si>
    <t>NASDAQ保険株指数</t>
  </si>
  <si>
    <t>OFIN</t>
  </si>
  <si>
    <t>NASDAQ不動産株指数</t>
  </si>
  <si>
    <t>TRAN</t>
  </si>
  <si>
    <t>NASDAQ輸送株指数</t>
  </si>
  <si>
    <t>IXTC</t>
  </si>
  <si>
    <t>NASDAQ通信株指数</t>
  </si>
  <si>
    <t>IXCO</t>
  </si>
  <si>
    <t>NASDAQコンピューター株指数</t>
  </si>
  <si>
    <t>IXF</t>
  </si>
  <si>
    <t>NASDAQ金融100</t>
  </si>
  <si>
    <t>NBI</t>
  </si>
  <si>
    <t>NASDAQバイオテクノロジー株指数</t>
  </si>
  <si>
    <t>IXHC</t>
  </si>
  <si>
    <t>NASDAQヘルスケア株指数</t>
  </si>
  <si>
    <t>NDXT</t>
  </si>
  <si>
    <t>NASDAQ100 テクノロジー・セクター指数</t>
  </si>
  <si>
    <t>XAU</t>
  </si>
  <si>
    <t>PHLXゴールド/シルバー・セクター指数</t>
  </si>
  <si>
    <t>SOX</t>
  </si>
  <si>
    <t>PHLX半導体・セクター指数</t>
  </si>
  <si>
    <t>HGX</t>
  </si>
  <si>
    <t>PHLXハウジング・セクター指数</t>
  </si>
  <si>
    <t>OSX</t>
  </si>
  <si>
    <t>PHLX石油サービス・セクター指数</t>
  </si>
  <si>
    <t>UTY</t>
  </si>
  <si>
    <t>PHLX公益事業・セクター指数</t>
  </si>
  <si>
    <t>HXC</t>
  </si>
  <si>
    <t>NASDAQゴールデン・ドラゴン・チャイナ指数</t>
  </si>
  <si>
    <t>NQUSLT</t>
  </si>
  <si>
    <t>NASDAQ米国大型株トータルリターン指数</t>
  </si>
  <si>
    <t>NQUSMT</t>
  </si>
  <si>
    <t>NASDAQ米国中型株トータルリターン指数</t>
  </si>
  <si>
    <t>NQUSST</t>
  </si>
  <si>
    <t>NASDAQ米国小型株トータルリターン指数</t>
  </si>
  <si>
    <t>NQCYBR</t>
  </si>
  <si>
    <t>NASDAQ CTAサイバーセキュリティ指数</t>
  </si>
  <si>
    <t>CPQ</t>
  </si>
  <si>
    <t>ISE CTAクラウドコンピューティング指数</t>
  </si>
  <si>
    <t>NQROBO</t>
  </si>
  <si>
    <t>NASDAQ CTA AI&amp;ロボティクス指数</t>
  </si>
  <si>
    <t>EMCLOUD</t>
  </si>
  <si>
    <t>BVP NASDAQエマージング・クラウド指数</t>
  </si>
  <si>
    <t>NGX</t>
  </si>
  <si>
    <t>NASDAQネクスト・ジェネレーション100指数</t>
  </si>
  <si>
    <t>VOLQ</t>
  </si>
  <si>
    <t>NASDAQ100ボラティリティ指数</t>
  </si>
  <si>
    <t>HSI</t>
  </si>
  <si>
    <t>香港ハンセン指数</t>
  </si>
  <si>
    <t>指標（中国）</t>
  </si>
  <si>
    <t>HSCEI</t>
  </si>
  <si>
    <t>ハンセンH株指数</t>
  </si>
  <si>
    <t>HSCCI</t>
  </si>
  <si>
    <t>ハンセンレッドチップ指数</t>
  </si>
  <si>
    <t>SSEC</t>
  </si>
  <si>
    <t>上海総合指数</t>
  </si>
  <si>
    <t>SSEA</t>
  </si>
  <si>
    <t>上海A株指数</t>
  </si>
  <si>
    <t>SHKSC</t>
  </si>
  <si>
    <t>上海・香港ストックコネクト</t>
  </si>
  <si>
    <t>CSI300</t>
  </si>
  <si>
    <t>N225.FUT01.OS</t>
  </si>
  <si>
    <t>225先物大阪（期近）</t>
  </si>
  <si>
    <t>指標（国内先物）</t>
  </si>
  <si>
    <t>N225.FUT02.OS</t>
  </si>
  <si>
    <t>225先物大阪（期先）</t>
  </si>
  <si>
    <t>N225.FUT03.OS</t>
  </si>
  <si>
    <t>225先物大阪（3限月）</t>
  </si>
  <si>
    <t>N225.FUT04.OS</t>
  </si>
  <si>
    <t>225先物大阪（4限月）</t>
  </si>
  <si>
    <t>N225.FUT05.OS</t>
  </si>
  <si>
    <t>225先物大阪（5限月）</t>
  </si>
  <si>
    <t>N225M.FUT01.OS</t>
  </si>
  <si>
    <t>225ミニ大阪（期近）</t>
  </si>
  <si>
    <t>N225M.FUT02.OS</t>
  </si>
  <si>
    <t>225ミニ大阪（期先）</t>
  </si>
  <si>
    <t>N225M.FUT03.OS</t>
  </si>
  <si>
    <t>225ミニ大阪（3限月）</t>
  </si>
  <si>
    <t>N225M.FUT04.OS</t>
  </si>
  <si>
    <t>225ミニ大阪（4限月）</t>
  </si>
  <si>
    <t>N225M.FUT05.OS</t>
  </si>
  <si>
    <t>225ミニ大阪（5限月）</t>
  </si>
  <si>
    <t>N225U.FUT01.OS</t>
  </si>
  <si>
    <t>225マイクロ大阪（期近）</t>
  </si>
  <si>
    <t>N225U.FUT02.OS</t>
  </si>
  <si>
    <t>225マイクロ大阪（期先）</t>
  </si>
  <si>
    <t>N225U.FUT03.OS</t>
  </si>
  <si>
    <t>225マイクロ大阪（3月限）</t>
  </si>
  <si>
    <t>N225U.FUT04.OS</t>
  </si>
  <si>
    <t>225マイクロ大阪（4月限）</t>
  </si>
  <si>
    <t>TOPX.FUT01.OS</t>
  </si>
  <si>
    <t>TOPIX先物（期近）</t>
  </si>
  <si>
    <t>TOPX.FUT02.OS</t>
  </si>
  <si>
    <t>TOPIX先物（期先）</t>
  </si>
  <si>
    <t>TOPX.FUT03.OS</t>
  </si>
  <si>
    <t>TOPIX先物（3限月）</t>
  </si>
  <si>
    <t>TOPX.FUT04.OS</t>
  </si>
  <si>
    <t>TOPIX先物（4限月）</t>
  </si>
  <si>
    <t>TOPX.FUT05.OS</t>
  </si>
  <si>
    <t>TOPIX先物（5限月）</t>
  </si>
  <si>
    <t>MOT.FUT01.OS</t>
  </si>
  <si>
    <t>グロース250先物（期近）</t>
  </si>
  <si>
    <t>MOT.FUT02.OS</t>
  </si>
  <si>
    <t>グロース250先物（期先）</t>
  </si>
  <si>
    <t>MOT.FUT03.OS</t>
  </si>
  <si>
    <t>グロース250先物（3限月）</t>
  </si>
  <si>
    <t>MOT.FUT04.OS</t>
  </si>
  <si>
    <t>グロース250先物（4限月）</t>
  </si>
  <si>
    <t>MOT.FUT05.OS</t>
  </si>
  <si>
    <t>グロース250先物（5限月）</t>
  </si>
  <si>
    <t>JN400.FUT01.OS</t>
  </si>
  <si>
    <t>JPX日経400先物（期近）</t>
  </si>
  <si>
    <t>JN400.FUT02.OS</t>
  </si>
  <si>
    <t>JPX日経400先物（期先）</t>
  </si>
  <si>
    <t>JN400.FUT03.OS</t>
  </si>
  <si>
    <t>JPX日経400先物（3限月）</t>
  </si>
  <si>
    <t>JN400.FUT04.OS</t>
  </si>
  <si>
    <t>JPX日経400先物（4限月）</t>
  </si>
  <si>
    <t>JN400.FUT05.OS</t>
  </si>
  <si>
    <t>JPX日経400先物（5限月）</t>
  </si>
  <si>
    <t>TCWSI</t>
  </si>
  <si>
    <t>台湾加権先物（期近）</t>
  </si>
  <si>
    <t>FTSECA50</t>
  </si>
  <si>
    <t>FTSE中国50先物（期近）</t>
  </si>
  <si>
    <t>GOLD.FUT01.OS</t>
  </si>
  <si>
    <t>金（期近）</t>
  </si>
  <si>
    <t>GOLD.FUT02.OS</t>
  </si>
  <si>
    <t>金（2限月）</t>
  </si>
  <si>
    <t>GOLD.FUT03.OS</t>
  </si>
  <si>
    <t>金（3限月）</t>
  </si>
  <si>
    <t>GOLD.FUT04.OS</t>
  </si>
  <si>
    <t>金（4限月）</t>
  </si>
  <si>
    <t>GOLD.FUT05.OS</t>
  </si>
  <si>
    <t>金（5限月）</t>
  </si>
  <si>
    <t>GOLD.FUT06.OS</t>
  </si>
  <si>
    <t>金（期先）</t>
  </si>
  <si>
    <t>GOLDMINI.FUT01.OS</t>
  </si>
  <si>
    <t>金ミニ（期近）</t>
  </si>
  <si>
    <t>GOLDMINI.FUT02.OS</t>
  </si>
  <si>
    <t>金ミニ（2限月）</t>
  </si>
  <si>
    <t>GOLDMINI.FUT03.OS</t>
  </si>
  <si>
    <t>金ミニ（3限月）</t>
  </si>
  <si>
    <t>GOLDMINI.FUT04.OS</t>
  </si>
  <si>
    <t>金ミニ（4限月）</t>
  </si>
  <si>
    <t>GOLDMINI.FUT05.OS</t>
  </si>
  <si>
    <t>金ミニ（5限月）</t>
  </si>
  <si>
    <t>GOLDMINI.FUT06.OS</t>
  </si>
  <si>
    <t>金ミニ（期先）</t>
  </si>
  <si>
    <t>GOLD.SPOT.OS</t>
  </si>
  <si>
    <t>金スポット（無期限）</t>
  </si>
  <si>
    <t>PLATINUM.FUT01.OS</t>
  </si>
  <si>
    <t>白金（期近）</t>
  </si>
  <si>
    <t>PLATINUM.FUT02.OS</t>
  </si>
  <si>
    <t>白金（2限月）</t>
  </si>
  <si>
    <t>PLATINUM.FUT03.OS</t>
  </si>
  <si>
    <t>白金（3限月）</t>
  </si>
  <si>
    <t>PLATINUM.FUT04.OS</t>
  </si>
  <si>
    <t>白金（4限月）</t>
  </si>
  <si>
    <t>PLATINUM.FUT05.OS</t>
  </si>
  <si>
    <t>白金（5限月）</t>
  </si>
  <si>
    <t>PLATINUM.FUT06.OS</t>
  </si>
  <si>
    <t>白金（期先）</t>
  </si>
  <si>
    <t>PLATINUMMINI.FUT01.OS</t>
  </si>
  <si>
    <t>白金ミニ（期近）</t>
  </si>
  <si>
    <t>PLATINUMMINI.FUT02.OS</t>
  </si>
  <si>
    <t>白金ミニ（2限月）</t>
  </si>
  <si>
    <t>PLATINUMMINI.FUT03.OS</t>
  </si>
  <si>
    <t>白金ミニ（3限月）</t>
  </si>
  <si>
    <t>PLATINUMMINI.FUT04.OS</t>
  </si>
  <si>
    <t>白金ミニ（4限月）</t>
  </si>
  <si>
    <t>PLATINUMMINI.FUT05.OS</t>
  </si>
  <si>
    <t>白金ミニ（5限月）</t>
  </si>
  <si>
    <t>PLATINUMMINI.FUT06.OS</t>
  </si>
  <si>
    <t>白金ミニ（期先）</t>
  </si>
  <si>
    <t>PLATINUM.SPOT.OS</t>
  </si>
  <si>
    <t>白金スポット（無期限）</t>
  </si>
  <si>
    <t>SILVER.FUT01.OS</t>
  </si>
  <si>
    <t>銀（期近）</t>
  </si>
  <si>
    <t>SILVER.FUT02.OS</t>
  </si>
  <si>
    <t>銀（2限月）</t>
  </si>
  <si>
    <t>SILVER.FUT03.OS</t>
  </si>
  <si>
    <t>銀（3限月）</t>
  </si>
  <si>
    <t>SILVER.FUT04.OS</t>
  </si>
  <si>
    <t>銀（4限月）</t>
  </si>
  <si>
    <t>SILVER.FUT05.OS</t>
  </si>
  <si>
    <t>銀（5限月）</t>
  </si>
  <si>
    <t>SILVER.FUT06.OS</t>
  </si>
  <si>
    <t>銀（期先）</t>
  </si>
  <si>
    <t>PALLADIUM.FUT01.OS</t>
  </si>
  <si>
    <t>パラジウム（期近）</t>
  </si>
  <si>
    <t>PALLADIUM.FUT02.OS</t>
  </si>
  <si>
    <t>パラジウム（2限月）</t>
  </si>
  <si>
    <t>PALLADIUM.FUT03.OS</t>
  </si>
  <si>
    <t>パラジウム（3限月）</t>
  </si>
  <si>
    <t>PALLADIUM.FUT04.OS</t>
  </si>
  <si>
    <t>パラジウム（4限月）</t>
  </si>
  <si>
    <t>PALLADIUM.FUT05.OS</t>
  </si>
  <si>
    <t>パラジウム（5限月）</t>
  </si>
  <si>
    <t>PALLADIUM.FUT06.OS</t>
  </si>
  <si>
    <t>パラジウム（期先）</t>
  </si>
  <si>
    <t>RSS3.FUT01.OS</t>
  </si>
  <si>
    <t>ゴムRSS3（期近）</t>
  </si>
  <si>
    <t>RSS3.FUT02.OS</t>
  </si>
  <si>
    <t>ゴムRSS3（2限月）</t>
  </si>
  <si>
    <t>RSS3.FUT03.OS</t>
  </si>
  <si>
    <t>ゴムRSS3（3限月）</t>
  </si>
  <si>
    <t>RSS3.FUT04.OS</t>
  </si>
  <si>
    <t>ゴムRSS3（4限月）</t>
  </si>
  <si>
    <t>RSS3.FUT05.OS</t>
  </si>
  <si>
    <t>ゴムRSS3（5限月）</t>
  </si>
  <si>
    <t>RSS3.FUT06.OS</t>
  </si>
  <si>
    <t>ゴムRSS3（6限月）</t>
  </si>
  <si>
    <t>RSS3.FUT07.OS</t>
  </si>
  <si>
    <t>ゴムRSS3（7限月）</t>
  </si>
  <si>
    <t>RSS3.FUT08.OS</t>
  </si>
  <si>
    <t>ゴムRSS3（8限月）</t>
  </si>
  <si>
    <t>RSS3.FUT09.OS</t>
  </si>
  <si>
    <t>ゴムRSS3（9限月）</t>
  </si>
  <si>
    <t>149</t>
  </si>
  <si>
    <t>RSS3.FUT10.OS</t>
  </si>
  <si>
    <t>ゴムRSS3（10限月）</t>
  </si>
  <si>
    <t>150</t>
  </si>
  <si>
    <t>RSS3.FUT11.OS</t>
  </si>
  <si>
    <t>ゴムRSS3（11限月）</t>
  </si>
  <si>
    <t>151</t>
  </si>
  <si>
    <t>RSS3.FUT12.OS</t>
  </si>
  <si>
    <t>ゴムRSS3（期先）</t>
  </si>
  <si>
    <t>152</t>
  </si>
  <si>
    <t>TSR20.FUT01.OS</t>
  </si>
  <si>
    <t>ゴムTSR20（期近）</t>
  </si>
  <si>
    <t>153</t>
  </si>
  <si>
    <t>TSR20.FUT02.OS</t>
  </si>
  <si>
    <t>ゴムTSR20（2限月）</t>
  </si>
  <si>
    <t>154</t>
  </si>
  <si>
    <t>TSR20.FUT03.OS</t>
  </si>
  <si>
    <t>ゴムTSR20（3限月）</t>
  </si>
  <si>
    <t>155</t>
  </si>
  <si>
    <t>TSR20.FUT04.OS</t>
  </si>
  <si>
    <t>ゴムTSR20（4限月）</t>
  </si>
  <si>
    <t>156</t>
  </si>
  <si>
    <t>TSR20.FUT05.OS</t>
  </si>
  <si>
    <t>ゴムTSR20（5限月）</t>
  </si>
  <si>
    <t>157</t>
  </si>
  <si>
    <t>TSR20.FUT06.OS</t>
  </si>
  <si>
    <t>ゴムTSR20（6限月）</t>
  </si>
  <si>
    <t>158</t>
  </si>
  <si>
    <t>TSR20.FUT07.OS</t>
  </si>
  <si>
    <t>ゴムTSR20（7限月）</t>
  </si>
  <si>
    <t>159</t>
  </si>
  <si>
    <t>TSR20.FUT08.OS</t>
  </si>
  <si>
    <t>ゴムTSR20（8限月）</t>
  </si>
  <si>
    <t>160</t>
  </si>
  <si>
    <t>TSR20.FUT09.OS</t>
  </si>
  <si>
    <t>ゴムTSR20（9限月）</t>
  </si>
  <si>
    <t>161</t>
  </si>
  <si>
    <t>TSR20.FUT10.OS</t>
  </si>
  <si>
    <t>ゴムTSR20（10限月）</t>
  </si>
  <si>
    <t>162</t>
  </si>
  <si>
    <t>TSR20.FUT11.OS</t>
  </si>
  <si>
    <t>ゴムTSR20（11限月）</t>
  </si>
  <si>
    <t>163</t>
  </si>
  <si>
    <t>TSR20.FUT12.OS</t>
  </si>
  <si>
    <t>ゴムTSR20（期先）</t>
  </si>
  <si>
    <t>164</t>
  </si>
  <si>
    <t>REDBEAN.FUT01.OS</t>
  </si>
  <si>
    <t>小豆（期近）</t>
  </si>
  <si>
    <t>165</t>
  </si>
  <si>
    <t>REDBEAN.FUT02.OS</t>
  </si>
  <si>
    <t>小豆（2限月）</t>
  </si>
  <si>
    <t>166</t>
  </si>
  <si>
    <t>REDBEAN.FUT03.OS</t>
  </si>
  <si>
    <t>小豆（3限月）</t>
  </si>
  <si>
    <t>167</t>
  </si>
  <si>
    <t>REDBEAN.FUT04.OS</t>
  </si>
  <si>
    <t>小豆（4限月）</t>
  </si>
  <si>
    <t>168</t>
  </si>
  <si>
    <t>REDBEAN.FUT05.OS</t>
  </si>
  <si>
    <t>小豆（5限月）</t>
  </si>
  <si>
    <t>169</t>
  </si>
  <si>
    <t>REDBEAN.FUT06.OS</t>
  </si>
  <si>
    <t>小豆（期先）</t>
  </si>
  <si>
    <t>170</t>
  </si>
  <si>
    <t>SOYBEAN.FUT01.OS</t>
  </si>
  <si>
    <t>一般大豆（期近）</t>
  </si>
  <si>
    <t>171</t>
  </si>
  <si>
    <t>SOYBEAN.FUT02.OS</t>
  </si>
  <si>
    <t>一般大豆（2限月）</t>
  </si>
  <si>
    <t>172</t>
  </si>
  <si>
    <t>SOYBEAN.FUT03.OS</t>
  </si>
  <si>
    <t>一般大豆（3限月）</t>
  </si>
  <si>
    <t>173</t>
  </si>
  <si>
    <t>SOYBEAN.FUT04.OS</t>
  </si>
  <si>
    <t>一般大豆（4限月）</t>
  </si>
  <si>
    <t>174</t>
  </si>
  <si>
    <t>SOYBEAN.FUT05.OS</t>
  </si>
  <si>
    <t>一般大豆（5限月）</t>
  </si>
  <si>
    <t>175</t>
  </si>
  <si>
    <t>SOYBEAN.FUT06.OS</t>
  </si>
  <si>
    <t>一般大豆（期先）</t>
  </si>
  <si>
    <t>176</t>
  </si>
  <si>
    <t>CORN.FUT01.OS</t>
  </si>
  <si>
    <t>とうもろこし（期近）</t>
  </si>
  <si>
    <t>177</t>
  </si>
  <si>
    <t>CORN.FUT02.OS</t>
  </si>
  <si>
    <t>とうもろこし（2限月）</t>
  </si>
  <si>
    <t>178</t>
  </si>
  <si>
    <t>CORN.FUT03.OS</t>
  </si>
  <si>
    <t>とうもろこし（3限月）</t>
  </si>
  <si>
    <t>179</t>
  </si>
  <si>
    <t>CORN.FUT04.OS</t>
  </si>
  <si>
    <t>とうもろこし（4限月）</t>
  </si>
  <si>
    <t>180</t>
  </si>
  <si>
    <t>CORN.FUT05.OS</t>
  </si>
  <si>
    <t>とうもろこし（5限月）</t>
  </si>
  <si>
    <t>181</t>
  </si>
  <si>
    <t>CORN.FUT06.OS</t>
  </si>
  <si>
    <t>とうもろこし（期先）</t>
  </si>
  <si>
    <t>182</t>
  </si>
  <si>
    <t>N225.FUT01.C</t>
  </si>
  <si>
    <t>225先物CME（期近）</t>
  </si>
  <si>
    <t>指標（海外先物）</t>
  </si>
  <si>
    <t>183</t>
  </si>
  <si>
    <t>N225.FUT02.C</t>
  </si>
  <si>
    <t>225先物CME（期先）</t>
  </si>
  <si>
    <t>184</t>
  </si>
  <si>
    <t>N225.FUT01.S</t>
  </si>
  <si>
    <t>225先物SGX（期近）</t>
  </si>
  <si>
    <t>185</t>
  </si>
  <si>
    <t>N225.FUT02.S</t>
  </si>
  <si>
    <t>225先物SGX（期先）</t>
  </si>
  <si>
    <t>186</t>
  </si>
  <si>
    <t>USD/JPY</t>
  </si>
  <si>
    <t>ドル/円</t>
  </si>
  <si>
    <t>187</t>
  </si>
  <si>
    <t>EUR/JPY</t>
  </si>
  <si>
    <t>ユーロ/円</t>
  </si>
  <si>
    <t>188</t>
  </si>
  <si>
    <t>GBP/JPY</t>
  </si>
  <si>
    <t>ポンド/円</t>
  </si>
  <si>
    <t>189</t>
  </si>
  <si>
    <t>AUD/JPY</t>
  </si>
  <si>
    <t>豪ドル/円</t>
  </si>
  <si>
    <t>190</t>
  </si>
  <si>
    <t>NZD/JPY</t>
  </si>
  <si>
    <t>NZドル/円</t>
  </si>
  <si>
    <t>191</t>
  </si>
  <si>
    <t>ZAR/JPY</t>
  </si>
  <si>
    <t>ランド/円</t>
  </si>
  <si>
    <t>192</t>
  </si>
  <si>
    <t>CAD/JPY</t>
  </si>
  <si>
    <t>カナダドル/円</t>
  </si>
  <si>
    <t>193</t>
  </si>
  <si>
    <t>CHF/JPY</t>
  </si>
  <si>
    <t>スイス/円</t>
  </si>
  <si>
    <t>194</t>
  </si>
  <si>
    <t>HKD/JPY</t>
  </si>
  <si>
    <t>香港ドル/円</t>
  </si>
  <si>
    <t>195</t>
  </si>
  <si>
    <t>SGD/JPY</t>
  </si>
  <si>
    <t>SGドル/円</t>
  </si>
  <si>
    <t>196</t>
  </si>
  <si>
    <t>EUR/USD</t>
  </si>
  <si>
    <t>ユーロ/ドル</t>
  </si>
  <si>
    <t>197</t>
  </si>
  <si>
    <t>GBP/USD</t>
  </si>
  <si>
    <t>ポンド/ドル</t>
  </si>
  <si>
    <t>198</t>
  </si>
  <si>
    <t>AUD/USD</t>
  </si>
  <si>
    <t>豪ドル/ドル</t>
  </si>
  <si>
    <t>199</t>
  </si>
  <si>
    <t>NZD/USD</t>
  </si>
  <si>
    <t>NZドル/ドル</t>
  </si>
  <si>
    <t>200</t>
  </si>
  <si>
    <t>USD/CHF</t>
  </si>
  <si>
    <t>ドル/スイス</t>
  </si>
  <si>
    <t>201</t>
  </si>
  <si>
    <t>GBP/CHF</t>
  </si>
  <si>
    <t>ポンド/スイス</t>
  </si>
  <si>
    <t>202</t>
  </si>
  <si>
    <t>EUR/GBP</t>
  </si>
  <si>
    <t>ユーロ/ポンド</t>
  </si>
  <si>
    <t>203</t>
  </si>
  <si>
    <t>EUR/CHF</t>
  </si>
  <si>
    <t>ユーロ/スイス</t>
  </si>
  <si>
    <t>204</t>
  </si>
  <si>
    <t>AUD/CHF</t>
  </si>
  <si>
    <t>豪ドル/スイス</t>
  </si>
  <si>
    <t>205</t>
  </si>
  <si>
    <t>NZD/CHF</t>
  </si>
  <si>
    <t>NZドル/スイス</t>
  </si>
  <si>
    <t>206</t>
  </si>
  <si>
    <t>AUD/NZD</t>
  </si>
  <si>
    <t>豪ドル/NZドル</t>
  </si>
  <si>
    <t>207</t>
  </si>
  <si>
    <t>NOK/JPY</t>
  </si>
  <si>
    <t>Nクローネ/円</t>
  </si>
  <si>
    <t>208</t>
  </si>
  <si>
    <t>TRY/JPY</t>
  </si>
  <si>
    <t>トルコリラ/円</t>
  </si>
  <si>
    <t>209</t>
  </si>
  <si>
    <t>CNH/JPY</t>
  </si>
  <si>
    <t>人民元/円</t>
  </si>
  <si>
    <t>210</t>
  </si>
  <si>
    <t>MXN/JPY</t>
  </si>
  <si>
    <t>メキシコペソ/円</t>
  </si>
  <si>
    <t>211</t>
  </si>
  <si>
    <t>USD/CAD</t>
  </si>
  <si>
    <t>ドル/カナダドル</t>
  </si>
  <si>
    <t>212</t>
  </si>
  <si>
    <t>EUR/AUD</t>
  </si>
  <si>
    <t>ユーロ/豪ドル</t>
  </si>
  <si>
    <t>213</t>
  </si>
  <si>
    <t>GBP/AUD</t>
  </si>
  <si>
    <t>ポンド/豪ドル</t>
  </si>
  <si>
    <t>コード</t>
  </si>
  <si>
    <t>国内株式</t>
  </si>
  <si>
    <t>国内先物OP</t>
  </si>
  <si>
    <t>指標</t>
  </si>
  <si>
    <t>先物</t>
  </si>
  <si>
    <t>オプション</t>
  </si>
  <si>
    <t>国内指標</t>
  </si>
  <si>
    <t>米国指標</t>
  </si>
  <si>
    <t>中国指標</t>
  </si>
  <si>
    <t>国内先物</t>
  </si>
  <si>
    <t>海外先物</t>
  </si>
  <si>
    <t>ティック</t>
  </si>
  <si>
    <t>T</t>
  </si>
  <si>
    <t>－</t>
  </si>
  <si>
    <t>1分足</t>
  </si>
  <si>
    <t>1M</t>
  </si>
  <si>
    <t>2分足</t>
  </si>
  <si>
    <t>2M</t>
  </si>
  <si>
    <t>3分足</t>
  </si>
  <si>
    <t>3M</t>
  </si>
  <si>
    <t>4分足</t>
  </si>
  <si>
    <t>4M</t>
  </si>
  <si>
    <t>5分足</t>
  </si>
  <si>
    <t>5M</t>
  </si>
  <si>
    <t>10分足</t>
  </si>
  <si>
    <t>10M</t>
  </si>
  <si>
    <t>15分足</t>
  </si>
  <si>
    <t>15M</t>
  </si>
  <si>
    <t>30分足</t>
  </si>
  <si>
    <t>30M</t>
  </si>
  <si>
    <t>60分足</t>
  </si>
  <si>
    <t>1H</t>
  </si>
  <si>
    <t>2時間足</t>
  </si>
  <si>
    <t>2H</t>
  </si>
  <si>
    <t>4時間足</t>
  </si>
  <si>
    <t>4H</t>
  </si>
  <si>
    <t>8時間足</t>
  </si>
  <si>
    <t>8H</t>
  </si>
  <si>
    <t>日足</t>
  </si>
  <si>
    <t>D</t>
  </si>
  <si>
    <t>週足</t>
  </si>
  <si>
    <t>W</t>
  </si>
  <si>
    <t>月足</t>
  </si>
  <si>
    <t>M</t>
  </si>
  <si>
    <t>売り手が提示している希望価格の中で、最も安い価格</t>
    <phoneticPr fontId="1"/>
  </si>
  <si>
    <t>省略</t>
    <rPh sb="0" eb="2">
      <t>ショウリャク</t>
    </rPh>
    <phoneticPr fontId="1"/>
  </si>
  <si>
    <t>現在見えている気配値より「上」にある、すべての売り注文の合計</t>
    <phoneticPr fontId="1"/>
  </si>
  <si>
    <t>現在見えている気配値より「下」にある、すべての買い注文の合計</t>
    <phoneticPr fontId="1"/>
  </si>
  <si>
    <t>現在日付</t>
    <phoneticPr fontId="1"/>
  </si>
  <si>
    <t>銘柄コード</t>
    <phoneticPr fontId="1"/>
  </si>
  <si>
    <t>銘柄名称</t>
    <phoneticPr fontId="1"/>
  </si>
  <si>
    <t>現在値</t>
    <phoneticPr fontId="1"/>
  </si>
  <si>
    <t>時価総額</t>
    <phoneticPr fontId="1"/>
  </si>
  <si>
    <t>単位株数</t>
    <phoneticPr fontId="1"/>
  </si>
  <si>
    <t>配当</t>
    <phoneticPr fontId="1"/>
  </si>
  <si>
    <t>PER</t>
    <phoneticPr fontId="1"/>
  </si>
  <si>
    <t>PBR</t>
    <phoneticPr fontId="1"/>
  </si>
  <si>
    <t>信用売残</t>
    <phoneticPr fontId="1"/>
  </si>
  <si>
    <t>信用売残前週比</t>
    <phoneticPr fontId="1"/>
  </si>
  <si>
    <t>信用買残</t>
    <phoneticPr fontId="1"/>
  </si>
  <si>
    <t>信用買残前週比</t>
    <phoneticPr fontId="1"/>
  </si>
  <si>
    <t>信用倍率</t>
    <phoneticPr fontId="1"/>
  </si>
  <si>
    <t>配当落日</t>
    <phoneticPr fontId="1"/>
  </si>
  <si>
    <t>中配落日</t>
    <phoneticPr fontId="1"/>
  </si>
  <si>
    <t>権利落日</t>
    <phoneticPr fontId="1"/>
  </si>
  <si>
    <t>決算発表日</t>
    <phoneticPr fontId="1"/>
  </si>
  <si>
    <t>年初来高値</t>
    <phoneticPr fontId="1"/>
  </si>
  <si>
    <t>年初来安値</t>
    <phoneticPr fontId="1"/>
  </si>
  <si>
    <t>上場来高値</t>
    <phoneticPr fontId="1"/>
  </si>
  <si>
    <t>上場来安値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</si>
</sst>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sz val="6"/>
      <name val="ＭＳ Ｐゴシック"/>
      <family val="3"/>
      <charset val="128"/>
      <scheme val="minor"/>
    </font>
    <font>
      <sz val="11"/>
      <color theme="1"/>
      <name val="Meiryo UI"/>
      <family val="3"/>
      <charset val="128"/>
    </font>
    <font>
      <b/>
      <sz val="11"/>
      <name val="Meiryo UI"/>
      <family val="3"/>
      <charset val="128"/>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2" borderId="0" xfId="0" applyFont="1" applyFill="1"/>
    <xf numFmtId="0" fontId="3" fillId="2" borderId="1" xfId="0" applyFont="1" applyFill="1" applyBorder="1" applyAlignment="1">
      <alignment horizontal="center" vertical="top"/>
    </xf>
    <xf numFmtId="0" fontId="2" fillId="2" borderId="1" xfId="0" applyFont="1" applyFill="1" applyBorder="1"/>
    <xf numFmtId="0" fontId="2" fillId="3" borderId="1" xfId="0" applyFont="1" applyFill="1"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rtdsrv.c1b944f8fcf44c2caeb165b7f8069e7f">
      <tp>
        <v>0</v>
        <stp/>
        <stp>Market</stp>
        <stp>STOCK</stp>
        <stp>99760.T</stp>
        <stp>信用倍率</stp>
        <tr r="O4" s="4"/>
      </tp>
      <tp>
        <v>1.79</v>
        <stp/>
        <stp>Market</stp>
        <stp>STOCK</stp>
        <stp>99740.T</stp>
        <stp>信用倍率</stp>
        <tr r="O3" s="4"/>
      </tp>
      <tp>
        <v>0</v>
        <stp/>
        <stp>Market</stp>
        <stp>STOCK</stp>
        <stp>99780.T</stp>
        <stp>信用倍率</stp>
        <tr r="O5" s="4"/>
      </tp>
      <tp>
        <v>0.21</v>
        <stp/>
        <stp>Market</stp>
        <stp>STOCK</stp>
        <stp>99790.T</stp>
        <stp>信用倍率</stp>
        <tr r="O6" s="4"/>
      </tp>
      <tp>
        <v>0</v>
        <stp/>
        <stp>Market</stp>
        <stp>STOCK</stp>
        <stp>99930.T</stp>
        <stp>信用倍率</stp>
        <tr r="O16" s="4"/>
      </tp>
      <tp>
        <v>1.19</v>
        <stp/>
        <stp>Market</stp>
        <stp>STOCK</stp>
        <stp>99900.T</stp>
        <stp>信用倍率</stp>
        <tr r="O14" s="4"/>
      </tp>
      <tp>
        <v>26.59</v>
        <stp/>
        <stp>Market</stp>
        <stp>STOCK</stp>
        <stp>99910.T</stp>
        <stp>信用倍率</stp>
        <tr r="O15" s="4"/>
      </tp>
      <tp>
        <v>4.33</v>
        <stp/>
        <stp>Market</stp>
        <stp>STOCK</stp>
        <stp>99960.T</stp>
        <stp>信用倍率</stp>
        <tr r="O18" s="4"/>
      </tp>
      <tp>
        <v>100.36</v>
        <stp/>
        <stp>Market</stp>
        <stp>STOCK</stp>
        <stp>99940.T</stp>
        <stp>信用倍率</stp>
        <tr r="O17" s="4"/>
      </tp>
      <tp>
        <v>0</v>
        <stp/>
        <stp>Market</stp>
        <stp>STOCK</stp>
        <stp>99820.T</stp>
        <stp>信用倍率</stp>
        <tr r="O8" s="4"/>
      </tp>
      <tp>
        <v>0.31</v>
        <stp/>
        <stp>Market</stp>
        <stp>STOCK</stp>
        <stp>99830.T</stp>
        <stp>信用倍率</stp>
        <tr r="O9" s="4"/>
      </tp>
      <tp>
        <v>8.5299999999999994</v>
        <stp/>
        <stp>Market</stp>
        <stp>STOCK</stp>
        <stp>99800.T</stp>
        <stp>信用倍率</stp>
        <tr r="O7" s="4"/>
      </tp>
      <tp>
        <v>0</v>
        <stp/>
        <stp>Market</stp>
        <stp>STOCK</stp>
        <stp>99860.T</stp>
        <stp>信用倍率</stp>
        <tr r="O11" s="4"/>
      </tp>
      <tp>
        <v>0.25</v>
        <stp/>
        <stp>Market</stp>
        <stp>STOCK</stp>
        <stp>99870.T</stp>
        <stp>信用倍率</stp>
        <tr r="O12" s="4"/>
      </tp>
      <tp>
        <v>10.98</v>
        <stp/>
        <stp>Market</stp>
        <stp>STOCK</stp>
        <stp>99840.T</stp>
        <stp>信用倍率</stp>
        <tr r="O10" s="4"/>
      </tp>
      <tp>
        <v>1.71</v>
        <stp/>
        <stp>Market</stp>
        <stp>STOCK</stp>
        <stp>99890.T</stp>
        <stp>信用倍率</stp>
        <tr r="O13" s="4"/>
      </tp>
      <tp t="s">
        <v>-</v>
        <stp/>
        <stp>Market</stp>
        <stp>STOCK</stp>
        <stp>99780.T</stp>
        <stp>信用売残</stp>
        <tr r="K5" s="4"/>
      </tp>
      <tp>
        <v>101400</v>
        <stp/>
        <stp>Market</stp>
        <stp>STOCK</stp>
        <stp>99790.T</stp>
        <stp>信用売残</stp>
        <tr r="K6" s="4"/>
      </tp>
      <tp t="s">
        <v>-</v>
        <stp/>
        <stp>Market</stp>
        <stp>STOCK</stp>
        <stp>99760.T</stp>
        <stp>信用売残</stp>
        <tr r="K4" s="4"/>
      </tp>
      <tp>
        <v>7100</v>
        <stp/>
        <stp>Market</stp>
        <stp>STOCK</stp>
        <stp>99740.T</stp>
        <stp>信用売残</stp>
        <tr r="K3" s="4"/>
      </tp>
      <tp>
        <v>40600</v>
        <stp/>
        <stp>Market</stp>
        <stp>STOCK</stp>
        <stp>99890.T</stp>
        <stp>信用売残</stp>
        <tr r="K13" s="4"/>
      </tp>
      <tp t="s">
        <v>-</v>
        <stp/>
        <stp>Market</stp>
        <stp>STOCK</stp>
        <stp>99860.T</stp>
        <stp>信用売残</stp>
        <tr r="K11" s="4"/>
      </tp>
      <tp>
        <v>18000</v>
        <stp/>
        <stp>Market</stp>
        <stp>STOCK</stp>
        <stp>99870.T</stp>
        <stp>信用売残</stp>
        <tr r="K12" s="4"/>
      </tp>
      <tp>
        <v>4172900</v>
        <stp/>
        <stp>Market</stp>
        <stp>STOCK</stp>
        <stp>99840.T</stp>
        <stp>信用売残</stp>
        <tr r="K10" s="4"/>
      </tp>
      <tp>
        <v>0</v>
        <stp/>
        <stp>Market</stp>
        <stp>STOCK</stp>
        <stp>99820.T</stp>
        <stp>信用売残</stp>
        <tr r="K8" s="4"/>
      </tp>
      <tp>
        <v>329300</v>
        <stp/>
        <stp>Market</stp>
        <stp>STOCK</stp>
        <stp>99830.T</stp>
        <stp>信用売残</stp>
        <tr r="K9" s="4"/>
      </tp>
      <tp>
        <v>245700</v>
        <stp/>
        <stp>Market</stp>
        <stp>STOCK</stp>
        <stp>99800.T</stp>
        <stp>信用売残</stp>
        <tr r="K7" s="4"/>
      </tp>
      <tp>
        <v>600</v>
        <stp/>
        <stp>Market</stp>
        <stp>STOCK</stp>
        <stp>99960.T</stp>
        <stp>信用売残</stp>
        <tr r="K18" s="4"/>
      </tp>
      <tp>
        <v>2200</v>
        <stp/>
        <stp>Market</stp>
        <stp>STOCK</stp>
        <stp>99940.T</stp>
        <stp>信用売残</stp>
        <tr r="K17" s="4"/>
      </tp>
      <tp t="s">
        <v>-</v>
        <stp/>
        <stp>Market</stp>
        <stp>STOCK</stp>
        <stp>99930.T</stp>
        <stp>信用売残</stp>
        <tr r="K16" s="4"/>
      </tp>
      <tp>
        <v>172300</v>
        <stp/>
        <stp>Market</stp>
        <stp>STOCK</stp>
        <stp>99900.T</stp>
        <stp>信用売残</stp>
        <tr r="K14" s="4"/>
      </tp>
      <tp>
        <v>5400</v>
        <stp/>
        <stp>Market</stp>
        <stp>STOCK</stp>
        <stp>99910.T</stp>
        <stp>信用売残</stp>
        <tr r="K15" s="4"/>
      </tp>
      <tp>
        <v>32</v>
        <stp/>
        <stp>Market</stp>
        <stp>STOCK</stp>
        <stp>99780.T</stp>
        <stp>上場来安値</stp>
        <tr r="W5" s="4"/>
      </tp>
      <tp>
        <v>560</v>
        <stp/>
        <stp>Market</stp>
        <stp>STOCK</stp>
        <stp>99790.T</stp>
        <stp>上場来安値</stp>
        <tr r="W6" s="4"/>
      </tp>
      <tp>
        <v>724</v>
        <stp/>
        <stp>Market</stp>
        <stp>STOCK</stp>
        <stp>99740.T</stp>
        <stp>上場来安値</stp>
        <tr r="W3" s="4"/>
      </tp>
      <tp>
        <v>250</v>
        <stp/>
        <stp>Market</stp>
        <stp>STOCK</stp>
        <stp>99760.T</stp>
        <stp>上場来安値</stp>
        <tr r="W4" s="4"/>
      </tp>
      <tp>
        <v>40</v>
        <stp/>
        <stp>Market</stp>
        <stp>STOCK</stp>
        <stp>99780.T</stp>
        <stp>年初来安値</stp>
        <tr r="U5" s="4"/>
      </tp>
      <tp>
        <v>969</v>
        <stp/>
        <stp>Market</stp>
        <stp>STOCK</stp>
        <stp>99790.T</stp>
        <stp>年初来安値</stp>
        <tr r="U6" s="4"/>
      </tp>
      <tp>
        <v>6090</v>
        <stp/>
        <stp>Market</stp>
        <stp>STOCK</stp>
        <stp>99740.T</stp>
        <stp>年初来安値</stp>
        <tr r="U3" s="4"/>
      </tp>
      <tp>
        <v>900</v>
        <stp/>
        <stp>Market</stp>
        <stp>STOCK</stp>
        <stp>99760.T</stp>
        <stp>年初来安値</stp>
        <tr r="U4" s="4"/>
      </tp>
    </main>
    <main first="rtdsrv.c1b944f8fcf44c2caeb165b7f8069e7f">
      <tp>
        <v>428</v>
        <stp/>
        <stp>Market</stp>
        <stp>STOCK</stp>
        <stp>99940.T</stp>
        <stp>上場来安値</stp>
        <tr r="W17" s="4"/>
      </tp>
      <tp>
        <v>413</v>
        <stp/>
        <stp>Market</stp>
        <stp>STOCK</stp>
        <stp>99960.T</stp>
        <stp>上場来安値</stp>
        <tr r="W18" s="4"/>
      </tp>
      <tp>
        <v>230</v>
        <stp/>
        <stp>Market</stp>
        <stp>STOCK</stp>
        <stp>99900.T</stp>
        <stp>上場来安値</stp>
        <tr r="W14" s="4"/>
      </tp>
      <tp>
        <v>240</v>
        <stp/>
        <stp>Market</stp>
        <stp>STOCK</stp>
        <stp>99910.T</stp>
        <stp>上場来安値</stp>
        <tr r="W15" s="4"/>
      </tp>
      <tp>
        <v>875</v>
        <stp/>
        <stp>Market</stp>
        <stp>STOCK</stp>
        <stp>99930.T</stp>
        <stp>上場来安値</stp>
        <tr r="W16" s="4"/>
      </tp>
      <tp>
        <v>2186</v>
        <stp/>
        <stp>Market</stp>
        <stp>STOCK</stp>
        <stp>99940.T</stp>
        <stp>年初来安値</stp>
        <tr r="U17" s="4"/>
      </tp>
      <tp>
        <v>1791</v>
        <stp/>
        <stp>Market</stp>
        <stp>STOCK</stp>
        <stp>99960.T</stp>
        <stp>年初来安値</stp>
        <tr r="U18" s="4"/>
      </tp>
      <tp>
        <v>740</v>
        <stp/>
        <stp>Market</stp>
        <stp>STOCK</stp>
        <stp>99900.T</stp>
        <stp>年初来安値</stp>
        <tr r="U14" s="4"/>
      </tp>
      <tp>
        <v>901</v>
        <stp/>
        <stp>Market</stp>
        <stp>STOCK</stp>
        <stp>99910.T</stp>
        <stp>年初来安値</stp>
        <tr r="U15" s="4"/>
      </tp>
      <tp>
        <v>1085</v>
        <stp/>
        <stp>Market</stp>
        <stp>STOCK</stp>
        <stp>99930.T</stp>
        <stp>年初来安値</stp>
        <tr r="U16" s="4"/>
      </tp>
      <tp>
        <v>1210</v>
        <stp/>
        <stp>Market</stp>
        <stp>STOCK</stp>
        <stp>99890.T</stp>
        <stp>上場来安値</stp>
        <tr r="W13" s="4"/>
      </tp>
      <tp>
        <v>636</v>
        <stp/>
        <stp>Market</stp>
        <stp>STOCK</stp>
        <stp>99840.T</stp>
        <stp>上場来安値</stp>
        <tr r="W10" s="4"/>
      </tp>
      <tp>
        <v>471</v>
        <stp/>
        <stp>Market</stp>
        <stp>STOCK</stp>
        <stp>99860.T</stp>
        <stp>上場来安値</stp>
        <tr r="W11" s="4"/>
      </tp>
      <tp>
        <v>1550</v>
        <stp/>
        <stp>Market</stp>
        <stp>STOCK</stp>
        <stp>99870.T</stp>
        <stp>上場来安値</stp>
        <tr r="W12" s="4"/>
      </tp>
      <tp>
        <v>69</v>
        <stp/>
        <stp>Market</stp>
        <stp>STOCK</stp>
        <stp>99800.T</stp>
        <stp>上場来安値</stp>
        <tr r="W7" s="4"/>
      </tp>
      <tp>
        <v>203</v>
        <stp/>
        <stp>Market</stp>
        <stp>STOCK</stp>
        <stp>99820.T</stp>
        <stp>上場来安値</stp>
        <tr r="W8" s="4"/>
      </tp>
      <tp>
        <v>1050</v>
        <stp/>
        <stp>Market</stp>
        <stp>STOCK</stp>
        <stp>99830.T</stp>
        <stp>上場来安値</stp>
        <tr r="W9" s="4"/>
      </tp>
      <tp>
        <v>4003</v>
        <stp/>
        <stp>Market</stp>
        <stp>STOCK</stp>
        <stp>99890.T</stp>
        <stp>年初来安値</stp>
        <tr r="U13" s="4"/>
      </tp>
      <tp>
        <v>3605</v>
        <stp/>
        <stp>Market</stp>
        <stp>STOCK</stp>
        <stp>99840.T</stp>
        <stp>年初来安値</stp>
        <tr r="U10" s="4"/>
      </tp>
      <tp>
        <v>2300</v>
        <stp/>
        <stp>Market</stp>
        <stp>STOCK</stp>
        <stp>99860.T</stp>
        <stp>年初来安値</stp>
        <tr r="U11" s="4"/>
      </tp>
      <tp>
        <v>4406</v>
        <stp/>
        <stp>Market</stp>
        <stp>STOCK</stp>
        <stp>99870.T</stp>
        <stp>年初来安値</stp>
        <tr r="U12" s="4"/>
      </tp>
      <tp>
        <v>69</v>
        <stp/>
        <stp>Market</stp>
        <stp>STOCK</stp>
        <stp>99800.T</stp>
        <stp>年初来安値</stp>
        <tr r="U7" s="4"/>
      </tp>
      <tp>
        <v>1097</v>
        <stp/>
        <stp>Market</stp>
        <stp>STOCK</stp>
        <stp>99820.T</stp>
        <stp>年初来安値</stp>
        <tr r="U8" s="4"/>
      </tp>
      <tp>
        <v>41650</v>
        <stp/>
        <stp>Market</stp>
        <stp>STOCK</stp>
        <stp>99830.T</stp>
        <stp>年初来安値</stp>
        <tr r="U9" s="4"/>
      </tp>
      <tp t="s">
        <v>2026/03/05</v>
        <stp/>
        <stp>Market</stp>
        <stp>STOCK</stp>
        <stp>99740.T</stp>
        <stp>現在日付</stp>
        <tr r="D3" s="4"/>
      </tp>
      <tp t="s">
        <v>2026/03/05</v>
        <stp/>
        <stp>Market</stp>
        <stp>STOCK</stp>
        <stp>99760.T</stp>
        <stp>現在日付</stp>
        <tr r="D4" s="4"/>
      </tp>
      <tp t="s">
        <v>2026/03/05</v>
        <stp/>
        <stp>Market</stp>
        <stp>STOCK</stp>
        <stp>99790.T</stp>
        <stp>現在日付</stp>
        <tr r="D6" s="4"/>
      </tp>
      <tp t="s">
        <v>2026/03/05</v>
        <stp/>
        <stp>Market</stp>
        <stp>STOCK</stp>
        <stp>99780.T</stp>
        <stp>現在日付</stp>
        <tr r="D5" s="4"/>
      </tp>
      <tp t="s">
        <v>2026/03/05</v>
        <stp/>
        <stp>Market</stp>
        <stp>STOCK</stp>
        <stp>99800.T</stp>
        <stp>現在日付</stp>
        <tr r="D7" s="4"/>
      </tp>
      <tp t="s">
        <v>2026/03/05</v>
        <stp/>
        <stp>Market</stp>
        <stp>STOCK</stp>
        <stp>99830.T</stp>
        <stp>現在日付</stp>
        <tr r="D9" s="4"/>
      </tp>
      <tp t="s">
        <v>2026/03/05</v>
        <stp/>
        <stp>Market</stp>
        <stp>STOCK</stp>
        <stp>99820.T</stp>
        <stp>現在日付</stp>
        <tr r="D8" s="4"/>
      </tp>
      <tp t="s">
        <v>2026/03/05</v>
        <stp/>
        <stp>Market</stp>
        <stp>STOCK</stp>
        <stp>99840.T</stp>
        <stp>現在日付</stp>
        <tr r="D10" s="4"/>
      </tp>
      <tp t="s">
        <v>2026/03/05</v>
        <stp/>
        <stp>Market</stp>
        <stp>STOCK</stp>
        <stp>99870.T</stp>
        <stp>現在日付</stp>
        <tr r="D12" s="4"/>
      </tp>
      <tp t="s">
        <v>2026/03/05</v>
        <stp/>
        <stp>Market</stp>
        <stp>STOCK</stp>
        <stp>99860.T</stp>
        <stp>現在日付</stp>
        <tr r="D11" s="4"/>
      </tp>
      <tp t="s">
        <v>2026/03/05</v>
        <stp/>
        <stp>Market</stp>
        <stp>STOCK</stp>
        <stp>99890.T</stp>
        <stp>現在日付</stp>
        <tr r="D13" s="4"/>
      </tp>
      <tp t="s">
        <v>2026/03/05</v>
        <stp/>
        <stp>Market</stp>
        <stp>STOCK</stp>
        <stp>99910.T</stp>
        <stp>現在日付</stp>
        <tr r="D15" s="4"/>
      </tp>
      <tp t="s">
        <v>2026/03/05</v>
        <stp/>
        <stp>Market</stp>
        <stp>STOCK</stp>
        <stp>99900.T</stp>
        <stp>現在日付</stp>
        <tr r="D14" s="4"/>
      </tp>
      <tp t="s">
        <v>2026/03/05</v>
        <stp/>
        <stp>Market</stp>
        <stp>STOCK</stp>
        <stp>99930.T</stp>
        <stp>現在日付</stp>
        <tr r="D16" s="4"/>
      </tp>
      <tp t="s">
        <v>2026/03/05</v>
        <stp/>
        <stp>Market</stp>
        <stp>STOCK</stp>
        <stp>99940.T</stp>
        <stp>現在日付</stp>
        <tr r="D17" s="4"/>
      </tp>
      <tp t="s">
        <v>2026/03/05</v>
        <stp/>
        <stp>Market</stp>
        <stp>STOCK</stp>
        <stp>99960.T</stp>
        <stp>現在日付</stp>
        <tr r="D18" s="4"/>
      </tp>
      <tp>
        <v>0.68</v>
        <stp/>
        <stp>Market</stp>
        <stp>STOCK</stp>
        <stp>99940.T</stp>
        <stp>PBR</stp>
        <tr r="J17" s="4"/>
      </tp>
      <tp>
        <v>0.74</v>
        <stp/>
        <stp>Market</stp>
        <stp>STOCK</stp>
        <stp>99960.T</stp>
        <stp>PBR</stp>
        <tr r="J18" s="4"/>
      </tp>
      <tp>
        <v>0.91</v>
        <stp/>
        <stp>Market</stp>
        <stp>STOCK</stp>
        <stp>99910.T</stp>
        <stp>PBR</stp>
        <tr r="J15" s="4"/>
      </tp>
      <tp>
        <v>0.81</v>
        <stp/>
        <stp>Market</stp>
        <stp>STOCK</stp>
        <stp>99900.T</stp>
        <stp>PBR</stp>
        <tr r="J14" s="4"/>
      </tp>
      <tp>
        <v>0.47</v>
        <stp/>
        <stp>Market</stp>
        <stp>STOCK</stp>
        <stp>99930.T</stp>
        <stp>PBR</stp>
        <tr r="J16" s="4"/>
      </tp>
      <tp>
        <v>1.69</v>
        <stp/>
        <stp>Market</stp>
        <stp>STOCK</stp>
        <stp>99890.T</stp>
        <stp>PBR</stp>
        <tr r="J13" s="4"/>
      </tp>
      <tp>
        <v>1.56</v>
        <stp/>
        <stp>Market</stp>
        <stp>STOCK</stp>
        <stp>99840.T</stp>
        <stp>PBR</stp>
        <tr r="J10" s="4"/>
      </tp>
      <tp>
        <v>1.1000000000000001</v>
        <stp/>
        <stp>Market</stp>
        <stp>STOCK</stp>
        <stp>99870.T</stp>
        <stp>PBR</stp>
        <tr r="J12" s="4"/>
      </tp>
      <tp>
        <v>1.1000000000000001</v>
        <stp/>
        <stp>Market</stp>
        <stp>STOCK</stp>
        <stp>99860.T</stp>
        <stp>PBR</stp>
        <tr r="J11" s="4"/>
      </tp>
      <tp>
        <v>0.94</v>
        <stp/>
        <stp>Market</stp>
        <stp>STOCK</stp>
        <stp>99800.T</stp>
        <stp>PBR</stp>
        <tr r="J7" s="4"/>
      </tp>
      <tp>
        <v>8.68</v>
        <stp/>
        <stp>Market</stp>
        <stp>STOCK</stp>
        <stp>99830.T</stp>
        <stp>PBR</stp>
        <tr r="J9" s="4"/>
      </tp>
      <tp>
        <v>0.63</v>
        <stp/>
        <stp>Market</stp>
        <stp>STOCK</stp>
        <stp>99820.T</stp>
        <stp>PBR</stp>
        <tr r="J8" s="4"/>
      </tp>
      <tp>
        <v>2.09</v>
        <stp/>
        <stp>Market</stp>
        <stp>STOCK</stp>
        <stp>99790.T</stp>
        <stp>PBR</stp>
        <tr r="J6" s="4"/>
      </tp>
      <tp>
        <v>0</v>
        <stp/>
        <stp>Market</stp>
        <stp>STOCK</stp>
        <stp>99780.T</stp>
        <stp>PBR</stp>
        <tr r="J5" s="4"/>
      </tp>
      <tp>
        <v>1.36</v>
        <stp/>
        <stp>Market</stp>
        <stp>STOCK</stp>
        <stp>99740.T</stp>
        <stp>PBR</stp>
        <tr r="J3" s="4"/>
      </tp>
      <tp>
        <v>0.48</v>
        <stp/>
        <stp>Market</stp>
        <stp>STOCK</stp>
        <stp>99760.T</stp>
        <stp>PBR</stp>
        <tr r="J4" s="4"/>
      </tp>
      <tp>
        <v>12.58</v>
        <stp/>
        <stp>Market</stp>
        <stp>STOCK</stp>
        <stp>99940.T</stp>
        <stp>PER</stp>
        <tr r="I17" s="4"/>
      </tp>
      <tp>
        <v>16.579999999999998</v>
        <stp/>
        <stp>Market</stp>
        <stp>STOCK</stp>
        <stp>99960.T</stp>
        <stp>PER</stp>
        <tr r="I18" s="4"/>
      </tp>
      <tp>
        <v>11.37</v>
        <stp/>
        <stp>Market</stp>
        <stp>STOCK</stp>
        <stp>99910.T</stp>
        <stp>PER</stp>
        <tr r="I15" s="4"/>
      </tp>
      <tp>
        <v>13.12</v>
        <stp/>
        <stp>Market</stp>
        <stp>STOCK</stp>
        <stp>99900.T</stp>
        <stp>PER</stp>
        <tr r="I14" s="4"/>
      </tp>
      <tp>
        <v>8</v>
        <stp/>
        <stp>Market</stp>
        <stp>STOCK</stp>
        <stp>99930.T</stp>
        <stp>PER</stp>
        <tr r="I16" s="4"/>
      </tp>
      <tp>
        <v>15.63</v>
        <stp/>
        <stp>Market</stp>
        <stp>STOCK</stp>
        <stp>99890.T</stp>
        <stp>PER</stp>
        <tr r="I13" s="4"/>
      </tp>
      <tp>
        <v>5.64</v>
        <stp/>
        <stp>Market</stp>
        <stp>STOCK</stp>
        <stp>99840.T</stp>
        <stp>PER</stp>
        <tr r="I10" s="4"/>
      </tp>
      <tp>
        <v>12.6</v>
        <stp/>
        <stp>Market</stp>
        <stp>STOCK</stp>
        <stp>99870.T</stp>
        <stp>PER</stp>
        <tr r="I12" s="4"/>
      </tp>
      <tp>
        <v>19.23</v>
        <stp/>
        <stp>Market</stp>
        <stp>STOCK</stp>
        <stp>99860.T</stp>
        <stp>PER</stp>
        <tr r="I11" s="4"/>
      </tp>
      <tp>
        <v>11.84</v>
        <stp/>
        <stp>Market</stp>
        <stp>STOCK</stp>
        <stp>99800.T</stp>
        <stp>PER</stp>
        <tr r="I7" s="4"/>
      </tp>
      <tp>
        <v>43.88</v>
        <stp/>
        <stp>Market</stp>
        <stp>STOCK</stp>
        <stp>99830.T</stp>
        <stp>PER</stp>
        <tr r="I9" s="4"/>
      </tp>
      <tp>
        <v>14.92</v>
        <stp/>
        <stp>Market</stp>
        <stp>STOCK</stp>
        <stp>99820.T</stp>
        <stp>PER</stp>
        <tr r="I8" s="4"/>
      </tp>
      <tp>
        <v>25.77</v>
        <stp/>
        <stp>Market</stp>
        <stp>STOCK</stp>
        <stp>99790.T</stp>
        <stp>PER</stp>
        <tr r="I6" s="4"/>
      </tp>
      <tp>
        <v>98</v>
        <stp/>
        <stp>Market</stp>
        <stp>STOCK</stp>
        <stp>99780.T</stp>
        <stp>PER</stp>
        <tr r="I5" s="4"/>
      </tp>
      <tp>
        <v>12.49</v>
        <stp/>
        <stp>Market</stp>
        <stp>STOCK</stp>
        <stp>99740.T</stp>
        <stp>PER</stp>
        <tr r="I3" s="4"/>
      </tp>
      <tp>
        <v>15.17</v>
        <stp/>
        <stp>Market</stp>
        <stp>STOCK</stp>
        <stp>99760.T</stp>
        <stp>PER</stp>
        <tr r="I4" s="4"/>
      </tp>
      <tp>
        <v>-116800</v>
        <stp/>
        <stp>Market</stp>
        <stp>STOCK</stp>
        <stp>99790.T</stp>
        <stp>信用売残前週比</stp>
        <tr r="L6" s="4"/>
      </tp>
      <tp t="s">
        <v>-</v>
        <stp/>
        <stp>Market</stp>
        <stp>STOCK</stp>
        <stp>99780.T</stp>
        <stp>信用売残前週比</stp>
        <tr r="L5" s="4"/>
      </tp>
      <tp t="s">
        <v>-</v>
        <stp/>
        <stp>Market</stp>
        <stp>STOCK</stp>
        <stp>99760.T</stp>
        <stp>信用売残前週比</stp>
        <tr r="L4" s="4"/>
      </tp>
      <tp>
        <v>-124400</v>
        <stp/>
        <stp>Market</stp>
        <stp>STOCK</stp>
        <stp>99740.T</stp>
        <stp>信用売残前週比</stp>
        <tr r="L3" s="4"/>
      </tp>
      <tp>
        <v>18200</v>
        <stp/>
        <stp>Market</stp>
        <stp>STOCK</stp>
        <stp>99890.T</stp>
        <stp>信用売残前週比</stp>
        <tr r="L13" s="4"/>
      </tp>
      <tp>
        <v>3400</v>
        <stp/>
        <stp>Market</stp>
        <stp>STOCK</stp>
        <stp>99870.T</stp>
        <stp>信用売残前週比</stp>
        <tr r="L12" s="4"/>
      </tp>
      <tp t="s">
        <v>-</v>
        <stp/>
        <stp>Market</stp>
        <stp>STOCK</stp>
        <stp>99860.T</stp>
        <stp>信用売残前週比</stp>
        <tr r="L11" s="4"/>
      </tp>
      <tp>
        <v>-329500</v>
        <stp/>
        <stp>Market</stp>
        <stp>STOCK</stp>
        <stp>99840.T</stp>
        <stp>信用売残前週比</stp>
        <tr r="L10" s="4"/>
      </tp>
      <tp>
        <v>10800</v>
        <stp/>
        <stp>Market</stp>
        <stp>STOCK</stp>
        <stp>99830.T</stp>
        <stp>信用売残前週比</stp>
        <tr r="L9" s="4"/>
      </tp>
      <tp>
        <v>0</v>
        <stp/>
        <stp>Market</stp>
        <stp>STOCK</stp>
        <stp>99820.T</stp>
        <stp>信用売残前週比</stp>
        <tr r="L8" s="4"/>
      </tp>
      <tp>
        <v>194700</v>
        <stp/>
        <stp>Market</stp>
        <stp>STOCK</stp>
        <stp>99800.T</stp>
        <stp>信用売残前週比</stp>
        <tr r="L7" s="4"/>
      </tp>
      <tp>
        <v>500</v>
        <stp/>
        <stp>Market</stp>
        <stp>STOCK</stp>
        <stp>99960.T</stp>
        <stp>信用売残前週比</stp>
        <tr r="L18" s="4"/>
      </tp>
      <tp>
        <v>700</v>
        <stp/>
        <stp>Market</stp>
        <stp>STOCK</stp>
        <stp>99940.T</stp>
        <stp>信用売残前週比</stp>
        <tr r="L17" s="4"/>
      </tp>
      <tp t="s">
        <v>-</v>
        <stp/>
        <stp>Market</stp>
        <stp>STOCK</stp>
        <stp>99930.T</stp>
        <stp>信用売残前週比</stp>
        <tr r="L16" s="4"/>
      </tp>
      <tp>
        <v>500</v>
        <stp/>
        <stp>Market</stp>
        <stp>STOCK</stp>
        <stp>99910.T</stp>
        <stp>信用売残前週比</stp>
        <tr r="L15" s="4"/>
      </tp>
      <tp>
        <v>74100</v>
        <stp/>
        <stp>Market</stp>
        <stp>STOCK</stp>
        <stp>99900.T</stp>
        <stp>信用売残前週比</stp>
        <tr r="L14" s="4"/>
      </tp>
      <tp>
        <v>-29200</v>
        <stp/>
        <stp>Market</stp>
        <stp>STOCK</stp>
        <stp>99790.T</stp>
        <stp>信用買残前週比</stp>
        <tr r="N6" s="4"/>
      </tp>
      <tp>
        <v>-208000</v>
        <stp/>
        <stp>Market</stp>
        <stp>STOCK</stp>
        <stp>99780.T</stp>
        <stp>信用買残前週比</stp>
        <tr r="N5" s="4"/>
      </tp>
      <tp>
        <v>-300</v>
        <stp/>
        <stp>Market</stp>
        <stp>STOCK</stp>
        <stp>99760.T</stp>
        <stp>信用買残前週比</stp>
        <tr r="N4" s="4"/>
      </tp>
      <tp>
        <v>-6000</v>
        <stp/>
        <stp>Market</stp>
        <stp>STOCK</stp>
        <stp>99740.T</stp>
        <stp>信用買残前週比</stp>
        <tr r="N3" s="4"/>
      </tp>
      <tp>
        <v>-100</v>
        <stp/>
        <stp>Market</stp>
        <stp>STOCK</stp>
        <stp>99960.T</stp>
        <stp>信用買残前週比</stp>
        <tr r="N18" s="4"/>
      </tp>
      <tp>
        <v>12300</v>
        <stp/>
        <stp>Market</stp>
        <stp>STOCK</stp>
        <stp>99940.T</stp>
        <stp>信用買残前週比</stp>
        <tr r="N17" s="4"/>
      </tp>
      <tp>
        <v>-3600</v>
        <stp/>
        <stp>Market</stp>
        <stp>STOCK</stp>
        <stp>99930.T</stp>
        <stp>信用買残前週比</stp>
        <tr r="N16" s="4"/>
      </tp>
      <tp>
        <v>-10000</v>
        <stp/>
        <stp>Market</stp>
        <stp>STOCK</stp>
        <stp>99910.T</stp>
        <stp>信用買残前週比</stp>
        <tr r="N15" s="4"/>
      </tp>
      <tp>
        <v>-4800</v>
        <stp/>
        <stp>Market</stp>
        <stp>STOCK</stp>
        <stp>99900.T</stp>
        <stp>信用買残前週比</stp>
        <tr r="N14" s="4"/>
      </tp>
      <tp>
        <v>-4400</v>
        <stp/>
        <stp>Market</stp>
        <stp>STOCK</stp>
        <stp>99890.T</stp>
        <stp>信用買残前週比</stp>
        <tr r="N13" s="4"/>
      </tp>
      <tp>
        <v>2500</v>
        <stp/>
        <stp>Market</stp>
        <stp>STOCK</stp>
        <stp>99870.T</stp>
        <stp>信用買残前週比</stp>
        <tr r="N12" s="4"/>
      </tp>
      <tp>
        <v>300</v>
        <stp/>
        <stp>Market</stp>
        <stp>STOCK</stp>
        <stp>99860.T</stp>
        <stp>信用買残前週比</stp>
        <tr r="N11" s="4"/>
      </tp>
      <tp>
        <v>2388800</v>
        <stp/>
        <stp>Market</stp>
        <stp>STOCK</stp>
        <stp>99840.T</stp>
        <stp>信用買残前週比</stp>
        <tr r="N10" s="4"/>
      </tp>
      <tp>
        <v>-65800</v>
        <stp/>
        <stp>Market</stp>
        <stp>STOCK</stp>
        <stp>99830.T</stp>
        <stp>信用買残前週比</stp>
        <tr r="N9" s="4"/>
      </tp>
      <tp>
        <v>7500</v>
        <stp/>
        <stp>Market</stp>
        <stp>STOCK</stp>
        <stp>99820.T</stp>
        <stp>信用買残前週比</stp>
        <tr r="N8" s="4"/>
      </tp>
      <tp>
        <v>924600</v>
        <stp/>
        <stp>Market</stp>
        <stp>STOCK</stp>
        <stp>99800.T</stp>
        <stp>信用買残前週比</stp>
        <tr r="N7" s="4"/>
      </tp>
      <tp>
        <v>100</v>
        <stp/>
        <stp>Market</stp>
        <stp>STOCK</stp>
        <stp>99790.T</stp>
        <stp>単位株数</stp>
        <tr r="G6" s="4"/>
      </tp>
      <tp>
        <v>100</v>
        <stp/>
        <stp>Market</stp>
        <stp>STOCK</stp>
        <stp>99780.T</stp>
        <stp>単位株数</stp>
        <tr r="G5" s="4"/>
      </tp>
      <tp>
        <v>100</v>
        <stp/>
        <stp>Market</stp>
        <stp>STOCK</stp>
        <stp>99740.T</stp>
        <stp>単位株数</stp>
        <tr r="G3" s="4"/>
      </tp>
      <tp>
        <v>100</v>
        <stp/>
        <stp>Market</stp>
        <stp>STOCK</stp>
        <stp>99760.T</stp>
        <stp>単位株数</stp>
        <tr r="G4" s="4"/>
      </tp>
      <tp>
        <v>100</v>
        <stp/>
        <stp>Market</stp>
        <stp>STOCK</stp>
        <stp>99890.T</stp>
        <stp>単位株数</stp>
        <tr r="G13" s="4"/>
      </tp>
      <tp>
        <v>100</v>
        <stp/>
        <stp>Market</stp>
        <stp>STOCK</stp>
        <stp>99800.T</stp>
        <stp>単位株数</stp>
        <tr r="G7" s="4"/>
      </tp>
      <tp>
        <v>100</v>
        <stp/>
        <stp>Market</stp>
        <stp>STOCK</stp>
        <stp>99830.T</stp>
        <stp>単位株数</stp>
        <tr r="G9" s="4"/>
      </tp>
      <tp>
        <v>100</v>
        <stp/>
        <stp>Market</stp>
        <stp>STOCK</stp>
        <stp>99820.T</stp>
        <stp>単位株数</stp>
        <tr r="G8" s="4"/>
      </tp>
      <tp>
        <v>100</v>
        <stp/>
        <stp>Market</stp>
        <stp>STOCK</stp>
        <stp>99840.T</stp>
        <stp>単位株数</stp>
        <tr r="G10" s="4"/>
      </tp>
      <tp>
        <v>100</v>
        <stp/>
        <stp>Market</stp>
        <stp>STOCK</stp>
        <stp>99870.T</stp>
        <stp>単位株数</stp>
        <tr r="G12" s="4"/>
      </tp>
      <tp>
        <v>100</v>
        <stp/>
        <stp>Market</stp>
        <stp>STOCK</stp>
        <stp>99860.T</stp>
        <stp>単位株数</stp>
        <tr r="G11" s="4"/>
      </tp>
      <tp>
        <v>100</v>
        <stp/>
        <stp>Market</stp>
        <stp>STOCK</stp>
        <stp>99910.T</stp>
        <stp>単位株数</stp>
        <tr r="G15" s="4"/>
      </tp>
      <tp>
        <v>100</v>
        <stp/>
        <stp>Market</stp>
        <stp>STOCK</stp>
        <stp>99900.T</stp>
        <stp>単位株数</stp>
        <tr r="G14" s="4"/>
      </tp>
      <tp>
        <v>100</v>
        <stp/>
        <stp>Market</stp>
        <stp>STOCK</stp>
        <stp>99930.T</stp>
        <stp>単位株数</stp>
        <tr r="G16" s="4"/>
      </tp>
      <tp>
        <v>100</v>
        <stp/>
        <stp>Market</stp>
        <stp>STOCK</stp>
        <stp>99940.T</stp>
        <stp>単位株数</stp>
        <tr r="G17" s="4"/>
      </tp>
      <tp>
        <v>100</v>
        <stp/>
        <stp>Market</stp>
        <stp>STOCK</stp>
        <stp>99960.T</stp>
        <stp>単位株数</stp>
        <tr r="G18" s="4"/>
      </tp>
      <tp t="s">
        <v/>
        <stp/>
        <stp>Market</stp>
        <stp>FOP</stp>
        <stp>銘柄コード</stp>
        <stp>取得項目</stp>
        <tr r="F29" s="1"/>
      </tp>
      <tp>
        <v>131</v>
        <stp/>
        <stp>Market</stp>
        <stp>STOCK</stp>
        <stp>99890.T</stp>
        <stp>配当</stp>
        <tr r="H13" s="4"/>
      </tp>
      <tp>
        <v>14</v>
        <stp/>
        <stp>Market</stp>
        <stp>STOCK</stp>
        <stp>99790.T</stp>
        <stp>配当</stp>
        <tr r="H6" s="4"/>
      </tp>
      <tp>
        <v>0</v>
        <stp/>
        <stp>Market</stp>
        <stp>STOCK</stp>
        <stp>99780.T</stp>
        <stp>配当</stp>
        <tr r="H5" s="4"/>
      </tp>
      <tp>
        <v>75</v>
        <stp/>
        <stp>Market</stp>
        <stp>STOCK</stp>
        <stp>99940.T</stp>
        <stp>配当</stp>
        <tr r="H17" s="4"/>
      </tp>
      <tp>
        <v>11</v>
        <stp/>
        <stp>Market</stp>
        <stp>STOCK</stp>
        <stp>99840.T</stp>
        <stp>配当</stp>
        <tr r="H10" s="4"/>
      </tp>
      <tp>
        <v>124</v>
        <stp/>
        <stp>Market</stp>
        <stp>STOCK</stp>
        <stp>99740.T</stp>
        <stp>配当</stp>
        <tr r="H3" s="4"/>
      </tp>
      <tp>
        <v>100</v>
        <stp/>
        <stp>Market</stp>
        <stp>STOCK</stp>
        <stp>99870.T</stp>
        <stp>配当</stp>
        <tr r="H12" s="4"/>
      </tp>
      <tp>
        <v>46</v>
        <stp/>
        <stp>Market</stp>
        <stp>STOCK</stp>
        <stp>99960.T</stp>
        <stp>配当</stp>
        <tr r="H18" s="4"/>
      </tp>
      <tp>
        <v>100</v>
        <stp/>
        <stp>Market</stp>
        <stp>STOCK</stp>
        <stp>99860.T</stp>
        <stp>配当</stp>
        <tr r="H11" s="4"/>
      </tp>
      <tp>
        <v>20</v>
        <stp/>
        <stp>Market</stp>
        <stp>STOCK</stp>
        <stp>99760.T</stp>
        <stp>配当</stp>
        <tr r="H4" s="4"/>
      </tp>
      <tp>
        <v>65</v>
        <stp/>
        <stp>Market</stp>
        <stp>STOCK</stp>
        <stp>99910.T</stp>
        <stp>配当</stp>
        <tr r="H15" s="4"/>
      </tp>
      <tp>
        <v>35</v>
        <stp/>
        <stp>Market</stp>
        <stp>STOCK</stp>
        <stp>99900.T</stp>
        <stp>配当</stp>
        <tr r="H14" s="4"/>
      </tp>
      <tp>
        <v>1</v>
        <stp/>
        <stp>Market</stp>
        <stp>STOCK</stp>
        <stp>99800.T</stp>
        <stp>配当</stp>
        <tr r="H7" s="4"/>
      </tp>
      <tp>
        <v>27</v>
        <stp/>
        <stp>Market</stp>
        <stp>STOCK</stp>
        <stp>99930.T</stp>
        <stp>配当</stp>
        <tr r="H16" s="4"/>
      </tp>
      <tp>
        <v>540</v>
        <stp/>
        <stp>Market</stp>
        <stp>STOCK</stp>
        <stp>99830.T</stp>
        <stp>配当</stp>
        <tr r="H9" s="4"/>
      </tp>
      <tp>
        <v>45</v>
        <stp/>
        <stp>Market</stp>
        <stp>STOCK</stp>
        <stp>99820.T</stp>
        <stp>配当</stp>
        <tr r="H8" s="4"/>
      </tp>
      <tp>
        <v>9984</v>
        <stp/>
        <stp>Market</stp>
        <stp>STOCK</stp>
        <stp>99840.T</stp>
        <stp>銘柄コード</stp>
        <tr r="B10" s="4"/>
      </tp>
      <tp>
        <v>9987</v>
        <stp/>
        <stp>Market</stp>
        <stp>STOCK</stp>
        <stp>99870.T</stp>
        <stp>銘柄コード</stp>
        <tr r="B12" s="4"/>
      </tp>
      <tp>
        <v>9986</v>
        <stp/>
        <stp>Market</stp>
        <stp>STOCK</stp>
        <stp>99860.T</stp>
        <stp>銘柄コード</stp>
        <tr r="B11" s="4"/>
      </tp>
      <tp>
        <v>9980</v>
        <stp/>
        <stp>Market</stp>
        <stp>STOCK</stp>
        <stp>99800.T</stp>
        <stp>銘柄コード</stp>
        <tr r="B7" s="4"/>
      </tp>
      <tp>
        <v>9983</v>
        <stp/>
        <stp>Market</stp>
        <stp>STOCK</stp>
        <stp>99830.T</stp>
        <stp>銘柄コード</stp>
        <tr r="B9" s="4"/>
      </tp>
      <tp>
        <v>9982</v>
        <stp/>
        <stp>Market</stp>
        <stp>STOCK</stp>
        <stp>99820.T</stp>
        <stp>銘柄コード</stp>
        <tr r="B8" s="4"/>
      </tp>
      <tp>
        <v>9989</v>
        <stp/>
        <stp>Market</stp>
        <stp>STOCK</stp>
        <stp>99890.T</stp>
        <stp>銘柄コード</stp>
        <tr r="B13" s="4"/>
      </tp>
      <tp>
        <v>9994</v>
        <stp/>
        <stp>Market</stp>
        <stp>STOCK</stp>
        <stp>99940.T</stp>
        <stp>銘柄コード</stp>
        <tr r="B17" s="4"/>
      </tp>
      <tp>
        <v>9996</v>
        <stp/>
        <stp>Market</stp>
        <stp>STOCK</stp>
        <stp>99960.T</stp>
        <stp>銘柄コード</stp>
        <tr r="B18" s="4"/>
      </tp>
      <tp>
        <v>9991</v>
        <stp/>
        <stp>Market</stp>
        <stp>STOCK</stp>
        <stp>99910.T</stp>
        <stp>銘柄コード</stp>
        <tr r="B15" s="4"/>
      </tp>
      <tp>
        <v>9990</v>
        <stp/>
        <stp>Market</stp>
        <stp>STOCK</stp>
        <stp>99900.T</stp>
        <stp>銘柄コード</stp>
        <tr r="B14" s="4"/>
      </tp>
      <tp>
        <v>9993</v>
        <stp/>
        <stp>Market</stp>
        <stp>STOCK</stp>
        <stp>99930.T</stp>
        <stp>銘柄コード</stp>
        <tr r="B16" s="4"/>
      </tp>
      <tp t="s">
        <v/>
        <stp/>
        <stp>Market</stp>
        <stp>INDEX</stp>
        <stp>指標コード</stp>
        <stp>取得項目</stp>
        <tr r="F30" s="1"/>
      </tp>
      <tp>
        <v>9974</v>
        <stp/>
        <stp>Market</stp>
        <stp>STOCK</stp>
        <stp>99740.T</stp>
        <stp>銘柄コード</stp>
        <tr r="B3" s="4"/>
      </tp>
      <tp>
        <v>9976</v>
        <stp/>
        <stp>Market</stp>
        <stp>STOCK</stp>
        <stp>99760.T</stp>
        <stp>銘柄コード</stp>
        <tr r="B4" s="4"/>
      </tp>
      <tp>
        <v>9979</v>
        <stp/>
        <stp>Market</stp>
        <stp>STOCK</stp>
        <stp>99790.T</stp>
        <stp>銘柄コード</stp>
        <tr r="B6" s="4"/>
      </tp>
      <tp>
        <v>9978</v>
        <stp/>
        <stp>Market</stp>
        <stp>STOCK</stp>
        <stp>99780.T</stp>
        <stp>銘柄コード</stp>
        <tr r="B5" s="4"/>
      </tp>
      <tp>
        <v>14282</v>
        <stp/>
        <stp>Market</stp>
        <stp>STOCK</stp>
        <stp>99800.T</stp>
        <stp>時価総額</stp>
        <tr r="F7" s="4"/>
      </tp>
      <tp>
        <v>20480701</v>
        <stp/>
        <stp>Market</stp>
        <stp>STOCK</stp>
        <stp>99830.T</stp>
        <stp>時価総額</stp>
        <tr r="F9" s="4"/>
      </tp>
      <tp>
        <v>20064</v>
        <stp/>
        <stp>Market</stp>
        <stp>STOCK</stp>
        <stp>99820.T</stp>
        <stp>時価総額</stp>
        <tr r="F8" s="4"/>
      </tp>
      <tp>
        <v>22070581</v>
        <stp/>
        <stp>Market</stp>
        <stp>STOCK</stp>
        <stp>99840.T</stp>
        <stp>時価総額</stp>
        <tr r="F10" s="4"/>
      </tp>
      <tp>
        <v>462880</v>
        <stp/>
        <stp>Market</stp>
        <stp>STOCK</stp>
        <stp>99870.T</stp>
        <stp>時価総額</stp>
        <tr r="F12" s="4"/>
      </tp>
      <tp>
        <v>16404</v>
        <stp/>
        <stp>Market</stp>
        <stp>STOCK</stp>
        <stp>99860.T</stp>
        <stp>時価総額</stp>
        <tr r="F11" s="4"/>
      </tp>
      <tp>
        <v>478398</v>
        <stp/>
        <stp>Market</stp>
        <stp>STOCK</stp>
        <stp>99890.T</stp>
        <stp>時価総額</stp>
        <tr r="F13" s="4"/>
      </tp>
      <tp>
        <v>62860</v>
        <stp/>
        <stp>Market</stp>
        <stp>STOCK</stp>
        <stp>99910.T</stp>
        <stp>時価総額</stp>
        <tr r="F15" s="4"/>
      </tp>
      <tp>
        <v>24813</v>
        <stp/>
        <stp>Market</stp>
        <stp>STOCK</stp>
        <stp>99900.T</stp>
        <stp>時価総額</stp>
        <tr r="F14" s="4"/>
      </tp>
      <tp>
        <v>12824</v>
        <stp/>
        <stp>Market</stp>
        <stp>STOCK</stp>
        <stp>99930.T</stp>
        <stp>時価総額</stp>
        <tr r="F16" s="4"/>
      </tp>
      <tp>
        <v>24678</v>
        <stp/>
        <stp>Market</stp>
        <stp>STOCK</stp>
        <stp>99940.T</stp>
        <stp>時価総額</stp>
        <tr r="F17" s="4"/>
      </tp>
      <tp>
        <v>21838</v>
        <stp/>
        <stp>Market</stp>
        <stp>STOCK</stp>
        <stp>99960.T</stp>
        <stp>時価総額</stp>
        <tr r="F18" s="4"/>
      </tp>
      <tp>
        <v>156508</v>
        <stp/>
        <stp>Market</stp>
        <stp>STOCK</stp>
        <stp>99740.T</stp>
        <stp>時価総額</stp>
        <tr r="F3" s="4"/>
      </tp>
      <tp>
        <v>5815</v>
        <stp/>
        <stp>Market</stp>
        <stp>STOCK</stp>
        <stp>99760.T</stp>
        <stp>時価総額</stp>
        <tr r="F4" s="4"/>
      </tp>
      <tp>
        <v>23933</v>
        <stp/>
        <stp>Market</stp>
        <stp>STOCK</stp>
        <stp>99790.T</stp>
        <stp>時価総額</stp>
        <tr r="F6" s="4"/>
      </tp>
      <tp>
        <v>2148</v>
        <stp/>
        <stp>Market</stp>
        <stp>STOCK</stp>
        <stp>99780.T</stp>
        <stp>時価総額</stp>
        <tr r="F5" s="4"/>
      </tp>
      <tp t="s">
        <v>2026/08/28</v>
        <stp/>
        <stp>Market</stp>
        <stp>STOCK</stp>
        <stp>99780.T</stp>
        <stp>配当落日</stp>
        <tr r="P5" s="4"/>
      </tp>
      <tp t="s">
        <v>2026/08/28</v>
        <stp/>
        <stp>Market</stp>
        <stp>STOCK</stp>
        <stp>99790.T</stp>
        <stp>配当落日</stp>
        <tr r="P6" s="4"/>
      </tp>
      <tp t="s">
        <v>2027/02/18</v>
        <stp/>
        <stp>Market</stp>
        <stp>STOCK</stp>
        <stp>99760.T</stp>
        <stp>配当落日</stp>
        <tr r="P4" s="4"/>
      </tp>
      <tp t="s">
        <v>2027/02/25</v>
        <stp/>
        <stp>Market</stp>
        <stp>STOCK</stp>
        <stp>99740.T</stp>
        <stp>配当落日</stp>
        <tr r="P3" s="4"/>
      </tp>
      <tp t="s">
        <v>2026/03/30</v>
        <stp/>
        <stp>Market</stp>
        <stp>STOCK</stp>
        <stp>99960.T</stp>
        <stp>配当落日</stp>
        <tr r="P18" s="4"/>
      </tp>
      <tp t="s">
        <v>2026/03/30</v>
        <stp/>
        <stp>Market</stp>
        <stp>STOCK</stp>
        <stp>99940.T</stp>
        <stp>配当落日</stp>
        <tr r="P17" s="4"/>
      </tp>
      <tp t="s">
        <v>2027/02/25</v>
        <stp/>
        <stp>Market</stp>
        <stp>STOCK</stp>
        <stp>99930.T</stp>
        <stp>配当落日</stp>
        <tr r="P16" s="4"/>
      </tp>
      <tp t="s">
        <v>2026/03/30</v>
        <stp/>
        <stp>Market</stp>
        <stp>STOCK</stp>
        <stp>99900.T</stp>
        <stp>配当落日</stp>
        <tr r="P14" s="4"/>
      </tp>
      <tp t="s">
        <v>2026/03/30</v>
        <stp/>
        <stp>Market</stp>
        <stp>STOCK</stp>
        <stp>99910.T</stp>
        <stp>配当落日</stp>
        <tr r="P15" s="4"/>
      </tp>
      <tp t="s">
        <v>2026/03/30</v>
        <stp/>
        <stp>Market</stp>
        <stp>STOCK</stp>
        <stp>99890.T</stp>
        <stp>配当落日</stp>
        <tr r="P13" s="4"/>
      </tp>
      <tp t="s">
        <v>2026/03/30</v>
        <stp/>
        <stp>Market</stp>
        <stp>STOCK</stp>
        <stp>99860.T</stp>
        <stp>配当落日</stp>
        <tr r="P11" s="4"/>
      </tp>
      <tp t="s">
        <v>2026/03/30</v>
        <stp/>
        <stp>Market</stp>
        <stp>STOCK</stp>
        <stp>99870.T</stp>
        <stp>配当落日</stp>
        <tr r="P12" s="4"/>
      </tp>
      <tp t="s">
        <v>2026/03/30</v>
        <stp/>
        <stp>Market</stp>
        <stp>STOCK</stp>
        <stp>99840.T</stp>
        <stp>配当落日</stp>
        <tr r="P10" s="4"/>
      </tp>
      <tp t="s">
        <v>2027/02/25</v>
        <stp/>
        <stp>Market</stp>
        <stp>STOCK</stp>
        <stp>99820.T</stp>
        <stp>配当落日</stp>
        <tr r="P8" s="4"/>
      </tp>
      <tp t="s">
        <v>2026/08/28</v>
        <stp/>
        <stp>Market</stp>
        <stp>STOCK</stp>
        <stp>99830.T</stp>
        <stp>配当落日</stp>
        <tr r="P9" s="4"/>
      </tp>
      <tp t="s">
        <v>2026/03/30</v>
        <stp/>
        <stp>Market</stp>
        <stp>STOCK</stp>
        <stp>99800.T</stp>
        <stp>配当落日</stp>
        <tr r="P7" s="4"/>
      </tp>
      <tp>
        <v>2386</v>
        <stp/>
        <stp>Market</stp>
        <stp>STOCK</stp>
        <stp>99960.T</stp>
        <stp>現在値</stp>
        <tr r="E18" s="4"/>
      </tp>
      <tp>
        <v>2275</v>
        <stp/>
        <stp>Market</stp>
        <stp>STOCK</stp>
        <stp>99940.T</stp>
        <stp>現在値</stp>
        <tr r="E17" s="4"/>
      </tp>
      <tp>
        <v>1170</v>
        <stp/>
        <stp>Market</stp>
        <stp>STOCK</stp>
        <stp>99930.T</stp>
        <stp>現在値</stp>
        <tr r="E16" s="4"/>
      </tp>
      <tp>
        <v>831</v>
        <stp/>
        <stp>Market</stp>
        <stp>STOCK</stp>
        <stp>99900.T</stp>
        <stp>現在値</stp>
        <tr r="E14" s="4"/>
      </tp>
      <tp>
        <v>1860</v>
        <stp/>
        <stp>Market</stp>
        <stp>STOCK</stp>
        <stp>99910.T</stp>
        <stp>現在値</stp>
        <tr r="E15" s="4"/>
      </tp>
      <tp>
        <v>4009</v>
        <stp/>
        <stp>Market</stp>
        <stp>STOCK</stp>
        <stp>99890.T</stp>
        <stp>現在値</stp>
        <tr r="E13" s="4"/>
      </tp>
      <tp>
        <v>2618</v>
        <stp/>
        <stp>Market</stp>
        <stp>STOCK</stp>
        <stp>99860.T</stp>
        <stp>現在値</stp>
        <tr r="E11" s="4"/>
      </tp>
      <tp>
        <v>6414</v>
        <stp/>
        <stp>Market</stp>
        <stp>STOCK</stp>
        <stp>99870.T</stp>
        <stp>現在値</stp>
        <tr r="E12" s="4"/>
      </tp>
      <tp>
        <v>3864</v>
        <stp/>
        <stp>Market</stp>
        <stp>STOCK</stp>
        <stp>99840.T</stp>
        <stp>現在値</stp>
        <tr r="E10" s="4"/>
      </tp>
      <tp>
        <v>2280</v>
        <stp/>
        <stp>Market</stp>
        <stp>STOCK</stp>
        <stp>99820.T</stp>
        <stp>現在値</stp>
        <tr r="E8" s="4"/>
      </tp>
      <tp>
        <v>64360</v>
        <stp/>
        <stp>Market</stp>
        <stp>STOCK</stp>
        <stp>99830.T</stp>
        <stp>現在値</stp>
        <tr r="E9" s="4"/>
      </tp>
      <tp>
        <v>141</v>
        <stp/>
        <stp>Market</stp>
        <stp>STOCK</stp>
        <stp>99800.T</stp>
        <stp>現在値</stp>
        <tr r="E7" s="4"/>
      </tp>
      <tp>
        <v>49</v>
        <stp/>
        <stp>Market</stp>
        <stp>STOCK</stp>
        <stp>99780.T</stp>
        <stp>現在値</stp>
        <tr r="E5" s="4"/>
      </tp>
      <tp>
        <v>1129</v>
        <stp/>
        <stp>Market</stp>
        <stp>STOCK</stp>
        <stp>99790.T</stp>
        <stp>現在値</stp>
        <tr r="E6" s="4"/>
      </tp>
      <tp>
        <v>1041</v>
        <stp/>
        <stp>Market</stp>
        <stp>STOCK</stp>
        <stp>99760.T</stp>
        <stp>現在値</stp>
        <tr r="E4" s="4"/>
      </tp>
      <tp>
        <v>7500</v>
        <stp/>
        <stp>Market</stp>
        <stp>STOCK</stp>
        <stp>99740.T</stp>
        <stp>現在値</stp>
        <tr r="E3" s="4"/>
      </tp>
    </main>
    <main first="rtdsrv.c1b944f8fcf44c2caeb165b7f8069e7f">
      <tp t="s">
        <v>2026/08/28</v>
        <stp/>
        <stp>Market</stp>
        <stp>STOCK</stp>
        <stp>99740.T</stp>
        <stp>中配落日</stp>
        <tr r="Q3" s="4"/>
      </tp>
      <tp t="s">
        <v>2026/08/19</v>
        <stp/>
        <stp>Market</stp>
        <stp>STOCK</stp>
        <stp>99760.T</stp>
        <stp>中配落日</stp>
        <tr r="Q4" s="4"/>
      </tp>
      <tp t="s">
        <v>2027/02/25</v>
        <stp/>
        <stp>Market</stp>
        <stp>STOCK</stp>
        <stp>99790.T</stp>
        <stp>中配落日</stp>
        <tr r="Q6" s="4"/>
      </tp>
      <tp t="s">
        <v>2027/02/25</v>
        <stp/>
        <stp>Market</stp>
        <stp>STOCK</stp>
        <stp>99780.T</stp>
        <stp>中配落日</stp>
        <tr r="Q5" s="4"/>
      </tp>
      <tp t="s">
        <v>2026/09/29</v>
        <stp/>
        <stp>Market</stp>
        <stp>STOCK</stp>
        <stp>99910.T</stp>
        <stp>中配落日</stp>
        <tr r="Q15" s="4"/>
      </tp>
      <tp t="s">
        <v>2026/09/29</v>
        <stp/>
        <stp>Market</stp>
        <stp>STOCK</stp>
        <stp>99900.T</stp>
        <stp>中配落日</stp>
        <tr r="Q14" s="4"/>
      </tp>
      <tp t="s">
        <v>2026/08/28</v>
        <stp/>
        <stp>Market</stp>
        <stp>STOCK</stp>
        <stp>99930.T</stp>
        <stp>中配落日</stp>
        <tr r="Q16" s="4"/>
      </tp>
      <tp t="s">
        <v>2026/09/29</v>
        <stp/>
        <stp>Market</stp>
        <stp>STOCK</stp>
        <stp>99940.T</stp>
        <stp>中配落日</stp>
        <tr r="Q17" s="4"/>
      </tp>
      <tp t="s">
        <v>2026/09/29</v>
        <stp/>
        <stp>Market</stp>
        <stp>STOCK</stp>
        <stp>99960.T</stp>
        <stp>中配落日</stp>
        <tr r="Q18" s="4"/>
      </tp>
      <tp t="s">
        <v>2026/09/29</v>
        <stp/>
        <stp>Market</stp>
        <stp>STOCK</stp>
        <stp>99800.T</stp>
        <stp>中配落日</stp>
        <tr r="Q7" s="4"/>
      </tp>
      <tp t="s">
        <v>2027/02/25</v>
        <stp/>
        <stp>Market</stp>
        <stp>STOCK</stp>
        <stp>99830.T</stp>
        <stp>中配落日</stp>
        <tr r="Q9" s="4"/>
      </tp>
      <tp t="s">
        <v>2026/08/28</v>
        <stp/>
        <stp>Market</stp>
        <stp>STOCK</stp>
        <stp>99820.T</stp>
        <stp>中配落日</stp>
        <tr r="Q8" s="4"/>
      </tp>
      <tp t="s">
        <v>2026/09/29</v>
        <stp/>
        <stp>Market</stp>
        <stp>STOCK</stp>
        <stp>99840.T</stp>
        <stp>中配落日</stp>
        <tr r="Q10" s="4"/>
      </tp>
      <tp t="s">
        <v>2026/09/29</v>
        <stp/>
        <stp>Market</stp>
        <stp>STOCK</stp>
        <stp>99870.T</stp>
        <stp>中配落日</stp>
        <tr r="Q12" s="4"/>
      </tp>
      <tp t="s">
        <v>2026/09/29</v>
        <stp/>
        <stp>Market</stp>
        <stp>STOCK</stp>
        <stp>99860.T</stp>
        <stp>中配落日</stp>
        <tr r="Q11" s="4"/>
      </tp>
      <tp t="s">
        <v>2026/09/29</v>
        <stp/>
        <stp>Market</stp>
        <stp>STOCK</stp>
        <stp>99890.T</stp>
        <stp>中配落日</stp>
        <tr r="Q13" s="4"/>
      </tp>
      <tp t="s">
        <v/>
        <stp/>
        <stp>Market</stp>
        <stp>STOCK</stp>
        <stp>銘柄コード.T</stp>
        <stp>取得項目</stp>
        <tr r="F28" s="1"/>
      </tp>
    </main>
    <main first="rtdsrv.c1b944f8fcf44c2caeb165b7f8069e7f">
      <tp t="s">
        <v/>
        <stp/>
        <stp>Market</stp>
        <stp>STOCK</stp>
        <stp>99740.T</stp>
        <stp>権利落日</stp>
        <tr r="R3" s="4"/>
      </tp>
      <tp t="s">
        <v/>
        <stp/>
        <stp>Market</stp>
        <stp>STOCK</stp>
        <stp>99760.T</stp>
        <stp>権利落日</stp>
        <tr r="R4" s="4"/>
      </tp>
      <tp t="s">
        <v/>
        <stp/>
        <stp>Market</stp>
        <stp>STOCK</stp>
        <stp>99790.T</stp>
        <stp>権利落日</stp>
        <tr r="R6" s="4"/>
      </tp>
      <tp t="s">
        <v/>
        <stp/>
        <stp>Market</stp>
        <stp>STOCK</stp>
        <stp>99780.T</stp>
        <stp>権利落日</stp>
        <tr r="R5" s="4"/>
      </tp>
      <tp t="s">
        <v/>
        <stp/>
        <stp>Market</stp>
        <stp>STOCK</stp>
        <stp>99940.T</stp>
        <stp>権利落日</stp>
        <tr r="R17" s="4"/>
      </tp>
      <tp t="s">
        <v/>
        <stp/>
        <stp>Market</stp>
        <stp>STOCK</stp>
        <stp>99960.T</stp>
        <stp>権利落日</stp>
        <tr r="R18" s="4"/>
      </tp>
      <tp t="s">
        <v/>
        <stp/>
        <stp>Market</stp>
        <stp>STOCK</stp>
        <stp>99910.T</stp>
        <stp>権利落日</stp>
        <tr r="R15" s="4"/>
      </tp>
      <tp t="s">
        <v/>
        <stp/>
        <stp>Market</stp>
        <stp>STOCK</stp>
        <stp>99900.T</stp>
        <stp>権利落日</stp>
        <tr r="R14" s="4"/>
      </tp>
      <tp t="s">
        <v/>
        <stp/>
        <stp>Market</stp>
        <stp>STOCK</stp>
        <stp>99930.T</stp>
        <stp>権利落日</stp>
        <tr r="R16" s="4"/>
      </tp>
      <tp t="s">
        <v>2025/12/29</v>
        <stp/>
        <stp>Market</stp>
        <stp>STOCK</stp>
        <stp>99840.T</stp>
        <stp>権利落日</stp>
        <tr r="R10" s="4"/>
      </tp>
      <tp t="s">
        <v>2015/03/27</v>
        <stp/>
        <stp>Market</stp>
        <stp>STOCK</stp>
        <stp>99870.T</stp>
        <stp>権利落日</stp>
        <tr r="R12" s="4"/>
      </tp>
      <tp t="s">
        <v/>
        <stp/>
        <stp>Market</stp>
        <stp>STOCK</stp>
        <stp>99860.T</stp>
        <stp>権利落日</stp>
        <tr r="R11" s="4"/>
      </tp>
      <tp t="s">
        <v/>
        <stp/>
        <stp>Market</stp>
        <stp>STOCK</stp>
        <stp>99800.T</stp>
        <stp>権利落日</stp>
        <tr r="R7" s="4"/>
      </tp>
      <tp t="s">
        <v>2023/02/27</v>
        <stp/>
        <stp>Market</stp>
        <stp>STOCK</stp>
        <stp>99830.T</stp>
        <stp>権利落日</stp>
        <tr r="R9" s="4"/>
      </tp>
      <tp t="s">
        <v/>
        <stp/>
        <stp>Market</stp>
        <stp>STOCK</stp>
        <stp>99820.T</stp>
        <stp>権利落日</stp>
        <tr r="R8" s="4"/>
      </tp>
      <tp t="s">
        <v>2017/03/29</v>
        <stp/>
        <stp>Market</stp>
        <stp>STOCK</stp>
        <stp>99890.T</stp>
        <stp>権利落日</stp>
        <tr r="R13" s="4"/>
      </tp>
      <tp>
        <v>2561800</v>
        <stp/>
        <stp>Market</stp>
        <stp>STOCK</stp>
        <stp>99780.T</stp>
        <stp>信用買残</stp>
        <tr r="M5" s="4"/>
      </tp>
      <tp>
        <v>21300</v>
        <stp/>
        <stp>Market</stp>
        <stp>STOCK</stp>
        <stp>99790.T</stp>
        <stp>信用買残</stp>
        <tr r="M6" s="4"/>
      </tp>
      <tp>
        <v>6100</v>
        <stp/>
        <stp>Market</stp>
        <stp>STOCK</stp>
        <stp>99760.T</stp>
        <stp>信用買残</stp>
        <tr r="M4" s="4"/>
      </tp>
      <tp>
        <v>12700</v>
        <stp/>
        <stp>Market</stp>
        <stp>STOCK</stp>
        <stp>99740.T</stp>
        <stp>信用買残</stp>
        <tr r="M3" s="4"/>
      </tp>
      <tp>
        <v>2600</v>
        <stp/>
        <stp>Market</stp>
        <stp>STOCK</stp>
        <stp>99960.T</stp>
        <stp>信用買残</stp>
        <tr r="M18" s="4"/>
      </tp>
      <tp>
        <v>220800</v>
        <stp/>
        <stp>Market</stp>
        <stp>STOCK</stp>
        <stp>99940.T</stp>
        <stp>信用買残</stp>
        <tr r="M17" s="4"/>
      </tp>
      <tp>
        <v>20300</v>
        <stp/>
        <stp>Market</stp>
        <stp>STOCK</stp>
        <stp>99930.T</stp>
        <stp>信用買残</stp>
        <tr r="M16" s="4"/>
      </tp>
      <tp>
        <v>205200</v>
        <stp/>
        <stp>Market</stp>
        <stp>STOCK</stp>
        <stp>99900.T</stp>
        <stp>信用買残</stp>
        <tr r="M14" s="4"/>
      </tp>
      <tp>
        <v>143600</v>
        <stp/>
        <stp>Market</stp>
        <stp>STOCK</stp>
        <stp>99910.T</stp>
        <stp>信用買残</stp>
        <tr r="M15" s="4"/>
      </tp>
      <tp>
        <v>69500</v>
        <stp/>
        <stp>Market</stp>
        <stp>STOCK</stp>
        <stp>99890.T</stp>
        <stp>信用買残</stp>
        <tr r="M13" s="4"/>
      </tp>
      <tp>
        <v>5900</v>
        <stp/>
        <stp>Market</stp>
        <stp>STOCK</stp>
        <stp>99860.T</stp>
        <stp>信用買残</stp>
        <tr r="M11" s="4"/>
      </tp>
      <tp>
        <v>4500</v>
        <stp/>
        <stp>Market</stp>
        <stp>STOCK</stp>
        <stp>99870.T</stp>
        <stp>信用買残</stp>
        <tr r="M12" s="4"/>
      </tp>
      <tp>
        <v>45806700</v>
        <stp/>
        <stp>Market</stp>
        <stp>STOCK</stp>
        <stp>99840.T</stp>
        <stp>信用買残</stp>
        <tr r="M10" s="4"/>
      </tp>
      <tp>
        <v>335900</v>
        <stp/>
        <stp>Market</stp>
        <stp>STOCK</stp>
        <stp>99820.T</stp>
        <stp>信用買残</stp>
        <tr r="M8" s="4"/>
      </tp>
      <tp>
        <v>103400</v>
        <stp/>
        <stp>Market</stp>
        <stp>STOCK</stp>
        <stp>99830.T</stp>
        <stp>信用買残</stp>
        <tr r="M9" s="4"/>
      </tp>
      <tp>
        <v>2095700</v>
        <stp/>
        <stp>Market</stp>
        <stp>STOCK</stp>
        <stp>99800.T</stp>
        <stp>信用買残</stp>
        <tr r="M7" s="4"/>
      </tp>
      <tp>
        <v>1263</v>
        <stp/>
        <stp>Market</stp>
        <stp>STOCK</stp>
        <stp>99790.T</stp>
        <stp>年初来高値</stp>
        <tr r="T6" s="4"/>
      </tp>
      <tp>
        <v>75</v>
        <stp/>
        <stp>Market</stp>
        <stp>STOCK</stp>
        <stp>99780.T</stp>
        <stp>年初来高値</stp>
        <tr r="T5" s="4"/>
      </tp>
      <tp>
        <v>8200</v>
        <stp/>
        <stp>Market</stp>
        <stp>STOCK</stp>
        <stp>99740.T</stp>
        <stp>年初来高値</stp>
        <tr r="T3" s="4"/>
      </tp>
      <tp>
        <v>1450</v>
        <stp/>
        <stp>Market</stp>
        <stp>STOCK</stp>
        <stp>99760.T</stp>
        <stp>年初来高値</stp>
        <tr r="T4" s="4"/>
      </tp>
      <tp>
        <v>2050</v>
        <stp/>
        <stp>Market</stp>
        <stp>STOCK</stp>
        <stp>99790.T</stp>
        <stp>上場来高値</stp>
        <tr r="V6" s="4"/>
      </tp>
      <tp>
        <v>4500</v>
        <stp/>
        <stp>Market</stp>
        <stp>STOCK</stp>
        <stp>99780.T</stp>
        <stp>上場来高値</stp>
        <tr r="V5" s="4"/>
      </tp>
      <tp>
        <v>8200</v>
        <stp/>
        <stp>Market</stp>
        <stp>STOCK</stp>
        <stp>99740.T</stp>
        <stp>上場来高値</stp>
        <tr r="V3" s="4"/>
      </tp>
      <tp>
        <v>4450</v>
        <stp/>
        <stp>Market</stp>
        <stp>STOCK</stp>
        <stp>99760.T</stp>
        <stp>上場来高値</stp>
        <tr r="V4" s="4"/>
      </tp>
      <tp t="s">
        <v>-</v>
        <stp/>
        <stp>Market</stp>
        <stp>STOCK</stp>
        <stp>99930.T</stp>
        <stp>決算発表日</stp>
        <tr r="S16" s="4"/>
      </tp>
      <tp t="s">
        <v>-</v>
        <stp/>
        <stp>Market</stp>
        <stp>STOCK</stp>
        <stp>99900.T</stp>
        <stp>決算発表日</stp>
        <tr r="S14" s="4"/>
      </tp>
      <tp t="s">
        <v>-</v>
        <stp/>
        <stp>Market</stp>
        <stp>STOCK</stp>
        <stp>99910.T</stp>
        <stp>決算発表日</stp>
        <tr r="S15" s="4"/>
      </tp>
      <tp t="s">
        <v>2026/02/12</v>
        <stp/>
        <stp>Market</stp>
        <stp>STOCK</stp>
        <stp>99960.T</stp>
        <stp>決算発表日</stp>
        <tr r="S18" s="4"/>
      </tp>
      <tp t="s">
        <v>2026/02/12</v>
        <stp/>
        <stp>Market</stp>
        <stp>STOCK</stp>
        <stp>99940.T</stp>
        <stp>決算発表日</stp>
        <tr r="S17" s="4"/>
      </tp>
    </main>
    <main first="rtdsrv.c1b944f8fcf44c2caeb165b7f8069e7f">
      <tp t="s">
        <v>2026/02/12</v>
        <stp/>
        <stp>Market</stp>
        <stp>STOCK</stp>
        <stp>99890.T</stp>
        <stp>決算発表日</stp>
        <tr r="S13" s="4"/>
      </tp>
      <tp t="s">
        <v>-</v>
        <stp/>
        <stp>Market</stp>
        <stp>STOCK</stp>
        <stp>99820.T</stp>
        <stp>決算発表日</stp>
        <tr r="S8" s="4"/>
      </tp>
      <tp t="s">
        <v>-</v>
        <stp/>
        <stp>Market</stp>
        <stp>STOCK</stp>
        <stp>99830.T</stp>
        <stp>決算発表日</stp>
        <tr r="S9" s="4"/>
      </tp>
      <tp t="s">
        <v>2026/02/12</v>
        <stp/>
        <stp>Market</stp>
        <stp>STOCK</stp>
        <stp>99800.T</stp>
        <stp>決算発表日</stp>
        <tr r="S7" s="4"/>
      </tp>
      <tp t="s">
        <v>2026/02/09</v>
        <stp/>
        <stp>Market</stp>
        <stp>STOCK</stp>
        <stp>99860.T</stp>
        <stp>決算発表日</stp>
        <tr r="S11" s="4"/>
      </tp>
      <tp t="s">
        <v>-</v>
        <stp/>
        <stp>Market</stp>
        <stp>STOCK</stp>
        <stp>99870.T</stp>
        <stp>決算発表日</stp>
        <tr r="S12" s="4"/>
      </tp>
      <tp t="s">
        <v>2026/02/12</v>
        <stp/>
        <stp>Market</stp>
        <stp>STOCK</stp>
        <stp>99840.T</stp>
        <stp>決算発表日</stp>
        <tr r="S10" s="4"/>
      </tp>
      <tp t="s">
        <v/>
        <stp/>
        <stp>Market</stp>
        <stp>FX</stp>
        <stp>為替レート</stp>
        <stp>取得項目</stp>
        <tr r="F31" s="1"/>
      </tp>
      <tp t="s">
        <v>サックスバーホールディング</v>
        <stp/>
        <stp>Market</stp>
        <stp>STOCK</stp>
        <stp>99900.T</stp>
        <stp>銘柄名称</stp>
        <tr r="C14" s="4"/>
      </tp>
      <tp t="s">
        <v>ジェコス</v>
        <stp/>
        <stp>Market</stp>
        <stp>STOCK</stp>
        <stp>99910.T</stp>
        <stp>銘柄名称</stp>
        <tr r="C15" s="4"/>
      </tp>
      <tp t="s">
        <v>ヤマザワ</v>
        <stp/>
        <stp>Market</stp>
        <stp>STOCK</stp>
        <stp>99930.T</stp>
        <stp>銘柄名称</stp>
        <tr r="C16" s="4"/>
      </tp>
      <tp t="s">
        <v>やまや</v>
        <stp/>
        <stp>Market</stp>
        <stp>STOCK</stp>
        <stp>99940.T</stp>
        <stp>銘柄名称</stp>
        <tr r="C17" s="4"/>
      </tp>
      <tp t="s">
        <v>サトー商会</v>
        <stp/>
        <stp>Market</stp>
        <stp>STOCK</stp>
        <stp>99960.T</stp>
        <stp>銘柄名称</stp>
        <tr r="C18" s="4"/>
      </tp>
      <tp t="s">
        <v>サンドラッグ</v>
        <stp/>
        <stp>Market</stp>
        <stp>STOCK</stp>
        <stp>99890.T</stp>
        <stp>銘柄名称</stp>
        <tr r="C13" s="4"/>
      </tp>
      <tp t="s">
        <v>ＭＲＫホールディングス</v>
        <stp/>
        <stp>Market</stp>
        <stp>STOCK</stp>
        <stp>99800.T</stp>
        <stp>銘柄名称</stp>
        <tr r="C7" s="4"/>
      </tp>
      <tp t="s">
        <v>タキヒヨー</v>
        <stp/>
        <stp>Market</stp>
        <stp>STOCK</stp>
        <stp>99820.T</stp>
        <stp>銘柄名称</stp>
        <tr r="C8" s="4"/>
      </tp>
      <tp t="s">
        <v>ファーストリテイリング</v>
        <stp/>
        <stp>Market</stp>
        <stp>STOCK</stp>
        <stp>99830.T</stp>
        <stp>銘柄名称</stp>
        <tr r="C9" s="4"/>
      </tp>
      <tp t="s">
        <v>ソフトバンクグループ</v>
        <stp/>
        <stp>Market</stp>
        <stp>STOCK</stp>
        <stp>99840.T</stp>
        <stp>銘柄名称</stp>
        <tr r="C10" s="4"/>
      </tp>
      <tp t="s">
        <v>蔵王産業</v>
        <stp/>
        <stp>Market</stp>
        <stp>STOCK</stp>
        <stp>99860.T</stp>
        <stp>銘柄名称</stp>
        <tr r="C11" s="4"/>
      </tp>
      <tp t="s">
        <v>スズケン</v>
        <stp/>
        <stp>Market</stp>
        <stp>STOCK</stp>
        <stp>99870.T</stp>
        <stp>銘柄名称</stp>
        <tr r="C12" s="4"/>
      </tp>
      <tp t="s">
        <v>文教堂グループＨＤ</v>
        <stp/>
        <stp>Market</stp>
        <stp>STOCK</stp>
        <stp>99780.T</stp>
        <stp>銘柄名称</stp>
        <tr r="C5" s="4"/>
      </tp>
      <tp t="s">
        <v>大庄</v>
        <stp/>
        <stp>Market</stp>
        <stp>STOCK</stp>
        <stp>99790.T</stp>
        <stp>銘柄名称</stp>
        <tr r="C6" s="4"/>
      </tp>
      <tp t="s">
        <v>ベルク</v>
        <stp/>
        <stp>Market</stp>
        <stp>STOCK</stp>
        <stp>99740.T</stp>
        <stp>銘柄名称</stp>
        <tr r="C3" s="4"/>
      </tp>
      <tp t="s">
        <v>セキチュー</v>
        <stp/>
        <stp>Market</stp>
        <stp>STOCK</stp>
        <stp>99760.T</stp>
        <stp>銘柄名称</stp>
        <tr r="C4" s="4"/>
      </tp>
      <tp t="s">
        <v>-</v>
        <stp/>
        <stp>Market</stp>
        <stp>STOCK</stp>
        <stp>99780.T</stp>
        <stp>決算発表日</stp>
        <tr r="S5" s="4"/>
      </tp>
      <tp t="s">
        <v>-</v>
        <stp/>
        <stp>Market</stp>
        <stp>STOCK</stp>
        <stp>99790.T</stp>
        <stp>決算発表日</stp>
        <tr r="S6" s="4"/>
      </tp>
      <tp t="s">
        <v>-</v>
        <stp/>
        <stp>Market</stp>
        <stp>STOCK</stp>
        <stp>99760.T</stp>
        <stp>決算発表日</stp>
        <tr r="S4" s="4"/>
      </tp>
      <tp t="s">
        <v>-</v>
        <stp/>
        <stp>Market</stp>
        <stp>STOCK</stp>
        <stp>99740.T</stp>
        <stp>決算発表日</stp>
        <tr r="S3" s="4"/>
      </tp>
      <tp>
        <v>4883</v>
        <stp/>
        <stp>Market</stp>
        <stp>STOCK</stp>
        <stp>99890.T</stp>
        <stp>年初来高値</stp>
        <tr r="T13" s="4"/>
      </tp>
      <tp>
        <v>4954</v>
        <stp/>
        <stp>Market</stp>
        <stp>STOCK</stp>
        <stp>99840.T</stp>
        <stp>年初来高値</stp>
        <tr r="T10" s="4"/>
      </tp>
      <tp>
        <v>6668</v>
        <stp/>
        <stp>Market</stp>
        <stp>STOCK</stp>
        <stp>99870.T</stp>
        <stp>年初来高値</stp>
        <tr r="T12" s="4"/>
      </tp>
      <tp>
        <v>2653</v>
        <stp/>
        <stp>Market</stp>
        <stp>STOCK</stp>
        <stp>99860.T</stp>
        <stp>年初来高値</stp>
        <tr r="T11" s="4"/>
      </tp>
      <tp>
        <v>182</v>
        <stp/>
        <stp>Market</stp>
        <stp>STOCK</stp>
        <stp>99800.T</stp>
        <stp>年初来高値</stp>
        <tr r="T7" s="4"/>
      </tp>
      <tp>
        <v>69950</v>
        <stp/>
        <stp>Market</stp>
        <stp>STOCK</stp>
        <stp>99830.T</stp>
        <stp>年初来高値</stp>
        <tr r="T9" s="4"/>
      </tp>
      <tp>
        <v>2344</v>
        <stp/>
        <stp>Market</stp>
        <stp>STOCK</stp>
        <stp>99820.T</stp>
        <stp>年初来高値</stp>
        <tr r="T8" s="4"/>
      </tp>
      <tp>
        <v>9800</v>
        <stp/>
        <stp>Market</stp>
        <stp>STOCK</stp>
        <stp>99890.T</stp>
        <stp>上場来高値</stp>
        <tr r="V13" s="4"/>
      </tp>
      <tp>
        <v>198000</v>
        <stp/>
        <stp>Market</stp>
        <stp>STOCK</stp>
        <stp>99840.T</stp>
        <stp>上場来高値</stp>
        <tr r="V10" s="4"/>
      </tp>
      <tp>
        <v>7040</v>
        <stp/>
        <stp>Market</stp>
        <stp>STOCK</stp>
        <stp>99870.T</stp>
        <stp>上場来高値</stp>
        <tr r="V12" s="4"/>
      </tp>
      <tp>
        <v>2699</v>
        <stp/>
        <stp>Market</stp>
        <stp>STOCK</stp>
        <stp>99860.T</stp>
        <stp>上場来高値</stp>
        <tr r="V11" s="4"/>
      </tp>
      <tp>
        <v>10200</v>
        <stp/>
        <stp>Market</stp>
        <stp>STOCK</stp>
        <stp>99800.T</stp>
        <stp>上場来高値</stp>
        <tr r="V7" s="4"/>
      </tp>
      <tp>
        <v>110500</v>
        <stp/>
        <stp>Market</stp>
        <stp>STOCK</stp>
        <stp>99830.T</stp>
        <stp>上場来高値</stp>
        <tr r="V9" s="4"/>
      </tp>
      <tp>
        <v>2586</v>
        <stp/>
        <stp>Market</stp>
        <stp>STOCK</stp>
        <stp>99820.T</stp>
        <stp>上場来高値</stp>
        <tr r="V8" s="4"/>
      </tp>
      <tp>
        <v>2962</v>
        <stp/>
        <stp>Market</stp>
        <stp>STOCK</stp>
        <stp>99940.T</stp>
        <stp>年初来高値</stp>
        <tr r="T17" s="4"/>
      </tp>
      <tp>
        <v>2450</v>
        <stp/>
        <stp>Market</stp>
        <stp>STOCK</stp>
        <stp>99960.T</stp>
        <stp>年初来高値</stp>
        <tr r="T18" s="4"/>
      </tp>
      <tp>
        <v>1948</v>
        <stp/>
        <stp>Market</stp>
        <stp>STOCK</stp>
        <stp>99910.T</stp>
        <stp>年初来高値</stp>
        <tr r="T15" s="4"/>
      </tp>
      <tp>
        <v>987</v>
        <stp/>
        <stp>Market</stp>
        <stp>STOCK</stp>
        <stp>99900.T</stp>
        <stp>年初来高値</stp>
        <tr r="T14" s="4"/>
      </tp>
      <tp>
        <v>1220</v>
        <stp/>
        <stp>Market</stp>
        <stp>STOCK</stp>
        <stp>99930.T</stp>
        <stp>年初来高値</stp>
        <tr r="T16" s="4"/>
      </tp>
      <tp>
        <v>4160</v>
        <stp/>
        <stp>Market</stp>
        <stp>STOCK</stp>
        <stp>99940.T</stp>
        <stp>上場来高値</stp>
        <tr r="V17" s="4"/>
      </tp>
      <tp>
        <v>2990</v>
        <stp/>
        <stp>Market</stp>
        <stp>STOCK</stp>
        <stp>99960.T</stp>
        <stp>上場来高値</stp>
        <tr r="V18" s="4"/>
      </tp>
      <tp>
        <v>1948</v>
        <stp/>
        <stp>Market</stp>
        <stp>STOCK</stp>
        <stp>99910.T</stp>
        <stp>上場来高値</stp>
        <tr r="V15" s="4"/>
      </tp>
      <tp>
        <v>2702</v>
        <stp/>
        <stp>Market</stp>
        <stp>STOCK</stp>
        <stp>99900.T</stp>
        <stp>上場来高値</stp>
        <tr r="V14" s="4"/>
      </tp>
      <tp>
        <v>2625</v>
        <stp/>
        <stp>Market</stp>
        <stp>STOCK</stp>
        <stp>99930.T</stp>
        <stp>上場来高値</stp>
        <tr r="V16" s="4"/>
      </tp>
    </main>
  </volType>
</volType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volatileDependencies" Target="volatileDependencies.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workbookViewId="0">
      <selection activeCell="E52" sqref="E52"/>
    </sheetView>
  </sheetViews>
  <sheetFormatPr defaultRowHeight="15"/>
  <cols>
    <col min="1" max="1" width="13.54296875" style="1" bestFit="1" customWidth="1"/>
    <col min="2" max="2" width="24.1796875" style="1" bestFit="1" customWidth="1"/>
    <col min="3" max="3" width="39.6328125" style="1" bestFit="1" customWidth="1"/>
    <col min="4" max="4" width="29" style="1" customWidth="1"/>
    <col min="5" max="5" width="106" style="1" bestFit="1" customWidth="1"/>
    <col min="6" max="6" width="255.6328125" style="1" bestFit="1" customWidth="1"/>
    <col min="7" max="7" width="97.08984375" style="1" bestFit="1" customWidth="1"/>
    <col min="8" max="8" width="177.90625" style="1" bestFit="1" customWidth="1"/>
    <col min="9" max="10" width="9.26953125" style="1" bestFit="1" customWidth="1"/>
    <col min="11" max="11" width="133.54296875" style="1" bestFit="1" customWidth="1"/>
    <col min="12" max="16384" width="8.7265625" style="1"/>
  </cols>
  <sheetData>
    <row r="1" spans="1:11">
      <c r="A1" s="2">
        <v>0</v>
      </c>
      <c r="B1" s="2">
        <v>1</v>
      </c>
      <c r="C1" s="2">
        <v>2</v>
      </c>
      <c r="D1" s="2">
        <v>3</v>
      </c>
      <c r="E1" s="2">
        <v>4</v>
      </c>
      <c r="F1" s="2">
        <v>5</v>
      </c>
      <c r="G1" s="2">
        <v>6</v>
      </c>
      <c r="H1" s="2">
        <v>7</v>
      </c>
      <c r="I1" s="2">
        <v>8</v>
      </c>
      <c r="J1" s="2">
        <v>9</v>
      </c>
      <c r="K1" s="2">
        <v>10</v>
      </c>
    </row>
    <row r="2" spans="1:11">
      <c r="A2" s="1" t="s">
        <v>0</v>
      </c>
      <c r="B2" s="1" t="s">
        <v>1</v>
      </c>
      <c r="C2" s="1" t="s">
        <v>2</v>
      </c>
      <c r="D2" s="1" t="s">
        <v>3</v>
      </c>
      <c r="E2" s="1" t="s">
        <v>4</v>
      </c>
      <c r="F2" s="1" t="s">
        <v>5</v>
      </c>
      <c r="G2" s="1" t="s">
        <v>6</v>
      </c>
      <c r="H2" s="1" t="s">
        <v>7</v>
      </c>
      <c r="I2" s="1" t="s">
        <v>8</v>
      </c>
      <c r="J2" s="1" t="s">
        <v>9</v>
      </c>
      <c r="K2" s="1" t="s">
        <v>10</v>
      </c>
    </row>
    <row r="3" spans="1:11">
      <c r="A3" s="1" t="s">
        <v>11</v>
      </c>
      <c r="B3" s="1" t="s">
        <v>12</v>
      </c>
      <c r="C3" s="1" t="s">
        <v>13</v>
      </c>
      <c r="D3" s="1" t="s">
        <v>14</v>
      </c>
      <c r="E3" s="1" t="s">
        <v>15</v>
      </c>
      <c r="F3" s="1" t="s">
        <v>16</v>
      </c>
      <c r="G3" s="1" t="s">
        <v>17</v>
      </c>
      <c r="H3" s="1" t="s">
        <v>18</v>
      </c>
      <c r="I3" s="1" t="s">
        <v>19</v>
      </c>
      <c r="J3" s="1" t="s">
        <v>18</v>
      </c>
      <c r="K3" s="1" t="s">
        <v>20</v>
      </c>
    </row>
    <row r="4" spans="1:11">
      <c r="B4" s="1" t="s">
        <v>21</v>
      </c>
      <c r="C4" s="1" t="s">
        <v>22</v>
      </c>
      <c r="D4" s="1" t="s">
        <v>23</v>
      </c>
      <c r="E4" s="1" t="s">
        <v>24</v>
      </c>
      <c r="F4" s="1" t="s">
        <v>25</v>
      </c>
      <c r="G4" s="1" t="s">
        <v>17</v>
      </c>
      <c r="H4" s="1" t="s">
        <v>18</v>
      </c>
      <c r="I4" s="1" t="s">
        <v>19</v>
      </c>
      <c r="J4" s="1" t="s">
        <v>18</v>
      </c>
      <c r="K4" s="1" t="s">
        <v>26</v>
      </c>
    </row>
    <row r="5" spans="1:11">
      <c r="B5" s="1" t="s">
        <v>27</v>
      </c>
      <c r="C5" s="1" t="s">
        <v>28</v>
      </c>
      <c r="D5" s="1" t="s">
        <v>29</v>
      </c>
      <c r="E5" s="1" t="s">
        <v>30</v>
      </c>
      <c r="F5" s="1" t="s">
        <v>31</v>
      </c>
      <c r="G5" s="1" t="s">
        <v>17</v>
      </c>
      <c r="H5" s="1" t="s">
        <v>18</v>
      </c>
      <c r="I5" s="1" t="s">
        <v>19</v>
      </c>
      <c r="J5" s="1" t="s">
        <v>18</v>
      </c>
      <c r="K5" s="1" t="s">
        <v>32</v>
      </c>
    </row>
    <row r="6" spans="1:11">
      <c r="B6" s="1" t="s">
        <v>33</v>
      </c>
      <c r="C6" s="1" t="s">
        <v>34</v>
      </c>
      <c r="D6" s="1" t="s">
        <v>35</v>
      </c>
      <c r="E6" s="1" t="s">
        <v>36</v>
      </c>
      <c r="F6" s="1" t="s">
        <v>37</v>
      </c>
      <c r="G6" s="1" t="s">
        <v>17</v>
      </c>
      <c r="H6" s="1" t="s">
        <v>18</v>
      </c>
      <c r="I6" s="1" t="s">
        <v>19</v>
      </c>
      <c r="J6" s="1" t="s">
        <v>18</v>
      </c>
      <c r="K6" s="1" t="s">
        <v>38</v>
      </c>
    </row>
    <row r="7" spans="1:11">
      <c r="B7" s="1" t="s">
        <v>39</v>
      </c>
      <c r="C7" s="1" t="s">
        <v>40</v>
      </c>
      <c r="D7" s="1" t="s">
        <v>41</v>
      </c>
      <c r="E7" s="1" t="s">
        <v>42</v>
      </c>
      <c r="F7" s="1" t="s">
        <v>43</v>
      </c>
      <c r="G7" s="1" t="s">
        <v>17</v>
      </c>
      <c r="H7" s="1" t="s">
        <v>18</v>
      </c>
      <c r="I7" s="1" t="s">
        <v>19</v>
      </c>
      <c r="J7" s="1" t="s">
        <v>18</v>
      </c>
      <c r="K7" s="1" t="s">
        <v>44</v>
      </c>
    </row>
    <row r="8" spans="1:11">
      <c r="B8" s="1" t="s">
        <v>45</v>
      </c>
      <c r="C8" s="1" t="s">
        <v>46</v>
      </c>
      <c r="D8" s="1" t="s">
        <v>47</v>
      </c>
      <c r="E8" s="1" t="s">
        <v>48</v>
      </c>
      <c r="F8" s="1" t="s">
        <v>49</v>
      </c>
      <c r="G8" s="1" t="s">
        <v>17</v>
      </c>
      <c r="H8" s="1" t="s">
        <v>18</v>
      </c>
      <c r="I8" s="1" t="s">
        <v>19</v>
      </c>
      <c r="J8" s="1" t="s">
        <v>18</v>
      </c>
      <c r="K8" s="1" t="s">
        <v>50</v>
      </c>
    </row>
    <row r="9" spans="1:11">
      <c r="B9" s="1" t="s">
        <v>51</v>
      </c>
      <c r="C9" s="1" t="s">
        <v>52</v>
      </c>
      <c r="D9" s="1" t="s">
        <v>53</v>
      </c>
      <c r="E9" s="1" t="s">
        <v>54</v>
      </c>
      <c r="F9" s="1" t="s">
        <v>55</v>
      </c>
      <c r="G9" s="1" t="s">
        <v>17</v>
      </c>
      <c r="H9" s="1" t="s">
        <v>18</v>
      </c>
      <c r="I9" s="1" t="s">
        <v>19</v>
      </c>
      <c r="J9" s="1" t="s">
        <v>18</v>
      </c>
      <c r="K9" s="1" t="s">
        <v>56</v>
      </c>
    </row>
    <row r="10" spans="1:11">
      <c r="B10" s="1" t="s">
        <v>57</v>
      </c>
      <c r="C10" s="1" t="s">
        <v>58</v>
      </c>
      <c r="D10" s="1" t="s">
        <v>59</v>
      </c>
      <c r="E10" s="1" t="s">
        <v>60</v>
      </c>
      <c r="F10" s="1" t="s">
        <v>61</v>
      </c>
      <c r="G10" s="1" t="s">
        <v>17</v>
      </c>
      <c r="H10" s="1" t="s">
        <v>18</v>
      </c>
      <c r="I10" s="1" t="s">
        <v>19</v>
      </c>
      <c r="J10" s="1" t="s">
        <v>18</v>
      </c>
      <c r="K10" s="1" t="s">
        <v>62</v>
      </c>
    </row>
    <row r="11" spans="1:11">
      <c r="B11" s="1" t="s">
        <v>63</v>
      </c>
      <c r="C11" s="1" t="s">
        <v>64</v>
      </c>
      <c r="D11" s="1" t="s">
        <v>65</v>
      </c>
      <c r="E11" s="1" t="s">
        <v>66</v>
      </c>
      <c r="F11" s="1" t="s">
        <v>67</v>
      </c>
      <c r="G11" s="1" t="s">
        <v>17</v>
      </c>
      <c r="H11" s="1" t="s">
        <v>18</v>
      </c>
      <c r="I11" s="1" t="s">
        <v>19</v>
      </c>
      <c r="J11" s="1" t="s">
        <v>18</v>
      </c>
      <c r="K11" s="1" t="s">
        <v>68</v>
      </c>
    </row>
    <row r="12" spans="1:11">
      <c r="B12" s="1" t="s">
        <v>69</v>
      </c>
      <c r="C12" s="1" t="s">
        <v>70</v>
      </c>
      <c r="D12" s="1" t="s">
        <v>71</v>
      </c>
      <c r="E12" s="1" t="s">
        <v>72</v>
      </c>
      <c r="F12" s="1" t="s">
        <v>73</v>
      </c>
      <c r="G12" s="1" t="s">
        <v>17</v>
      </c>
      <c r="H12" s="1" t="s">
        <v>18</v>
      </c>
      <c r="I12" s="1" t="s">
        <v>19</v>
      </c>
      <c r="J12" s="1" t="s">
        <v>18</v>
      </c>
      <c r="K12" s="1" t="s">
        <v>74</v>
      </c>
    </row>
    <row r="13" spans="1:11">
      <c r="B13" s="1" t="s">
        <v>75</v>
      </c>
      <c r="C13" s="1" t="s">
        <v>76</v>
      </c>
      <c r="D13" s="1" t="s">
        <v>77</v>
      </c>
      <c r="E13" s="1" t="s">
        <v>78</v>
      </c>
      <c r="F13" s="1" t="s">
        <v>79</v>
      </c>
      <c r="G13" s="1" t="s">
        <v>17</v>
      </c>
      <c r="H13" s="1" t="s">
        <v>18</v>
      </c>
      <c r="I13" s="1" t="s">
        <v>19</v>
      </c>
      <c r="J13" s="1" t="s">
        <v>18</v>
      </c>
      <c r="K13" s="1" t="s">
        <v>80</v>
      </c>
    </row>
    <row r="14" spans="1:11">
      <c r="A14" s="1" t="s">
        <v>0</v>
      </c>
      <c r="B14" s="1" t="s">
        <v>1</v>
      </c>
      <c r="C14" s="1" t="s">
        <v>2</v>
      </c>
      <c r="D14" s="1" t="s">
        <v>3</v>
      </c>
      <c r="E14" s="1" t="s">
        <v>4</v>
      </c>
      <c r="F14" s="1" t="s">
        <v>5</v>
      </c>
      <c r="G14" s="1" t="s">
        <v>6</v>
      </c>
      <c r="H14" s="1" t="s">
        <v>7</v>
      </c>
      <c r="I14" s="1" t="s">
        <v>8</v>
      </c>
      <c r="J14" s="1" t="s">
        <v>9</v>
      </c>
      <c r="K14" s="1" t="s">
        <v>10</v>
      </c>
    </row>
    <row r="15" spans="1:11">
      <c r="A15" s="1" t="s">
        <v>81</v>
      </c>
      <c r="B15" s="1" t="s">
        <v>12</v>
      </c>
      <c r="C15" s="1" t="s">
        <v>82</v>
      </c>
      <c r="D15" s="1" t="s">
        <v>83</v>
      </c>
      <c r="E15" s="1" t="s">
        <v>84</v>
      </c>
      <c r="F15" s="1" t="e">
        <f>_xll.RssOrderList(ヘッダー行,注文状況,注文種類,銘柄コード,口座区分,売買,信用取
                                                                                                                                                                                                                                                                引,信用区分,アルゴ注文,アルゴ注文種類)</f>
        <v>#VALUE!</v>
      </c>
      <c r="G15" s="1" t="s">
        <v>18</v>
      </c>
      <c r="H15" s="1" t="s">
        <v>85</v>
      </c>
      <c r="I15" s="1" t="s">
        <v>17</v>
      </c>
      <c r="J15" s="1" t="s">
        <v>17</v>
      </c>
    </row>
    <row r="16" spans="1:11">
      <c r="B16" s="1" t="s">
        <v>21</v>
      </c>
      <c r="C16" s="1" t="s">
        <v>86</v>
      </c>
      <c r="D16" s="1" t="s">
        <v>87</v>
      </c>
      <c r="E16" s="1" t="s">
        <v>88</v>
      </c>
      <c r="F16" s="1" t="s">
        <v>89</v>
      </c>
      <c r="G16" s="1" t="s">
        <v>18</v>
      </c>
      <c r="H16" s="1" t="s">
        <v>85</v>
      </c>
      <c r="I16" s="1" t="s">
        <v>17</v>
      </c>
      <c r="J16" s="1" t="s">
        <v>17</v>
      </c>
    </row>
    <row r="17" spans="1:10">
      <c r="B17" s="1" t="s">
        <v>27</v>
      </c>
      <c r="C17" s="1" t="s">
        <v>90</v>
      </c>
      <c r="D17" s="1" t="s">
        <v>91</v>
      </c>
      <c r="E17" s="1" t="s">
        <v>92</v>
      </c>
      <c r="F17" s="1" t="s">
        <v>93</v>
      </c>
      <c r="G17" s="1" t="s">
        <v>18</v>
      </c>
      <c r="H17" s="1" t="s">
        <v>85</v>
      </c>
      <c r="I17" s="1" t="s">
        <v>17</v>
      </c>
      <c r="J17" s="1" t="s">
        <v>17</v>
      </c>
    </row>
    <row r="18" spans="1:10">
      <c r="B18" s="1" t="s">
        <v>33</v>
      </c>
      <c r="C18" s="1" t="s">
        <v>94</v>
      </c>
      <c r="D18" s="1" t="s">
        <v>95</v>
      </c>
      <c r="E18" s="1" t="s">
        <v>96</v>
      </c>
      <c r="F18" s="1" t="s">
        <v>97</v>
      </c>
      <c r="G18" s="1" t="s">
        <v>18</v>
      </c>
      <c r="H18" s="1" t="s">
        <v>85</v>
      </c>
      <c r="I18" s="1" t="s">
        <v>17</v>
      </c>
      <c r="J18" s="1" t="s">
        <v>17</v>
      </c>
    </row>
    <row r="19" spans="1:10">
      <c r="B19" s="1" t="s">
        <v>39</v>
      </c>
      <c r="C19" s="1" t="s">
        <v>98</v>
      </c>
      <c r="D19" s="1" t="s">
        <v>99</v>
      </c>
      <c r="E19" s="1" t="s">
        <v>100</v>
      </c>
      <c r="F19" s="1" t="s">
        <v>101</v>
      </c>
      <c r="G19" s="1" t="s">
        <v>18</v>
      </c>
      <c r="H19" s="1" t="s">
        <v>85</v>
      </c>
      <c r="I19" s="1" t="s">
        <v>17</v>
      </c>
      <c r="J19" s="1" t="s">
        <v>17</v>
      </c>
    </row>
    <row r="20" spans="1:10">
      <c r="B20" s="1" t="s">
        <v>45</v>
      </c>
      <c r="C20" s="1" t="s">
        <v>102</v>
      </c>
      <c r="D20" s="1" t="s">
        <v>103</v>
      </c>
      <c r="E20" s="1" t="s">
        <v>104</v>
      </c>
      <c r="F20" s="1" t="s">
        <v>105</v>
      </c>
      <c r="G20" s="1" t="s">
        <v>18</v>
      </c>
      <c r="H20" s="1" t="s">
        <v>85</v>
      </c>
      <c r="I20" s="1" t="s">
        <v>17</v>
      </c>
      <c r="J20" s="1" t="s">
        <v>17</v>
      </c>
    </row>
    <row r="21" spans="1:10">
      <c r="B21" s="1" t="s">
        <v>51</v>
      </c>
      <c r="C21" s="1" t="s">
        <v>106</v>
      </c>
      <c r="D21" s="1" t="s">
        <v>107</v>
      </c>
      <c r="E21" s="1" t="s">
        <v>108</v>
      </c>
      <c r="F21" s="1" t="s">
        <v>109</v>
      </c>
      <c r="G21" s="1" t="s">
        <v>18</v>
      </c>
      <c r="H21" s="1" t="s">
        <v>85</v>
      </c>
      <c r="I21" s="1" t="s">
        <v>17</v>
      </c>
      <c r="J21" s="1" t="s">
        <v>17</v>
      </c>
    </row>
    <row r="22" spans="1:10">
      <c r="B22" s="1" t="s">
        <v>57</v>
      </c>
      <c r="C22" s="1" t="s">
        <v>110</v>
      </c>
      <c r="D22" s="1" t="s">
        <v>111</v>
      </c>
      <c r="E22" s="1" t="s">
        <v>112</v>
      </c>
      <c r="F22" s="1" t="s">
        <v>113</v>
      </c>
      <c r="G22" s="1" t="s">
        <v>18</v>
      </c>
      <c r="H22" s="1" t="s">
        <v>85</v>
      </c>
      <c r="I22" s="1" t="s">
        <v>18</v>
      </c>
      <c r="J22" s="1" t="s">
        <v>17</v>
      </c>
    </row>
    <row r="23" spans="1:10">
      <c r="B23" s="1" t="s">
        <v>63</v>
      </c>
      <c r="C23" s="1" t="s">
        <v>114</v>
      </c>
      <c r="D23" s="1" t="s">
        <v>115</v>
      </c>
      <c r="E23" s="1" t="s">
        <v>116</v>
      </c>
      <c r="F23" s="1" t="s">
        <v>117</v>
      </c>
      <c r="G23" s="1" t="s">
        <v>18</v>
      </c>
      <c r="H23" s="1" t="s">
        <v>85</v>
      </c>
      <c r="I23" s="1" t="s">
        <v>18</v>
      </c>
      <c r="J23" s="1" t="s">
        <v>17</v>
      </c>
    </row>
    <row r="24" spans="1:10">
      <c r="B24" s="1" t="s">
        <v>69</v>
      </c>
      <c r="C24" s="1" t="s">
        <v>118</v>
      </c>
      <c r="D24" s="1" t="s">
        <v>119</v>
      </c>
      <c r="E24" s="1" t="s">
        <v>120</v>
      </c>
      <c r="F24" s="1" t="s">
        <v>121</v>
      </c>
      <c r="G24" s="1" t="s">
        <v>18</v>
      </c>
      <c r="H24" s="1" t="s">
        <v>85</v>
      </c>
      <c r="I24" s="1" t="s">
        <v>18</v>
      </c>
      <c r="J24" s="1" t="s">
        <v>17</v>
      </c>
    </row>
    <row r="25" spans="1:10">
      <c r="B25" s="1" t="s">
        <v>75</v>
      </c>
      <c r="C25" s="1" t="s">
        <v>122</v>
      </c>
      <c r="D25" s="1" t="s">
        <v>123</v>
      </c>
      <c r="E25" s="1" t="s">
        <v>124</v>
      </c>
      <c r="F25" s="1" t="s">
        <v>125</v>
      </c>
      <c r="G25" s="1" t="s">
        <v>18</v>
      </c>
      <c r="H25" s="1" t="s">
        <v>85</v>
      </c>
      <c r="I25" s="1" t="s">
        <v>18</v>
      </c>
      <c r="J25" s="1" t="s">
        <v>17</v>
      </c>
    </row>
    <row r="26" spans="1:10">
      <c r="B26" s="1" t="s">
        <v>126</v>
      </c>
      <c r="C26" s="1" t="s">
        <v>127</v>
      </c>
      <c r="D26" s="1" t="s">
        <v>128</v>
      </c>
      <c r="E26" s="1" t="s">
        <v>129</v>
      </c>
      <c r="F26" s="1" t="s">
        <v>130</v>
      </c>
      <c r="G26" s="1" t="s">
        <v>18</v>
      </c>
      <c r="H26" s="1" t="s">
        <v>85</v>
      </c>
      <c r="I26" s="1" t="s">
        <v>17</v>
      </c>
      <c r="J26" s="1" t="s">
        <v>17</v>
      </c>
    </row>
    <row r="27" spans="1:10">
      <c r="B27" s="1" t="s">
        <v>131</v>
      </c>
      <c r="C27" s="1" t="s">
        <v>132</v>
      </c>
      <c r="D27" s="1" t="s">
        <v>133</v>
      </c>
      <c r="E27" s="1" t="s">
        <v>134</v>
      </c>
      <c r="F27" s="1" t="s">
        <v>135</v>
      </c>
      <c r="G27" s="1" t="s">
        <v>18</v>
      </c>
      <c r="H27" s="1" t="s">
        <v>136</v>
      </c>
      <c r="I27" s="1" t="s">
        <v>17</v>
      </c>
      <c r="J27" s="1" t="s">
        <v>18</v>
      </c>
    </row>
    <row r="28" spans="1:10">
      <c r="A28" s="1" t="s">
        <v>137</v>
      </c>
      <c r="B28" s="1" t="s">
        <v>12</v>
      </c>
      <c r="C28" s="1" t="s">
        <v>138</v>
      </c>
      <c r="D28" s="1" t="s">
        <v>139</v>
      </c>
      <c r="E28" s="1" t="s">
        <v>140</v>
      </c>
      <c r="F28" s="1" t="str">
        <f>_xll.RssMarket("銘柄コード","取得項目")</f>
        <v/>
      </c>
      <c r="G28" s="1" t="s">
        <v>18</v>
      </c>
      <c r="H28" s="1" t="s">
        <v>136</v>
      </c>
      <c r="I28" s="1" t="s">
        <v>17</v>
      </c>
      <c r="J28" s="1" t="s">
        <v>17</v>
      </c>
    </row>
    <row r="29" spans="1:10">
      <c r="B29" s="1" t="s">
        <v>21</v>
      </c>
      <c r="C29" s="1" t="s">
        <v>141</v>
      </c>
      <c r="D29" s="1" t="s">
        <v>142</v>
      </c>
      <c r="E29" s="1" t="s">
        <v>143</v>
      </c>
      <c r="F29" s="1" t="str">
        <f>_xll.RssFOPMarket("銘柄コード","取得項目")</f>
        <v/>
      </c>
      <c r="G29" s="1" t="s">
        <v>18</v>
      </c>
      <c r="H29" s="1" t="s">
        <v>136</v>
      </c>
      <c r="I29" s="1" t="s">
        <v>17</v>
      </c>
      <c r="J29" s="1" t="s">
        <v>17</v>
      </c>
    </row>
    <row r="30" spans="1:10">
      <c r="B30" s="1" t="s">
        <v>27</v>
      </c>
      <c r="C30" s="1" t="s">
        <v>144</v>
      </c>
      <c r="D30" s="1" t="s">
        <v>145</v>
      </c>
      <c r="E30" s="1" t="s">
        <v>146</v>
      </c>
      <c r="F30" s="1" t="str">
        <f>_xll.RssIndexMarket("指標コード","取得項目")</f>
        <v/>
      </c>
      <c r="G30" s="1" t="s">
        <v>18</v>
      </c>
      <c r="H30" s="1" t="s">
        <v>136</v>
      </c>
      <c r="I30" s="1" t="s">
        <v>17</v>
      </c>
      <c r="J30" s="1" t="s">
        <v>17</v>
      </c>
    </row>
    <row r="31" spans="1:10">
      <c r="B31" s="1" t="s">
        <v>33</v>
      </c>
      <c r="C31" s="1" t="s">
        <v>147</v>
      </c>
      <c r="D31" s="1" t="s">
        <v>148</v>
      </c>
      <c r="E31" s="1" t="s">
        <v>149</v>
      </c>
      <c r="F31" s="1" t="str">
        <f>_xll.RssFXMarket("為替レート","取得項目")</f>
        <v/>
      </c>
      <c r="G31" s="1" t="s">
        <v>18</v>
      </c>
      <c r="H31" s="1" t="s">
        <v>136</v>
      </c>
      <c r="I31" s="1" t="s">
        <v>17</v>
      </c>
      <c r="J31" s="1" t="s">
        <v>17</v>
      </c>
    </row>
    <row r="32" spans="1:10">
      <c r="B32" s="1" t="s">
        <v>39</v>
      </c>
      <c r="C32" s="1" t="s">
        <v>150</v>
      </c>
      <c r="D32" s="1" t="s">
        <v>151</v>
      </c>
      <c r="E32" s="1" t="s">
        <v>152</v>
      </c>
      <c r="F32" s="1" t="e">
        <f>_xll.RssMarketHeader(商品種類,貼り付け方向)</f>
        <v>#VALUE!</v>
      </c>
      <c r="G32" s="1" t="s">
        <v>18</v>
      </c>
      <c r="H32" s="1" t="s">
        <v>85</v>
      </c>
      <c r="I32" s="1" t="s">
        <v>19</v>
      </c>
      <c r="J32" s="1" t="s">
        <v>18</v>
      </c>
    </row>
    <row r="33" spans="1:10">
      <c r="B33" s="1" t="s">
        <v>45</v>
      </c>
      <c r="C33" s="1" t="s">
        <v>153</v>
      </c>
      <c r="D33" s="1" t="s">
        <v>154</v>
      </c>
      <c r="E33" s="1" t="s">
        <v>155</v>
      </c>
      <c r="F33" s="1" t="e">
        <f>_xll.RssTickList(ヘッダー行,"銘柄コード",表示本数)</f>
        <v>#VALUE!</v>
      </c>
      <c r="G33" s="1" t="s">
        <v>18</v>
      </c>
      <c r="H33" s="1" t="s">
        <v>85</v>
      </c>
      <c r="I33" s="1" t="s">
        <v>17</v>
      </c>
      <c r="J33" s="1" t="s">
        <v>17</v>
      </c>
    </row>
    <row r="34" spans="1:10">
      <c r="B34" s="1" t="s">
        <v>51</v>
      </c>
      <c r="C34" s="1" t="s">
        <v>156</v>
      </c>
      <c r="D34" s="1" t="s">
        <v>157</v>
      </c>
      <c r="E34" s="1" t="s">
        <v>158</v>
      </c>
      <c r="F34" s="1" t="str">
        <f>_xll.RssMarginInfo(ヘッダー行,"銘柄コード")</f>
        <v>=@RssMarginInfo(ヘッダー行,"銘柄コード") =&gt; ヘッダー行は、単一行のセル範囲で入力してください。</v>
      </c>
      <c r="G34" s="1" t="s">
        <v>18</v>
      </c>
      <c r="H34" s="1" t="s">
        <v>85</v>
      </c>
      <c r="I34" s="1" t="s">
        <v>19</v>
      </c>
      <c r="J34" s="1" t="s">
        <v>17</v>
      </c>
    </row>
    <row r="35" spans="1:10">
      <c r="B35" s="1" t="s">
        <v>57</v>
      </c>
      <c r="C35" s="1" t="s">
        <v>159</v>
      </c>
      <c r="D35" s="1" t="s">
        <v>160</v>
      </c>
      <c r="E35" s="1" t="s">
        <v>161</v>
      </c>
      <c r="F35" s="1" t="str">
        <f>_xll.RssFutInfo(ヘッダー行)</f>
        <v>=@RssFutInfo(ヘッダー行) =&gt; ヘッダー行は、単一行のセル範囲で入力してください。</v>
      </c>
      <c r="G35" s="1" t="s">
        <v>18</v>
      </c>
      <c r="H35" s="1" t="s">
        <v>85</v>
      </c>
      <c r="I35" s="1" t="s">
        <v>19</v>
      </c>
      <c r="J35" s="1" t="s">
        <v>17</v>
      </c>
    </row>
    <row r="36" spans="1:10">
      <c r="B36" s="1" t="s">
        <v>63</v>
      </c>
      <c r="C36" s="1" t="s">
        <v>162</v>
      </c>
      <c r="D36" s="1" t="s">
        <v>163</v>
      </c>
      <c r="E36" s="1" t="s">
        <v>164</v>
      </c>
      <c r="F36" s="1" t="str">
        <f>_xll.RssMarketDes(ヘッダー行,"銘柄コード")</f>
        <v>=@RssMarketDes(ヘッダー行,"銘柄コード") =&gt; ヘッダー行は、単一行のセル範囲で入力してください。</v>
      </c>
      <c r="G36" s="1" t="s">
        <v>18</v>
      </c>
      <c r="H36" s="1" t="s">
        <v>85</v>
      </c>
      <c r="I36" s="1" t="s">
        <v>19</v>
      </c>
      <c r="J36" s="1" t="s">
        <v>17</v>
      </c>
    </row>
    <row r="37" spans="1:10">
      <c r="B37" s="1" t="s">
        <v>69</v>
      </c>
      <c r="C37" s="1" t="s">
        <v>165</v>
      </c>
      <c r="D37" s="1" t="s">
        <v>166</v>
      </c>
      <c r="E37" s="1" t="s">
        <v>167</v>
      </c>
      <c r="F37" s="1" t="str">
        <f>_xll.RssFOPMarketDes(ヘッダー行,"銘柄コード")</f>
        <v>=@RssFOPMarketDes(ヘッダー行,"銘柄コード") =&gt; ヘッダー行は、単一行のセル範囲で入力してください。</v>
      </c>
      <c r="G37" s="1" t="s">
        <v>18</v>
      </c>
      <c r="H37" s="1" t="s">
        <v>85</v>
      </c>
      <c r="I37" s="1" t="s">
        <v>19</v>
      </c>
      <c r="J37" s="1" t="s">
        <v>17</v>
      </c>
    </row>
    <row r="38" spans="1:10">
      <c r="A38" s="1" t="s">
        <v>168</v>
      </c>
      <c r="B38" s="1" t="s">
        <v>12</v>
      </c>
      <c r="C38" s="1" t="s">
        <v>169</v>
      </c>
      <c r="D38" s="1" t="s">
        <v>170</v>
      </c>
      <c r="E38" s="1" t="s">
        <v>171</v>
      </c>
      <c r="F38" s="1" t="e">
        <f>_xll.RssChart(ヘッダー行,銘柄コード,足種,表示本数)</f>
        <v>#VALUE!</v>
      </c>
      <c r="G38" s="1" t="s">
        <v>18</v>
      </c>
      <c r="H38" s="1" t="s">
        <v>85</v>
      </c>
      <c r="I38" s="1" t="s">
        <v>17</v>
      </c>
      <c r="J38" s="1" t="s">
        <v>17</v>
      </c>
    </row>
    <row r="39" spans="1:10">
      <c r="B39" s="1" t="s">
        <v>21</v>
      </c>
      <c r="C39" s="1" t="s">
        <v>172</v>
      </c>
      <c r="D39" s="1" t="s">
        <v>173</v>
      </c>
      <c r="E39" s="1" t="s">
        <v>174</v>
      </c>
      <c r="F39" s="1" t="e">
        <f>_xll.RssChart(ヘッダー行,銘柄コード,足種,開始日,表示本数)</f>
        <v>#VALUE!</v>
      </c>
      <c r="G39" s="1" t="s">
        <v>18</v>
      </c>
      <c r="H39" s="1" t="s">
        <v>85</v>
      </c>
      <c r="I39" s="1" t="s">
        <v>18</v>
      </c>
      <c r="J39" s="1" t="s">
        <v>17</v>
      </c>
    </row>
    <row r="40" spans="1:10">
      <c r="B40" s="1" t="s">
        <v>27</v>
      </c>
      <c r="C40" s="1" t="s">
        <v>175</v>
      </c>
      <c r="D40" s="1" t="s">
        <v>176</v>
      </c>
      <c r="E40" s="1" t="s">
        <v>177</v>
      </c>
      <c r="G40" s="1" t="s">
        <v>18</v>
      </c>
      <c r="H40" s="1" t="s">
        <v>85</v>
      </c>
      <c r="I40" s="1" t="s">
        <v>17</v>
      </c>
      <c r="J40" s="1" t="s">
        <v>17</v>
      </c>
    </row>
    <row r="41" spans="1:10">
      <c r="A41" s="1" t="s">
        <v>178</v>
      </c>
      <c r="B41" s="1" t="s">
        <v>12</v>
      </c>
      <c r="C41" s="1" t="s">
        <v>179</v>
      </c>
      <c r="D41" s="1" t="s">
        <v>180</v>
      </c>
      <c r="E41" s="1" t="s">
        <v>181</v>
      </c>
      <c r="G41" s="1" t="s">
        <v>18</v>
      </c>
      <c r="H41" s="1" t="s">
        <v>18</v>
      </c>
      <c r="I41" s="1" t="s">
        <v>19</v>
      </c>
      <c r="J41" s="1" t="s">
        <v>18</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F849-4F6F-4913-B769-890AFF41BCB1}">
  <dimension ref="A1:I287"/>
  <sheetViews>
    <sheetView workbookViewId="0">
      <selection activeCell="C1" sqref="C1"/>
    </sheetView>
  </sheetViews>
  <sheetFormatPr defaultRowHeight="15"/>
  <cols>
    <col min="1" max="1" width="13.54296875" style="1" bestFit="1" customWidth="1"/>
    <col min="2" max="2" width="24.1796875" style="1" bestFit="1" customWidth="1"/>
    <col min="3" max="3" width="39.6328125" style="1" bestFit="1" customWidth="1"/>
    <col min="4" max="4" width="29" style="1" customWidth="1"/>
    <col min="5" max="5" width="106" style="1" bestFit="1" customWidth="1"/>
    <col min="6" max="6" width="255.6328125" style="1" bestFit="1" customWidth="1"/>
    <col min="7" max="7" width="97.08984375" style="1" bestFit="1" customWidth="1"/>
    <col min="8" max="8" width="177.90625" style="1" bestFit="1" customWidth="1"/>
    <col min="9" max="10" width="9.26953125" style="1" bestFit="1" customWidth="1"/>
    <col min="11" max="11" width="133.54296875" style="1" bestFit="1" customWidth="1"/>
    <col min="12" max="16384" width="8.7265625" style="1"/>
  </cols>
  <sheetData>
    <row r="1" spans="1:9">
      <c r="A1" s="1" t="s">
        <v>2</v>
      </c>
      <c r="D1" s="1" t="s">
        <v>182</v>
      </c>
      <c r="I1" s="1" t="s">
        <v>183</v>
      </c>
    </row>
    <row r="2" spans="1:9">
      <c r="A2" s="1" t="s">
        <v>0</v>
      </c>
      <c r="B2" s="1" t="s">
        <v>2</v>
      </c>
      <c r="C2" s="1" t="s">
        <v>3</v>
      </c>
      <c r="D2" s="1" t="s">
        <v>1</v>
      </c>
      <c r="E2" s="1" t="s">
        <v>184</v>
      </c>
      <c r="F2" s="1" t="s">
        <v>185</v>
      </c>
      <c r="G2" s="1" t="s">
        <v>186</v>
      </c>
      <c r="H2" s="1" t="s">
        <v>187</v>
      </c>
    </row>
    <row r="3" spans="1:9">
      <c r="A3" s="1" t="s">
        <v>11</v>
      </c>
      <c r="B3" s="1" t="s">
        <v>13</v>
      </c>
      <c r="C3" s="1" t="s">
        <v>14</v>
      </c>
      <c r="D3" s="1" t="s">
        <v>12</v>
      </c>
      <c r="E3" s="1" t="s">
        <v>188</v>
      </c>
      <c r="F3" s="1" t="s">
        <v>189</v>
      </c>
      <c r="G3" s="1" t="s">
        <v>190</v>
      </c>
      <c r="H3" s="1" t="s">
        <v>191</v>
      </c>
    </row>
    <row r="4" spans="1:9">
      <c r="D4" s="1" t="s">
        <v>21</v>
      </c>
      <c r="E4" s="1" t="s">
        <v>192</v>
      </c>
      <c r="F4" s="1" t="s">
        <v>193</v>
      </c>
      <c r="G4" s="1" t="s">
        <v>190</v>
      </c>
      <c r="H4" s="1" t="s">
        <v>191</v>
      </c>
    </row>
    <row r="5" spans="1:9">
      <c r="D5" s="1" t="s">
        <v>27</v>
      </c>
      <c r="E5" s="1" t="s">
        <v>194</v>
      </c>
      <c r="F5" s="1" t="s">
        <v>195</v>
      </c>
      <c r="G5" s="1" t="s">
        <v>190</v>
      </c>
      <c r="H5" s="1" t="s">
        <v>196</v>
      </c>
    </row>
    <row r="6" spans="1:9">
      <c r="D6" s="1" t="s">
        <v>33</v>
      </c>
      <c r="E6" s="1" t="s">
        <v>197</v>
      </c>
      <c r="F6" s="1" t="s">
        <v>198</v>
      </c>
      <c r="G6" s="1" t="s">
        <v>190</v>
      </c>
      <c r="H6" s="1" t="s">
        <v>196</v>
      </c>
    </row>
    <row r="7" spans="1:9">
      <c r="D7" s="1" t="s">
        <v>39</v>
      </c>
      <c r="E7" s="1" t="s">
        <v>199</v>
      </c>
      <c r="F7" s="1" t="s">
        <v>200</v>
      </c>
      <c r="G7" s="1" t="s">
        <v>190</v>
      </c>
      <c r="H7" s="1" t="s">
        <v>196</v>
      </c>
    </row>
    <row r="8" spans="1:9">
      <c r="D8" s="1" t="s">
        <v>45</v>
      </c>
      <c r="E8" s="1" t="s">
        <v>201</v>
      </c>
      <c r="F8" s="1" t="s">
        <v>202</v>
      </c>
      <c r="G8" s="1" t="s">
        <v>190</v>
      </c>
      <c r="H8" s="1" t="s">
        <v>196</v>
      </c>
    </row>
    <row r="9" spans="1:9">
      <c r="D9" s="1" t="s">
        <v>51</v>
      </c>
      <c r="E9" s="1" t="s">
        <v>203</v>
      </c>
      <c r="F9" s="1" t="s">
        <v>204</v>
      </c>
      <c r="G9" s="1" t="s">
        <v>190</v>
      </c>
      <c r="H9" s="1" t="s">
        <v>191</v>
      </c>
    </row>
    <row r="10" spans="1:9">
      <c r="D10" s="1" t="s">
        <v>57</v>
      </c>
      <c r="E10" s="1" t="s">
        <v>205</v>
      </c>
      <c r="F10" s="1" t="s">
        <v>206</v>
      </c>
      <c r="G10" s="1" t="s">
        <v>207</v>
      </c>
      <c r="H10" s="1" t="s">
        <v>196</v>
      </c>
    </row>
    <row r="11" spans="1:9">
      <c r="D11" s="1" t="s">
        <v>63</v>
      </c>
      <c r="E11" s="1" t="s">
        <v>208</v>
      </c>
      <c r="F11" s="1" t="s">
        <v>209</v>
      </c>
      <c r="G11" s="1" t="s">
        <v>207</v>
      </c>
      <c r="H11" s="1" t="s">
        <v>191</v>
      </c>
    </row>
    <row r="12" spans="1:9">
      <c r="D12" s="1" t="s">
        <v>69</v>
      </c>
      <c r="E12" s="1" t="s">
        <v>210</v>
      </c>
      <c r="F12" s="1" t="s">
        <v>211</v>
      </c>
      <c r="G12" s="1" t="s">
        <v>190</v>
      </c>
      <c r="H12" s="1" t="s">
        <v>196</v>
      </c>
    </row>
    <row r="13" spans="1:9">
      <c r="D13" s="1" t="s">
        <v>75</v>
      </c>
      <c r="E13" s="1" t="s">
        <v>212</v>
      </c>
      <c r="F13" s="1" t="s">
        <v>213</v>
      </c>
      <c r="G13" s="1" t="s">
        <v>207</v>
      </c>
      <c r="H13" s="1" t="s">
        <v>214</v>
      </c>
    </row>
    <row r="14" spans="1:9">
      <c r="D14" s="1" t="s">
        <v>126</v>
      </c>
      <c r="E14" s="1" t="s">
        <v>215</v>
      </c>
      <c r="F14" s="1" t="s">
        <v>216</v>
      </c>
      <c r="G14" s="1" t="s">
        <v>190</v>
      </c>
      <c r="H14" s="1" t="s">
        <v>196</v>
      </c>
    </row>
    <row r="15" spans="1:9">
      <c r="D15" s="1" t="s">
        <v>131</v>
      </c>
      <c r="E15" s="1" t="s">
        <v>217</v>
      </c>
      <c r="F15" s="1" t="s">
        <v>218</v>
      </c>
      <c r="G15" s="1" t="s">
        <v>207</v>
      </c>
      <c r="H15" s="1" t="s">
        <v>191</v>
      </c>
    </row>
    <row r="16" spans="1:9">
      <c r="D16" s="1" t="s">
        <v>219</v>
      </c>
      <c r="E16" s="1" t="s">
        <v>220</v>
      </c>
      <c r="F16" s="1" t="s">
        <v>221</v>
      </c>
      <c r="G16" s="1" t="s">
        <v>207</v>
      </c>
      <c r="H16" s="1" t="s">
        <v>196</v>
      </c>
    </row>
    <row r="17" spans="1:9">
      <c r="D17" s="1" t="s">
        <v>222</v>
      </c>
      <c r="E17" s="1" t="s">
        <v>223</v>
      </c>
      <c r="F17" s="1" t="s">
        <v>224</v>
      </c>
      <c r="G17" s="1" t="s">
        <v>207</v>
      </c>
      <c r="H17" s="1" t="s">
        <v>196</v>
      </c>
    </row>
    <row r="18" spans="1:9">
      <c r="D18" s="1" t="s">
        <v>225</v>
      </c>
      <c r="E18" s="1" t="s">
        <v>226</v>
      </c>
      <c r="F18" s="1" t="s">
        <v>227</v>
      </c>
      <c r="G18" s="1" t="s">
        <v>207</v>
      </c>
      <c r="H18" s="1" t="s">
        <v>191</v>
      </c>
    </row>
    <row r="19" spans="1:9">
      <c r="D19" s="1" t="s">
        <v>228</v>
      </c>
      <c r="E19" s="1" t="s">
        <v>229</v>
      </c>
      <c r="F19" s="1" t="s">
        <v>230</v>
      </c>
      <c r="G19" s="1" t="s">
        <v>207</v>
      </c>
      <c r="H19" s="1" t="s">
        <v>196</v>
      </c>
    </row>
    <row r="20" spans="1:9">
      <c r="D20" s="1" t="s">
        <v>231</v>
      </c>
      <c r="E20" s="1" t="s">
        <v>232</v>
      </c>
      <c r="F20" s="1" t="s">
        <v>233</v>
      </c>
      <c r="G20" s="1" t="s">
        <v>207</v>
      </c>
      <c r="H20" s="1" t="s">
        <v>191</v>
      </c>
    </row>
    <row r="21" spans="1:9">
      <c r="D21" s="1" t="s">
        <v>234</v>
      </c>
      <c r="E21" s="1" t="s">
        <v>235</v>
      </c>
      <c r="F21" s="1" t="s">
        <v>236</v>
      </c>
      <c r="G21" s="1" t="s">
        <v>207</v>
      </c>
      <c r="H21" s="1" t="s">
        <v>196</v>
      </c>
    </row>
    <row r="22" spans="1:9">
      <c r="D22" s="1" t="s">
        <v>237</v>
      </c>
      <c r="E22" s="1" t="s">
        <v>238</v>
      </c>
      <c r="F22" s="1" t="s">
        <v>239</v>
      </c>
      <c r="G22" s="1" t="s">
        <v>207</v>
      </c>
      <c r="H22" s="1" t="s">
        <v>214</v>
      </c>
    </row>
    <row r="23" spans="1:9">
      <c r="A23" s="1" t="s">
        <v>2</v>
      </c>
      <c r="D23" s="1" t="s">
        <v>182</v>
      </c>
      <c r="I23" s="1" t="s">
        <v>183</v>
      </c>
    </row>
    <row r="24" spans="1:9">
      <c r="A24" s="1" t="s">
        <v>0</v>
      </c>
      <c r="B24" s="1" t="s">
        <v>2</v>
      </c>
      <c r="C24" s="1" t="s">
        <v>3</v>
      </c>
      <c r="D24" s="1" t="s">
        <v>1</v>
      </c>
      <c r="E24" s="1" t="s">
        <v>184</v>
      </c>
      <c r="F24" s="1" t="s">
        <v>185</v>
      </c>
      <c r="G24" s="1" t="s">
        <v>186</v>
      </c>
      <c r="H24" s="1" t="s">
        <v>187</v>
      </c>
    </row>
    <row r="25" spans="1:9">
      <c r="A25" s="1" t="s">
        <v>11</v>
      </c>
      <c r="B25" s="1" t="s">
        <v>22</v>
      </c>
      <c r="C25" s="1" t="s">
        <v>23</v>
      </c>
      <c r="D25" s="1" t="s">
        <v>12</v>
      </c>
      <c r="E25" s="1" t="s">
        <v>188</v>
      </c>
      <c r="F25" s="1" t="s">
        <v>189</v>
      </c>
      <c r="G25" s="1" t="s">
        <v>190</v>
      </c>
      <c r="H25" s="1" t="s">
        <v>191</v>
      </c>
    </row>
    <row r="26" spans="1:9">
      <c r="D26" s="1" t="s">
        <v>21</v>
      </c>
      <c r="E26" s="1" t="s">
        <v>192</v>
      </c>
      <c r="F26" s="1" t="s">
        <v>193</v>
      </c>
      <c r="G26" s="1" t="s">
        <v>190</v>
      </c>
      <c r="H26" s="1" t="s">
        <v>191</v>
      </c>
    </row>
    <row r="27" spans="1:9">
      <c r="D27" s="1" t="s">
        <v>27</v>
      </c>
      <c r="E27" s="1" t="s">
        <v>194</v>
      </c>
      <c r="F27" s="1" t="s">
        <v>195</v>
      </c>
      <c r="G27" s="1" t="s">
        <v>190</v>
      </c>
      <c r="H27" s="1" t="s">
        <v>196</v>
      </c>
    </row>
    <row r="28" spans="1:9">
      <c r="D28" s="1" t="s">
        <v>33</v>
      </c>
      <c r="E28" s="1" t="s">
        <v>197</v>
      </c>
      <c r="F28" s="1" t="s">
        <v>240</v>
      </c>
      <c r="G28" s="1" t="s">
        <v>190</v>
      </c>
      <c r="H28" s="1" t="s">
        <v>196</v>
      </c>
    </row>
    <row r="29" spans="1:9">
      <c r="D29" s="1" t="s">
        <v>39</v>
      </c>
      <c r="E29" s="1" t="s">
        <v>199</v>
      </c>
      <c r="F29" s="1" t="s">
        <v>200</v>
      </c>
      <c r="G29" s="1" t="s">
        <v>190</v>
      </c>
      <c r="H29" s="1" t="s">
        <v>196</v>
      </c>
    </row>
    <row r="30" spans="1:9">
      <c r="D30" s="1" t="s">
        <v>45</v>
      </c>
      <c r="E30" s="1" t="s">
        <v>201</v>
      </c>
      <c r="F30" s="1" t="s">
        <v>202</v>
      </c>
      <c r="G30" s="1" t="s">
        <v>190</v>
      </c>
      <c r="H30" s="1" t="s">
        <v>196</v>
      </c>
    </row>
    <row r="31" spans="1:9">
      <c r="D31" s="1" t="s">
        <v>51</v>
      </c>
      <c r="E31" s="1" t="s">
        <v>241</v>
      </c>
      <c r="F31" s="1" t="s">
        <v>242</v>
      </c>
      <c r="G31" s="1" t="s">
        <v>190</v>
      </c>
      <c r="H31" s="1" t="s">
        <v>196</v>
      </c>
    </row>
    <row r="32" spans="1:9">
      <c r="D32" s="1" t="s">
        <v>57</v>
      </c>
      <c r="E32" s="1" t="s">
        <v>203</v>
      </c>
      <c r="F32" s="1" t="s">
        <v>204</v>
      </c>
      <c r="G32" s="1" t="s">
        <v>190</v>
      </c>
      <c r="H32" s="1" t="s">
        <v>191</v>
      </c>
    </row>
    <row r="33" spans="1:9">
      <c r="D33" s="1" t="s">
        <v>63</v>
      </c>
      <c r="E33" s="1" t="s">
        <v>205</v>
      </c>
      <c r="F33" s="1" t="s">
        <v>206</v>
      </c>
      <c r="G33" s="1" t="s">
        <v>207</v>
      </c>
      <c r="H33" s="1" t="s">
        <v>196</v>
      </c>
    </row>
    <row r="34" spans="1:9">
      <c r="D34" s="1" t="s">
        <v>69</v>
      </c>
      <c r="E34" s="1" t="s">
        <v>208</v>
      </c>
      <c r="F34" s="1" t="s">
        <v>209</v>
      </c>
      <c r="G34" s="1" t="s">
        <v>207</v>
      </c>
      <c r="H34" s="1" t="s">
        <v>191</v>
      </c>
    </row>
    <row r="35" spans="1:9">
      <c r="D35" s="1" t="s">
        <v>75</v>
      </c>
      <c r="E35" s="1" t="s">
        <v>210</v>
      </c>
      <c r="F35" s="1" t="s">
        <v>211</v>
      </c>
      <c r="G35" s="1" t="s">
        <v>190</v>
      </c>
      <c r="H35" s="1" t="s">
        <v>196</v>
      </c>
    </row>
    <row r="36" spans="1:9">
      <c r="D36" s="1" t="s">
        <v>126</v>
      </c>
      <c r="E36" s="1" t="s">
        <v>212</v>
      </c>
      <c r="F36" s="1" t="s">
        <v>213</v>
      </c>
      <c r="G36" s="1" t="s">
        <v>207</v>
      </c>
      <c r="H36" s="1" t="s">
        <v>214</v>
      </c>
    </row>
    <row r="37" spans="1:9">
      <c r="D37" s="1" t="s">
        <v>131</v>
      </c>
      <c r="E37" s="1" t="s">
        <v>215</v>
      </c>
      <c r="F37" s="1" t="s">
        <v>243</v>
      </c>
      <c r="G37" s="1" t="s">
        <v>190</v>
      </c>
      <c r="H37" s="1" t="s">
        <v>196</v>
      </c>
    </row>
    <row r="38" spans="1:9">
      <c r="D38" s="1" t="s">
        <v>219</v>
      </c>
      <c r="E38" s="1" t="s">
        <v>217</v>
      </c>
      <c r="F38" s="1" t="s">
        <v>218</v>
      </c>
      <c r="G38" s="1" t="s">
        <v>207</v>
      </c>
      <c r="H38" s="1" t="s">
        <v>191</v>
      </c>
    </row>
    <row r="39" spans="1:9">
      <c r="D39" s="1" t="s">
        <v>222</v>
      </c>
      <c r="E39" s="1" t="s">
        <v>220</v>
      </c>
      <c r="F39" s="1" t="s">
        <v>221</v>
      </c>
      <c r="G39" s="1" t="s">
        <v>207</v>
      </c>
      <c r="H39" s="1" t="s">
        <v>196</v>
      </c>
    </row>
    <row r="40" spans="1:9">
      <c r="D40" s="1" t="s">
        <v>225</v>
      </c>
      <c r="E40" s="1" t="s">
        <v>223</v>
      </c>
      <c r="F40" s="1" t="s">
        <v>224</v>
      </c>
      <c r="G40" s="1" t="s">
        <v>207</v>
      </c>
      <c r="H40" s="1" t="s">
        <v>196</v>
      </c>
    </row>
    <row r="41" spans="1:9">
      <c r="D41" s="1" t="s">
        <v>228</v>
      </c>
      <c r="E41" s="1" t="s">
        <v>226</v>
      </c>
      <c r="F41" s="1" t="s">
        <v>227</v>
      </c>
      <c r="G41" s="1" t="s">
        <v>207</v>
      </c>
      <c r="H41" s="1" t="s">
        <v>191</v>
      </c>
    </row>
    <row r="42" spans="1:9">
      <c r="D42" s="1" t="s">
        <v>231</v>
      </c>
      <c r="E42" s="1" t="s">
        <v>229</v>
      </c>
      <c r="F42" s="1" t="s">
        <v>230</v>
      </c>
      <c r="G42" s="1" t="s">
        <v>207</v>
      </c>
      <c r="H42" s="1" t="s">
        <v>196</v>
      </c>
    </row>
    <row r="43" spans="1:9">
      <c r="D43" s="1" t="s">
        <v>234</v>
      </c>
      <c r="E43" s="1" t="s">
        <v>244</v>
      </c>
      <c r="F43" s="1" t="s">
        <v>245</v>
      </c>
      <c r="G43" s="1" t="s">
        <v>207</v>
      </c>
      <c r="H43" s="1" t="s">
        <v>196</v>
      </c>
    </row>
    <row r="44" spans="1:9">
      <c r="D44" s="1" t="s">
        <v>237</v>
      </c>
      <c r="E44" s="1" t="s">
        <v>232</v>
      </c>
      <c r="F44" s="1" t="s">
        <v>233</v>
      </c>
      <c r="G44" s="1" t="s">
        <v>207</v>
      </c>
      <c r="H44" s="1" t="s">
        <v>191</v>
      </c>
    </row>
    <row r="45" spans="1:9">
      <c r="A45" s="1" t="s">
        <v>2</v>
      </c>
      <c r="D45" s="1" t="s">
        <v>182</v>
      </c>
      <c r="I45" s="1" t="s">
        <v>183</v>
      </c>
    </row>
    <row r="46" spans="1:9">
      <c r="A46" s="1" t="s">
        <v>0</v>
      </c>
      <c r="B46" s="1" t="s">
        <v>2</v>
      </c>
      <c r="C46" s="1" t="s">
        <v>3</v>
      </c>
      <c r="D46" s="1" t="s">
        <v>1</v>
      </c>
      <c r="E46" s="1" t="s">
        <v>184</v>
      </c>
      <c r="F46" s="1" t="s">
        <v>185</v>
      </c>
      <c r="G46" s="1" t="s">
        <v>186</v>
      </c>
      <c r="H46" s="1" t="s">
        <v>187</v>
      </c>
    </row>
    <row r="47" spans="1:9">
      <c r="A47" s="1" t="s">
        <v>11</v>
      </c>
      <c r="B47" s="1" t="s">
        <v>22</v>
      </c>
      <c r="C47" s="1" t="s">
        <v>23</v>
      </c>
      <c r="D47" s="1" t="s">
        <v>246</v>
      </c>
      <c r="E47" s="1" t="s">
        <v>235</v>
      </c>
      <c r="F47" s="1" t="s">
        <v>236</v>
      </c>
      <c r="G47" s="1" t="s">
        <v>207</v>
      </c>
      <c r="H47" s="1" t="s">
        <v>196</v>
      </c>
    </row>
    <row r="48" spans="1:9">
      <c r="D48" s="1" t="s">
        <v>247</v>
      </c>
      <c r="E48" s="1" t="s">
        <v>238</v>
      </c>
      <c r="F48" s="1" t="s">
        <v>239</v>
      </c>
      <c r="G48" s="1" t="s">
        <v>207</v>
      </c>
      <c r="H48" s="1" t="s">
        <v>214</v>
      </c>
    </row>
    <row r="49" spans="2:8">
      <c r="B49" s="1" t="s">
        <v>28</v>
      </c>
      <c r="C49" s="1" t="s">
        <v>29</v>
      </c>
      <c r="D49" s="1" t="s">
        <v>12</v>
      </c>
      <c r="E49" s="1" t="s">
        <v>188</v>
      </c>
      <c r="F49" s="1" t="s">
        <v>189</v>
      </c>
      <c r="G49" s="1" t="s">
        <v>190</v>
      </c>
      <c r="H49" s="1" t="s">
        <v>191</v>
      </c>
    </row>
    <row r="50" spans="2:8">
      <c r="D50" s="1" t="s">
        <v>21</v>
      </c>
      <c r="E50" s="1" t="s">
        <v>192</v>
      </c>
      <c r="F50" s="1" t="s">
        <v>193</v>
      </c>
      <c r="G50" s="1" t="s">
        <v>190</v>
      </c>
      <c r="H50" s="1" t="s">
        <v>191</v>
      </c>
    </row>
    <row r="51" spans="2:8">
      <c r="D51" s="1" t="s">
        <v>27</v>
      </c>
      <c r="E51" s="1" t="s">
        <v>194</v>
      </c>
      <c r="F51" s="1" t="s">
        <v>195</v>
      </c>
      <c r="G51" s="1" t="s">
        <v>190</v>
      </c>
      <c r="H51" s="1" t="s">
        <v>196</v>
      </c>
    </row>
    <row r="52" spans="2:8">
      <c r="D52" s="1" t="s">
        <v>33</v>
      </c>
      <c r="E52" s="1" t="s">
        <v>197</v>
      </c>
      <c r="F52" s="1" t="s">
        <v>248</v>
      </c>
      <c r="G52" s="1" t="s">
        <v>190</v>
      </c>
      <c r="H52" s="1" t="s">
        <v>196</v>
      </c>
    </row>
    <row r="53" spans="2:8">
      <c r="D53" s="1" t="s">
        <v>39</v>
      </c>
      <c r="E53" s="1" t="s">
        <v>199</v>
      </c>
      <c r="F53" s="1" t="s">
        <v>200</v>
      </c>
      <c r="G53" s="1" t="s">
        <v>190</v>
      </c>
      <c r="H53" s="1" t="s">
        <v>196</v>
      </c>
    </row>
    <row r="54" spans="2:8">
      <c r="D54" s="1" t="s">
        <v>45</v>
      </c>
      <c r="E54" s="1" t="s">
        <v>201</v>
      </c>
      <c r="F54" s="1" t="s">
        <v>202</v>
      </c>
      <c r="G54" s="1" t="s">
        <v>190</v>
      </c>
      <c r="H54" s="1" t="s">
        <v>196</v>
      </c>
    </row>
    <row r="55" spans="2:8">
      <c r="D55" s="1" t="s">
        <v>51</v>
      </c>
      <c r="E55" s="1" t="s">
        <v>241</v>
      </c>
      <c r="F55" s="1" t="s">
        <v>242</v>
      </c>
      <c r="G55" s="1" t="s">
        <v>190</v>
      </c>
      <c r="H55" s="1" t="s">
        <v>196</v>
      </c>
    </row>
    <row r="56" spans="2:8">
      <c r="D56" s="1" t="s">
        <v>57</v>
      </c>
      <c r="E56" s="1" t="s">
        <v>203</v>
      </c>
      <c r="F56" s="1" t="s">
        <v>204</v>
      </c>
      <c r="G56" s="1" t="s">
        <v>190</v>
      </c>
      <c r="H56" s="1" t="s">
        <v>191</v>
      </c>
    </row>
    <row r="57" spans="2:8">
      <c r="D57" s="1" t="s">
        <v>63</v>
      </c>
      <c r="E57" s="1" t="s">
        <v>205</v>
      </c>
      <c r="F57" s="1" t="s">
        <v>206</v>
      </c>
      <c r="G57" s="1" t="s">
        <v>207</v>
      </c>
      <c r="H57" s="1" t="s">
        <v>196</v>
      </c>
    </row>
    <row r="58" spans="2:8">
      <c r="D58" s="1" t="s">
        <v>69</v>
      </c>
      <c r="E58" s="1" t="s">
        <v>208</v>
      </c>
      <c r="F58" s="1" t="s">
        <v>209</v>
      </c>
      <c r="G58" s="1" t="s">
        <v>207</v>
      </c>
      <c r="H58" s="1" t="s">
        <v>191</v>
      </c>
    </row>
    <row r="59" spans="2:8">
      <c r="D59" s="1" t="s">
        <v>75</v>
      </c>
      <c r="E59" s="1" t="s">
        <v>210</v>
      </c>
      <c r="F59" s="1" t="s">
        <v>211</v>
      </c>
      <c r="G59" s="1" t="s">
        <v>190</v>
      </c>
      <c r="H59" s="1" t="s">
        <v>196</v>
      </c>
    </row>
    <row r="60" spans="2:8">
      <c r="D60" s="1" t="s">
        <v>126</v>
      </c>
      <c r="E60" s="1" t="s">
        <v>212</v>
      </c>
      <c r="F60" s="1" t="s">
        <v>213</v>
      </c>
      <c r="G60" s="1" t="s">
        <v>207</v>
      </c>
      <c r="H60" s="1" t="s">
        <v>214</v>
      </c>
    </row>
    <row r="61" spans="2:8">
      <c r="D61" s="1" t="s">
        <v>131</v>
      </c>
      <c r="E61" s="1" t="s">
        <v>215</v>
      </c>
      <c r="F61" s="1" t="s">
        <v>243</v>
      </c>
      <c r="G61" s="1" t="s">
        <v>190</v>
      </c>
      <c r="H61" s="1" t="s">
        <v>196</v>
      </c>
    </row>
    <row r="62" spans="2:8">
      <c r="D62" s="1" t="s">
        <v>219</v>
      </c>
      <c r="E62" s="1" t="s">
        <v>249</v>
      </c>
      <c r="F62" s="1" t="s">
        <v>250</v>
      </c>
      <c r="G62" s="1" t="s">
        <v>190</v>
      </c>
      <c r="H62" s="1" t="s">
        <v>214</v>
      </c>
    </row>
    <row r="63" spans="2:8">
      <c r="D63" s="1" t="s">
        <v>222</v>
      </c>
      <c r="E63" s="1" t="s">
        <v>251</v>
      </c>
      <c r="F63" s="1" t="s">
        <v>252</v>
      </c>
      <c r="G63" s="1" t="s">
        <v>190</v>
      </c>
      <c r="H63" s="1" t="s">
        <v>191</v>
      </c>
    </row>
    <row r="64" spans="2:8">
      <c r="D64" s="1" t="s">
        <v>225</v>
      </c>
      <c r="E64" s="1" t="s">
        <v>253</v>
      </c>
      <c r="F64" s="1" t="s">
        <v>254</v>
      </c>
      <c r="G64" s="1" t="s">
        <v>190</v>
      </c>
      <c r="H64" s="1" t="s">
        <v>191</v>
      </c>
    </row>
    <row r="65" spans="1:9">
      <c r="D65" s="1" t="s">
        <v>228</v>
      </c>
      <c r="E65" s="1" t="s">
        <v>217</v>
      </c>
      <c r="F65" s="1" t="s">
        <v>218</v>
      </c>
      <c r="G65" s="1" t="s">
        <v>207</v>
      </c>
      <c r="H65" s="1" t="s">
        <v>191</v>
      </c>
    </row>
    <row r="66" spans="1:9">
      <c r="D66" s="1" t="s">
        <v>231</v>
      </c>
      <c r="E66" s="1" t="s">
        <v>220</v>
      </c>
      <c r="F66" s="1" t="s">
        <v>221</v>
      </c>
      <c r="G66" s="1" t="s">
        <v>207</v>
      </c>
      <c r="H66" s="1" t="s">
        <v>196</v>
      </c>
    </row>
    <row r="67" spans="1:9">
      <c r="D67" s="1" t="s">
        <v>234</v>
      </c>
      <c r="E67" s="1" t="s">
        <v>223</v>
      </c>
      <c r="F67" s="1" t="s">
        <v>224</v>
      </c>
      <c r="G67" s="1" t="s">
        <v>207</v>
      </c>
      <c r="H67" s="1" t="s">
        <v>196</v>
      </c>
    </row>
    <row r="68" spans="1:9">
      <c r="D68" s="1" t="s">
        <v>237</v>
      </c>
      <c r="E68" s="1" t="s">
        <v>226</v>
      </c>
      <c r="F68" s="1" t="s">
        <v>227</v>
      </c>
      <c r="G68" s="1" t="s">
        <v>207</v>
      </c>
      <c r="H68" s="1" t="s">
        <v>191</v>
      </c>
    </row>
    <row r="69" spans="1:9">
      <c r="A69" s="1" t="s">
        <v>2</v>
      </c>
      <c r="D69" s="1" t="s">
        <v>182</v>
      </c>
      <c r="I69" s="1" t="s">
        <v>183</v>
      </c>
    </row>
    <row r="70" spans="1:9">
      <c r="A70" s="1" t="s">
        <v>0</v>
      </c>
      <c r="B70" s="1" t="s">
        <v>2</v>
      </c>
      <c r="C70" s="1" t="s">
        <v>3</v>
      </c>
      <c r="D70" s="1" t="s">
        <v>1</v>
      </c>
      <c r="E70" s="1" t="s">
        <v>184</v>
      </c>
      <c r="F70" s="1" t="s">
        <v>185</v>
      </c>
      <c r="G70" s="1" t="s">
        <v>186</v>
      </c>
      <c r="H70" s="1" t="s">
        <v>187</v>
      </c>
    </row>
    <row r="71" spans="1:9">
      <c r="A71" s="1" t="s">
        <v>11</v>
      </c>
      <c r="B71" s="1" t="s">
        <v>34</v>
      </c>
      <c r="C71" s="1" t="s">
        <v>35</v>
      </c>
      <c r="D71" s="1" t="s">
        <v>12</v>
      </c>
      <c r="E71" s="1" t="s">
        <v>188</v>
      </c>
      <c r="F71" s="1" t="s">
        <v>189</v>
      </c>
      <c r="G71" s="1" t="s">
        <v>190</v>
      </c>
      <c r="H71" s="1" t="s">
        <v>191</v>
      </c>
    </row>
    <row r="72" spans="1:9">
      <c r="D72" s="1" t="s">
        <v>21</v>
      </c>
      <c r="E72" s="1" t="s">
        <v>192</v>
      </c>
      <c r="F72" s="1" t="s">
        <v>193</v>
      </c>
      <c r="G72" s="1" t="s">
        <v>190</v>
      </c>
      <c r="H72" s="1" t="s">
        <v>191</v>
      </c>
    </row>
    <row r="73" spans="1:9">
      <c r="D73" s="1" t="s">
        <v>27</v>
      </c>
      <c r="E73" s="1" t="s">
        <v>255</v>
      </c>
      <c r="F73" s="1" t="s">
        <v>256</v>
      </c>
      <c r="G73" s="1" t="s">
        <v>190</v>
      </c>
      <c r="H73" s="1" t="s">
        <v>191</v>
      </c>
    </row>
    <row r="74" spans="1:9">
      <c r="D74" s="1" t="s">
        <v>33</v>
      </c>
      <c r="E74" s="1" t="s">
        <v>199</v>
      </c>
      <c r="F74" s="1" t="s">
        <v>257</v>
      </c>
      <c r="G74" s="1" t="s">
        <v>190</v>
      </c>
      <c r="H74" s="1" t="s">
        <v>196</v>
      </c>
    </row>
    <row r="75" spans="1:9">
      <c r="D75" s="1" t="s">
        <v>39</v>
      </c>
      <c r="E75" s="1" t="s">
        <v>203</v>
      </c>
      <c r="F75" s="1" t="s">
        <v>258</v>
      </c>
      <c r="G75" s="1" t="s">
        <v>207</v>
      </c>
      <c r="H75" s="1" t="s">
        <v>191</v>
      </c>
    </row>
    <row r="76" spans="1:9">
      <c r="D76" s="1" t="s">
        <v>45</v>
      </c>
      <c r="E76" s="1" t="s">
        <v>205</v>
      </c>
      <c r="F76" s="1" t="s">
        <v>259</v>
      </c>
      <c r="G76" s="1" t="s">
        <v>207</v>
      </c>
      <c r="H76" s="1" t="s">
        <v>196</v>
      </c>
    </row>
    <row r="77" spans="1:9">
      <c r="D77" s="1" t="s">
        <v>51</v>
      </c>
      <c r="E77" s="1" t="s">
        <v>208</v>
      </c>
      <c r="F77" s="1" t="s">
        <v>260</v>
      </c>
      <c r="G77" s="1" t="s">
        <v>207</v>
      </c>
      <c r="H77" s="1" t="s">
        <v>191</v>
      </c>
    </row>
    <row r="78" spans="1:9">
      <c r="D78" s="1" t="s">
        <v>57</v>
      </c>
      <c r="E78" s="1" t="s">
        <v>210</v>
      </c>
      <c r="F78" s="1" t="s">
        <v>261</v>
      </c>
      <c r="G78" s="1" t="s">
        <v>207</v>
      </c>
      <c r="H78" s="1" t="s">
        <v>196</v>
      </c>
    </row>
    <row r="79" spans="1:9">
      <c r="D79" s="1" t="s">
        <v>63</v>
      </c>
      <c r="E79" s="1" t="s">
        <v>212</v>
      </c>
      <c r="F79" s="1" t="s">
        <v>262</v>
      </c>
      <c r="G79" s="1" t="s">
        <v>207</v>
      </c>
      <c r="H79" s="1" t="s">
        <v>214</v>
      </c>
    </row>
    <row r="80" spans="1:9">
      <c r="D80" s="1" t="s">
        <v>69</v>
      </c>
      <c r="E80" s="1" t="s">
        <v>217</v>
      </c>
      <c r="F80" s="1" t="s">
        <v>263</v>
      </c>
      <c r="G80" s="1" t="s">
        <v>207</v>
      </c>
      <c r="H80" s="1" t="s">
        <v>191</v>
      </c>
    </row>
    <row r="81" spans="1:9">
      <c r="D81" s="1" t="s">
        <v>75</v>
      </c>
      <c r="E81" s="1" t="s">
        <v>220</v>
      </c>
      <c r="F81" s="1" t="s">
        <v>264</v>
      </c>
      <c r="G81" s="1" t="s">
        <v>207</v>
      </c>
      <c r="H81" s="1" t="s">
        <v>196</v>
      </c>
    </row>
    <row r="82" spans="1:9">
      <c r="D82" s="1" t="s">
        <v>126</v>
      </c>
      <c r="E82" s="1" t="s">
        <v>223</v>
      </c>
      <c r="F82" s="1" t="s">
        <v>265</v>
      </c>
      <c r="G82" s="1" t="s">
        <v>207</v>
      </c>
      <c r="H82" s="1" t="s">
        <v>196</v>
      </c>
    </row>
    <row r="83" spans="1:9">
      <c r="D83" s="1" t="s">
        <v>131</v>
      </c>
      <c r="E83" s="1" t="s">
        <v>226</v>
      </c>
      <c r="F83" s="1" t="s">
        <v>266</v>
      </c>
      <c r="G83" s="1" t="s">
        <v>207</v>
      </c>
      <c r="H83" s="1" t="s">
        <v>191</v>
      </c>
    </row>
    <row r="84" spans="1:9">
      <c r="D84" s="1" t="s">
        <v>219</v>
      </c>
      <c r="E84" s="1" t="s">
        <v>244</v>
      </c>
      <c r="F84" s="1" t="s">
        <v>267</v>
      </c>
      <c r="G84" s="1" t="s">
        <v>207</v>
      </c>
      <c r="H84" s="1" t="s">
        <v>191</v>
      </c>
    </row>
    <row r="85" spans="1:9">
      <c r="D85" s="1" t="s">
        <v>222</v>
      </c>
      <c r="E85" s="1" t="s">
        <v>232</v>
      </c>
      <c r="F85" s="1" t="s">
        <v>268</v>
      </c>
      <c r="G85" s="1" t="s">
        <v>207</v>
      </c>
      <c r="H85" s="1" t="s">
        <v>196</v>
      </c>
    </row>
    <row r="86" spans="1:9">
      <c r="D86" s="1" t="s">
        <v>225</v>
      </c>
      <c r="E86" s="1" t="s">
        <v>235</v>
      </c>
      <c r="F86" s="1" t="s">
        <v>269</v>
      </c>
      <c r="G86" s="1" t="s">
        <v>207</v>
      </c>
      <c r="H86" s="1" t="s">
        <v>214</v>
      </c>
    </row>
    <row r="87" spans="1:9">
      <c r="D87" s="1" t="s">
        <v>228</v>
      </c>
      <c r="E87" s="1" t="s">
        <v>238</v>
      </c>
      <c r="F87" s="1" t="s">
        <v>262</v>
      </c>
    </row>
    <row r="88" spans="1:9">
      <c r="B88" s="1" t="s">
        <v>40</v>
      </c>
      <c r="C88" s="1" t="s">
        <v>41</v>
      </c>
      <c r="D88" s="1" t="s">
        <v>12</v>
      </c>
      <c r="E88" s="1" t="s">
        <v>188</v>
      </c>
      <c r="F88" s="1" t="s">
        <v>189</v>
      </c>
      <c r="G88" s="1" t="s">
        <v>190</v>
      </c>
      <c r="H88" s="1" t="s">
        <v>191</v>
      </c>
    </row>
    <row r="89" spans="1:9">
      <c r="D89" s="1" t="s">
        <v>21</v>
      </c>
      <c r="E89" s="1" t="s">
        <v>192</v>
      </c>
      <c r="F89" s="1" t="s">
        <v>193</v>
      </c>
      <c r="G89" s="1" t="s">
        <v>190</v>
      </c>
      <c r="H89" s="1" t="s">
        <v>191</v>
      </c>
    </row>
    <row r="90" spans="1:9">
      <c r="D90" s="1" t="s">
        <v>27</v>
      </c>
      <c r="E90" s="1" t="s">
        <v>255</v>
      </c>
      <c r="F90" s="1" t="s">
        <v>270</v>
      </c>
      <c r="G90" s="1" t="s">
        <v>190</v>
      </c>
      <c r="H90" s="1" t="s">
        <v>191</v>
      </c>
    </row>
    <row r="91" spans="1:9">
      <c r="A91" s="1" t="s">
        <v>2</v>
      </c>
      <c r="D91" s="1" t="s">
        <v>182</v>
      </c>
      <c r="I91" s="1" t="s">
        <v>183</v>
      </c>
    </row>
    <row r="92" spans="1:9">
      <c r="A92" s="1" t="s">
        <v>0</v>
      </c>
      <c r="B92" s="1" t="s">
        <v>2</v>
      </c>
      <c r="C92" s="1" t="s">
        <v>3</v>
      </c>
      <c r="D92" s="1" t="s">
        <v>1</v>
      </c>
      <c r="E92" s="1" t="s">
        <v>184</v>
      </c>
      <c r="F92" s="1" t="s">
        <v>185</v>
      </c>
      <c r="G92" s="1" t="s">
        <v>186</v>
      </c>
      <c r="H92" s="1" t="s">
        <v>187</v>
      </c>
    </row>
    <row r="93" spans="1:9">
      <c r="A93" s="1" t="s">
        <v>11</v>
      </c>
      <c r="B93" s="1" t="s">
        <v>46</v>
      </c>
      <c r="C93" s="1" t="s">
        <v>47</v>
      </c>
      <c r="D93" s="1" t="s">
        <v>12</v>
      </c>
      <c r="E93" s="1" t="s">
        <v>188</v>
      </c>
      <c r="F93" s="1" t="s">
        <v>189</v>
      </c>
      <c r="G93" s="1" t="s">
        <v>190</v>
      </c>
      <c r="H93" s="1" t="s">
        <v>191</v>
      </c>
    </row>
    <row r="94" spans="1:9">
      <c r="D94" s="1" t="s">
        <v>21</v>
      </c>
      <c r="E94" s="1" t="s">
        <v>192</v>
      </c>
      <c r="F94" s="1" t="s">
        <v>193</v>
      </c>
      <c r="G94" s="1" t="s">
        <v>190</v>
      </c>
      <c r="H94" s="1" t="s">
        <v>191</v>
      </c>
    </row>
    <row r="95" spans="1:9">
      <c r="D95" s="1" t="s">
        <v>27</v>
      </c>
      <c r="E95" s="1" t="s">
        <v>194</v>
      </c>
      <c r="F95" s="1" t="s">
        <v>271</v>
      </c>
      <c r="G95" s="1" t="s">
        <v>190</v>
      </c>
      <c r="H95" s="1" t="s">
        <v>196</v>
      </c>
    </row>
    <row r="96" spans="1:9">
      <c r="D96" s="1" t="s">
        <v>33</v>
      </c>
      <c r="E96" s="1" t="s">
        <v>197</v>
      </c>
      <c r="F96" s="1" t="s">
        <v>240</v>
      </c>
      <c r="G96" s="1" t="s">
        <v>190</v>
      </c>
      <c r="H96" s="1" t="s">
        <v>196</v>
      </c>
    </row>
    <row r="97" spans="2:8">
      <c r="D97" s="1" t="s">
        <v>39</v>
      </c>
      <c r="E97" s="1" t="s">
        <v>199</v>
      </c>
      <c r="F97" s="1" t="s">
        <v>272</v>
      </c>
      <c r="G97" s="1" t="s">
        <v>190</v>
      </c>
      <c r="H97" s="1" t="s">
        <v>196</v>
      </c>
    </row>
    <row r="98" spans="2:8">
      <c r="D98" s="1" t="s">
        <v>45</v>
      </c>
      <c r="E98" s="1" t="s">
        <v>203</v>
      </c>
      <c r="F98" s="1" t="s">
        <v>204</v>
      </c>
      <c r="G98" s="1" t="s">
        <v>190</v>
      </c>
      <c r="H98" s="1" t="s">
        <v>191</v>
      </c>
    </row>
    <row r="99" spans="2:8">
      <c r="D99" s="1" t="s">
        <v>51</v>
      </c>
      <c r="E99" s="1" t="s">
        <v>205</v>
      </c>
      <c r="F99" s="1" t="s">
        <v>206</v>
      </c>
      <c r="G99" s="1" t="s">
        <v>207</v>
      </c>
      <c r="H99" s="1" t="s">
        <v>196</v>
      </c>
    </row>
    <row r="100" spans="2:8">
      <c r="D100" s="1" t="s">
        <v>57</v>
      </c>
      <c r="E100" s="1" t="s">
        <v>208</v>
      </c>
      <c r="F100" s="1" t="s">
        <v>209</v>
      </c>
      <c r="G100" s="1" t="s">
        <v>207</v>
      </c>
      <c r="H100" s="1" t="s">
        <v>191</v>
      </c>
    </row>
    <row r="101" spans="2:8">
      <c r="D101" s="1" t="s">
        <v>63</v>
      </c>
      <c r="E101" s="1" t="s">
        <v>273</v>
      </c>
      <c r="F101" s="1" t="s">
        <v>274</v>
      </c>
      <c r="G101" s="1" t="s">
        <v>190</v>
      </c>
      <c r="H101" s="1" t="s">
        <v>196</v>
      </c>
    </row>
    <row r="102" spans="2:8">
      <c r="D102" s="1" t="s">
        <v>69</v>
      </c>
      <c r="E102" s="1" t="s">
        <v>275</v>
      </c>
      <c r="F102" s="1" t="s">
        <v>276</v>
      </c>
      <c r="G102" s="1" t="s">
        <v>190</v>
      </c>
      <c r="H102" s="1" t="s">
        <v>196</v>
      </c>
    </row>
    <row r="103" spans="2:8">
      <c r="D103" s="1" t="s">
        <v>75</v>
      </c>
      <c r="E103" s="1" t="s">
        <v>212</v>
      </c>
      <c r="F103" s="1" t="s">
        <v>277</v>
      </c>
      <c r="G103" s="1" t="s">
        <v>207</v>
      </c>
      <c r="H103" s="1" t="s">
        <v>214</v>
      </c>
    </row>
    <row r="104" spans="2:8">
      <c r="D104" s="1" t="s">
        <v>126</v>
      </c>
      <c r="E104" s="1" t="s">
        <v>217</v>
      </c>
      <c r="F104" s="1" t="s">
        <v>218</v>
      </c>
      <c r="G104" s="1" t="s">
        <v>207</v>
      </c>
      <c r="H104" s="1" t="s">
        <v>191</v>
      </c>
    </row>
    <row r="105" spans="2:8">
      <c r="D105" s="1" t="s">
        <v>131</v>
      </c>
      <c r="E105" s="1" t="s">
        <v>220</v>
      </c>
      <c r="F105" s="1" t="s">
        <v>221</v>
      </c>
      <c r="G105" s="1" t="s">
        <v>207</v>
      </c>
      <c r="H105" s="1" t="s">
        <v>196</v>
      </c>
    </row>
    <row r="106" spans="2:8">
      <c r="D106" s="1" t="s">
        <v>219</v>
      </c>
      <c r="E106" s="1" t="s">
        <v>223</v>
      </c>
      <c r="F106" s="1" t="s">
        <v>224</v>
      </c>
      <c r="G106" s="1" t="s">
        <v>207</v>
      </c>
      <c r="H106" s="1" t="s">
        <v>196</v>
      </c>
    </row>
    <row r="107" spans="2:8">
      <c r="D107" s="1" t="s">
        <v>222</v>
      </c>
      <c r="E107" s="1" t="s">
        <v>226</v>
      </c>
      <c r="F107" s="1" t="s">
        <v>227</v>
      </c>
      <c r="G107" s="1" t="s">
        <v>207</v>
      </c>
      <c r="H107" s="1" t="s">
        <v>191</v>
      </c>
    </row>
    <row r="108" spans="2:8">
      <c r="D108" s="1" t="s">
        <v>225</v>
      </c>
      <c r="E108" s="1" t="s">
        <v>201</v>
      </c>
      <c r="F108" s="1" t="s">
        <v>278</v>
      </c>
      <c r="G108" s="1" t="s">
        <v>207</v>
      </c>
      <c r="H108" s="1" t="s">
        <v>196</v>
      </c>
    </row>
    <row r="109" spans="2:8">
      <c r="B109" s="1" t="s">
        <v>52</v>
      </c>
      <c r="C109" s="1" t="s">
        <v>53</v>
      </c>
      <c r="D109" s="1" t="s">
        <v>12</v>
      </c>
      <c r="E109" s="1" t="s">
        <v>188</v>
      </c>
      <c r="F109" s="1" t="s">
        <v>189</v>
      </c>
      <c r="G109" s="1" t="s">
        <v>190</v>
      </c>
      <c r="H109" s="1" t="s">
        <v>191</v>
      </c>
    </row>
    <row r="110" spans="2:8">
      <c r="D110" s="1" t="s">
        <v>21</v>
      </c>
      <c r="E110" s="1" t="s">
        <v>192</v>
      </c>
      <c r="F110" s="1" t="s">
        <v>193</v>
      </c>
      <c r="G110" s="1" t="s">
        <v>190</v>
      </c>
      <c r="H110" s="1" t="s">
        <v>191</v>
      </c>
    </row>
    <row r="111" spans="2:8">
      <c r="D111" s="1" t="s">
        <v>27</v>
      </c>
      <c r="E111" s="1" t="s">
        <v>194</v>
      </c>
      <c r="F111" s="1" t="s">
        <v>271</v>
      </c>
      <c r="G111" s="1" t="s">
        <v>190</v>
      </c>
      <c r="H111" s="1" t="s">
        <v>196</v>
      </c>
    </row>
    <row r="112" spans="2:8">
      <c r="D112" s="1" t="s">
        <v>33</v>
      </c>
      <c r="E112" s="1" t="s">
        <v>197</v>
      </c>
      <c r="F112" s="1" t="s">
        <v>279</v>
      </c>
      <c r="G112" s="1" t="s">
        <v>190</v>
      </c>
      <c r="H112" s="1" t="s">
        <v>191</v>
      </c>
    </row>
    <row r="113" spans="1:9">
      <c r="D113" s="1" t="s">
        <v>39</v>
      </c>
      <c r="E113" s="1" t="s">
        <v>199</v>
      </c>
      <c r="F113" s="1" t="s">
        <v>272</v>
      </c>
      <c r="G113" s="1" t="s">
        <v>190</v>
      </c>
      <c r="H113" s="1" t="s">
        <v>196</v>
      </c>
    </row>
    <row r="114" spans="1:9">
      <c r="D114" s="1" t="s">
        <v>45</v>
      </c>
      <c r="E114" s="1" t="s">
        <v>203</v>
      </c>
      <c r="F114" s="1" t="s">
        <v>204</v>
      </c>
      <c r="G114" s="1" t="s">
        <v>190</v>
      </c>
      <c r="H114" s="1" t="s">
        <v>191</v>
      </c>
    </row>
    <row r="115" spans="1:9">
      <c r="D115" s="1" t="s">
        <v>51</v>
      </c>
      <c r="E115" s="1" t="s">
        <v>205</v>
      </c>
      <c r="F115" s="1" t="s">
        <v>206</v>
      </c>
      <c r="G115" s="1" t="s">
        <v>207</v>
      </c>
      <c r="H115" s="1" t="s">
        <v>196</v>
      </c>
    </row>
    <row r="116" spans="1:9">
      <c r="D116" s="1" t="s">
        <v>57</v>
      </c>
      <c r="E116" s="1" t="s">
        <v>208</v>
      </c>
      <c r="F116" s="1" t="s">
        <v>209</v>
      </c>
      <c r="G116" s="1" t="s">
        <v>207</v>
      </c>
      <c r="H116" s="1" t="s">
        <v>191</v>
      </c>
    </row>
    <row r="117" spans="1:9">
      <c r="A117" s="1" t="s">
        <v>2</v>
      </c>
      <c r="D117" s="1" t="s">
        <v>182</v>
      </c>
      <c r="I117" s="1" t="s">
        <v>183</v>
      </c>
    </row>
    <row r="118" spans="1:9">
      <c r="A118" s="1" t="s">
        <v>0</v>
      </c>
      <c r="B118" s="1" t="s">
        <v>2</v>
      </c>
      <c r="C118" s="1" t="s">
        <v>3</v>
      </c>
      <c r="D118" s="1" t="s">
        <v>1</v>
      </c>
      <c r="E118" s="1" t="s">
        <v>184</v>
      </c>
      <c r="F118" s="1" t="s">
        <v>185</v>
      </c>
      <c r="G118" s="1" t="s">
        <v>186</v>
      </c>
      <c r="H118" s="1" t="s">
        <v>187</v>
      </c>
    </row>
    <row r="119" spans="1:9">
      <c r="A119" s="1" t="s">
        <v>11</v>
      </c>
      <c r="B119" s="1" t="s">
        <v>52</v>
      </c>
      <c r="C119" s="1" t="s">
        <v>53</v>
      </c>
      <c r="D119" s="1" t="s">
        <v>63</v>
      </c>
      <c r="E119" s="1" t="s">
        <v>273</v>
      </c>
      <c r="F119" s="1" t="s">
        <v>274</v>
      </c>
      <c r="G119" s="1" t="s">
        <v>190</v>
      </c>
      <c r="H119" s="1" t="s">
        <v>196</v>
      </c>
    </row>
    <row r="120" spans="1:9">
      <c r="D120" s="1" t="s">
        <v>69</v>
      </c>
      <c r="E120" s="1" t="s">
        <v>275</v>
      </c>
      <c r="F120" s="1" t="s">
        <v>276</v>
      </c>
      <c r="G120" s="1" t="s">
        <v>190</v>
      </c>
      <c r="H120" s="1" t="s">
        <v>196</v>
      </c>
    </row>
    <row r="121" spans="1:9">
      <c r="D121" s="1" t="s">
        <v>75</v>
      </c>
      <c r="E121" s="1" t="s">
        <v>212</v>
      </c>
      <c r="F121" s="1" t="s">
        <v>277</v>
      </c>
      <c r="G121" s="1" t="s">
        <v>207</v>
      </c>
      <c r="H121" s="1" t="s">
        <v>214</v>
      </c>
    </row>
    <row r="122" spans="1:9">
      <c r="D122" s="1" t="s">
        <v>126</v>
      </c>
      <c r="E122" s="1" t="s">
        <v>249</v>
      </c>
      <c r="F122" s="1" t="s">
        <v>280</v>
      </c>
      <c r="G122" s="1" t="s">
        <v>190</v>
      </c>
      <c r="H122" s="1" t="s">
        <v>214</v>
      </c>
    </row>
    <row r="123" spans="1:9">
      <c r="D123" s="1" t="s">
        <v>131</v>
      </c>
      <c r="E123" s="1" t="s">
        <v>251</v>
      </c>
      <c r="F123" s="1" t="s">
        <v>281</v>
      </c>
      <c r="G123" s="1" t="s">
        <v>190</v>
      </c>
      <c r="H123" s="1" t="s">
        <v>191</v>
      </c>
    </row>
    <row r="124" spans="1:9">
      <c r="D124" s="1" t="s">
        <v>219</v>
      </c>
      <c r="E124" s="1" t="s">
        <v>217</v>
      </c>
      <c r="F124" s="1" t="s">
        <v>218</v>
      </c>
      <c r="G124" s="1" t="s">
        <v>207</v>
      </c>
      <c r="H124" s="1" t="s">
        <v>191</v>
      </c>
    </row>
    <row r="125" spans="1:9">
      <c r="D125" s="1" t="s">
        <v>222</v>
      </c>
      <c r="E125" s="1" t="s">
        <v>220</v>
      </c>
      <c r="F125" s="1" t="s">
        <v>221</v>
      </c>
      <c r="G125" s="1" t="s">
        <v>207</v>
      </c>
      <c r="H125" s="1" t="s">
        <v>196</v>
      </c>
    </row>
    <row r="126" spans="1:9">
      <c r="D126" s="1" t="s">
        <v>225</v>
      </c>
      <c r="E126" s="1" t="s">
        <v>223</v>
      </c>
      <c r="F126" s="1" t="s">
        <v>224</v>
      </c>
      <c r="G126" s="1" t="s">
        <v>207</v>
      </c>
      <c r="H126" s="1" t="s">
        <v>196</v>
      </c>
    </row>
    <row r="127" spans="1:9">
      <c r="D127" s="1" t="s">
        <v>228</v>
      </c>
      <c r="E127" s="1" t="s">
        <v>226</v>
      </c>
      <c r="F127" s="1" t="s">
        <v>227</v>
      </c>
      <c r="G127" s="1" t="s">
        <v>207</v>
      </c>
      <c r="H127" s="1" t="s">
        <v>191</v>
      </c>
    </row>
    <row r="128" spans="1:9">
      <c r="D128" s="1" t="s">
        <v>231</v>
      </c>
      <c r="E128" s="1" t="s">
        <v>201</v>
      </c>
      <c r="F128" s="1" t="s">
        <v>278</v>
      </c>
      <c r="G128" s="1" t="s">
        <v>207</v>
      </c>
      <c r="H128" s="1" t="s">
        <v>196</v>
      </c>
    </row>
    <row r="129" spans="2:8">
      <c r="B129" s="1" t="s">
        <v>58</v>
      </c>
      <c r="C129" s="1" t="s">
        <v>59</v>
      </c>
      <c r="D129" s="1" t="s">
        <v>12</v>
      </c>
      <c r="E129" s="1" t="s">
        <v>188</v>
      </c>
      <c r="F129" s="1" t="s">
        <v>189</v>
      </c>
      <c r="G129" s="1" t="s">
        <v>190</v>
      </c>
      <c r="H129" s="1" t="s">
        <v>191</v>
      </c>
    </row>
    <row r="130" spans="2:8">
      <c r="D130" s="1" t="s">
        <v>21</v>
      </c>
      <c r="E130" s="1" t="s">
        <v>192</v>
      </c>
      <c r="F130" s="1" t="s">
        <v>193</v>
      </c>
      <c r="G130" s="1" t="s">
        <v>190</v>
      </c>
      <c r="H130" s="1" t="s">
        <v>191</v>
      </c>
    </row>
    <row r="131" spans="2:8">
      <c r="D131" s="1" t="s">
        <v>27</v>
      </c>
      <c r="E131" s="1" t="s">
        <v>282</v>
      </c>
      <c r="F131" s="1" t="s">
        <v>271</v>
      </c>
      <c r="G131" s="1" t="s">
        <v>190</v>
      </c>
      <c r="H131" s="1" t="s">
        <v>196</v>
      </c>
    </row>
    <row r="132" spans="2:8">
      <c r="D132" s="1" t="s">
        <v>33</v>
      </c>
      <c r="E132" s="1" t="s">
        <v>283</v>
      </c>
      <c r="F132" s="1" t="s">
        <v>240</v>
      </c>
      <c r="G132" s="1" t="s">
        <v>190</v>
      </c>
      <c r="H132" s="1" t="s">
        <v>196</v>
      </c>
    </row>
    <row r="133" spans="2:8">
      <c r="D133" s="1" t="s">
        <v>39</v>
      </c>
      <c r="E133" s="1" t="s">
        <v>284</v>
      </c>
      <c r="F133" s="1" t="s">
        <v>285</v>
      </c>
      <c r="G133" s="1" t="s">
        <v>190</v>
      </c>
      <c r="H133" s="1" t="s">
        <v>196</v>
      </c>
    </row>
    <row r="134" spans="2:8">
      <c r="D134" s="1" t="s">
        <v>45</v>
      </c>
      <c r="E134" s="1" t="s">
        <v>286</v>
      </c>
      <c r="F134" s="1" t="s">
        <v>204</v>
      </c>
      <c r="G134" s="1" t="s">
        <v>190</v>
      </c>
      <c r="H134" s="1" t="s">
        <v>191</v>
      </c>
    </row>
    <row r="135" spans="2:8">
      <c r="D135" s="1" t="s">
        <v>51</v>
      </c>
      <c r="E135" s="1" t="s">
        <v>287</v>
      </c>
      <c r="F135" s="1" t="s">
        <v>288</v>
      </c>
      <c r="G135" s="1" t="s">
        <v>207</v>
      </c>
      <c r="H135" s="1" t="s">
        <v>196</v>
      </c>
    </row>
    <row r="136" spans="2:8">
      <c r="D136" s="1" t="s">
        <v>57</v>
      </c>
      <c r="E136" s="1" t="s">
        <v>208</v>
      </c>
      <c r="F136" s="1" t="s">
        <v>289</v>
      </c>
      <c r="G136" s="1" t="s">
        <v>207</v>
      </c>
      <c r="H136" s="1" t="s">
        <v>191</v>
      </c>
    </row>
    <row r="137" spans="2:8">
      <c r="D137" s="1" t="s">
        <v>63</v>
      </c>
      <c r="E137" s="1" t="s">
        <v>290</v>
      </c>
      <c r="F137" s="1" t="s">
        <v>274</v>
      </c>
      <c r="G137" s="1" t="s">
        <v>190</v>
      </c>
      <c r="H137" s="1" t="s">
        <v>196</v>
      </c>
    </row>
    <row r="138" spans="2:8">
      <c r="D138" s="1" t="s">
        <v>69</v>
      </c>
      <c r="E138" s="1" t="s">
        <v>291</v>
      </c>
      <c r="F138" s="1" t="s">
        <v>276</v>
      </c>
      <c r="G138" s="1" t="s">
        <v>190</v>
      </c>
      <c r="H138" s="1" t="s">
        <v>196</v>
      </c>
    </row>
    <row r="139" spans="2:8">
      <c r="D139" s="1" t="s">
        <v>75</v>
      </c>
      <c r="E139" s="1" t="s">
        <v>292</v>
      </c>
      <c r="F139" s="1" t="s">
        <v>277</v>
      </c>
      <c r="G139" s="1" t="s">
        <v>207</v>
      </c>
      <c r="H139" s="1" t="s">
        <v>214</v>
      </c>
    </row>
    <row r="140" spans="2:8">
      <c r="D140" s="1" t="s">
        <v>126</v>
      </c>
      <c r="E140" s="1" t="s">
        <v>293</v>
      </c>
      <c r="F140" s="1" t="s">
        <v>271</v>
      </c>
      <c r="G140" s="1" t="s">
        <v>207</v>
      </c>
      <c r="H140" s="1" t="s">
        <v>196</v>
      </c>
    </row>
    <row r="141" spans="2:8">
      <c r="D141" s="1" t="s">
        <v>131</v>
      </c>
      <c r="E141" s="1" t="s">
        <v>294</v>
      </c>
      <c r="F141" s="1" t="s">
        <v>240</v>
      </c>
      <c r="G141" s="1" t="s">
        <v>207</v>
      </c>
      <c r="H141" s="1" t="s">
        <v>196</v>
      </c>
    </row>
    <row r="142" spans="2:8">
      <c r="D142" s="1" t="s">
        <v>219</v>
      </c>
      <c r="E142" s="1" t="s">
        <v>295</v>
      </c>
      <c r="F142" s="1" t="s">
        <v>285</v>
      </c>
      <c r="G142" s="1" t="s">
        <v>207</v>
      </c>
      <c r="H142" s="1" t="s">
        <v>196</v>
      </c>
    </row>
    <row r="143" spans="2:8">
      <c r="D143" s="1" t="s">
        <v>222</v>
      </c>
      <c r="E143" s="1" t="s">
        <v>296</v>
      </c>
      <c r="F143" s="1" t="s">
        <v>204</v>
      </c>
      <c r="G143" s="1" t="s">
        <v>207</v>
      </c>
      <c r="H143" s="1" t="s">
        <v>191</v>
      </c>
    </row>
    <row r="144" spans="2:8">
      <c r="D144" s="1" t="s">
        <v>225</v>
      </c>
      <c r="E144" s="1" t="s">
        <v>297</v>
      </c>
      <c r="F144" s="1" t="s">
        <v>288</v>
      </c>
      <c r="G144" s="1" t="s">
        <v>207</v>
      </c>
      <c r="H144" s="1" t="s">
        <v>196</v>
      </c>
    </row>
    <row r="145" spans="1:9">
      <c r="D145" s="1" t="s">
        <v>228</v>
      </c>
      <c r="E145" s="1" t="s">
        <v>298</v>
      </c>
      <c r="F145" s="1" t="s">
        <v>289</v>
      </c>
      <c r="G145" s="1" t="s">
        <v>207</v>
      </c>
      <c r="H145" s="1" t="s">
        <v>196</v>
      </c>
    </row>
    <row r="146" spans="1:9">
      <c r="D146" s="1" t="s">
        <v>231</v>
      </c>
      <c r="E146" s="1" t="s">
        <v>299</v>
      </c>
      <c r="F146" s="1" t="s">
        <v>274</v>
      </c>
      <c r="G146" s="1" t="s">
        <v>207</v>
      </c>
      <c r="H146" s="1" t="s">
        <v>196</v>
      </c>
    </row>
    <row r="147" spans="1:9">
      <c r="A147" s="1" t="s">
        <v>2</v>
      </c>
      <c r="D147" s="1" t="s">
        <v>182</v>
      </c>
      <c r="I147" s="1" t="s">
        <v>183</v>
      </c>
    </row>
    <row r="148" spans="1:9">
      <c r="A148" s="1" t="s">
        <v>0</v>
      </c>
      <c r="B148" s="1" t="s">
        <v>2</v>
      </c>
      <c r="C148" s="1" t="s">
        <v>3</v>
      </c>
      <c r="D148" s="1" t="s">
        <v>1</v>
      </c>
      <c r="E148" s="1" t="s">
        <v>184</v>
      </c>
      <c r="F148" s="1" t="s">
        <v>185</v>
      </c>
      <c r="G148" s="1" t="s">
        <v>186</v>
      </c>
      <c r="H148" s="1" t="s">
        <v>187</v>
      </c>
    </row>
    <row r="149" spans="1:9">
      <c r="A149" s="1" t="s">
        <v>11</v>
      </c>
      <c r="B149" s="1" t="s">
        <v>58</v>
      </c>
      <c r="C149" s="1" t="s">
        <v>59</v>
      </c>
      <c r="D149" s="1" t="s">
        <v>234</v>
      </c>
      <c r="E149" s="1" t="s">
        <v>300</v>
      </c>
      <c r="F149" s="1" t="s">
        <v>276</v>
      </c>
      <c r="G149" s="1" t="s">
        <v>207</v>
      </c>
      <c r="H149" s="1" t="s">
        <v>196</v>
      </c>
    </row>
    <row r="150" spans="1:9">
      <c r="D150" s="1" t="s">
        <v>237</v>
      </c>
      <c r="E150" s="1" t="s">
        <v>301</v>
      </c>
      <c r="F150" s="1" t="s">
        <v>277</v>
      </c>
      <c r="G150" s="1" t="s">
        <v>207</v>
      </c>
      <c r="H150" s="1" t="s">
        <v>214</v>
      </c>
    </row>
    <row r="151" spans="1:9">
      <c r="B151" s="1" t="s">
        <v>64</v>
      </c>
      <c r="C151" s="1" t="s">
        <v>65</v>
      </c>
      <c r="D151" s="1" t="s">
        <v>12</v>
      </c>
      <c r="E151" s="1" t="s">
        <v>188</v>
      </c>
      <c r="F151" s="1" t="s">
        <v>189</v>
      </c>
      <c r="G151" s="1" t="s">
        <v>190</v>
      </c>
      <c r="H151" s="1" t="s">
        <v>191</v>
      </c>
    </row>
    <row r="152" spans="1:9">
      <c r="D152" s="1" t="s">
        <v>21</v>
      </c>
      <c r="E152" s="1" t="s">
        <v>192</v>
      </c>
      <c r="F152" s="1" t="s">
        <v>193</v>
      </c>
      <c r="G152" s="1" t="s">
        <v>190</v>
      </c>
      <c r="H152" s="1" t="s">
        <v>191</v>
      </c>
    </row>
    <row r="153" spans="1:9">
      <c r="D153" s="1" t="s">
        <v>27</v>
      </c>
      <c r="E153" s="1" t="s">
        <v>282</v>
      </c>
      <c r="F153" s="1" t="s">
        <v>271</v>
      </c>
      <c r="G153" s="1" t="s">
        <v>190</v>
      </c>
      <c r="H153" s="1" t="s">
        <v>196</v>
      </c>
    </row>
    <row r="154" spans="1:9">
      <c r="D154" s="1" t="s">
        <v>33</v>
      </c>
      <c r="E154" s="1" t="s">
        <v>283</v>
      </c>
      <c r="F154" s="1" t="s">
        <v>279</v>
      </c>
      <c r="G154" s="1" t="s">
        <v>190</v>
      </c>
      <c r="H154" s="1" t="s">
        <v>191</v>
      </c>
    </row>
    <row r="155" spans="1:9">
      <c r="D155" s="1" t="s">
        <v>39</v>
      </c>
      <c r="E155" s="1" t="s">
        <v>284</v>
      </c>
      <c r="F155" s="1" t="s">
        <v>285</v>
      </c>
      <c r="G155" s="1" t="s">
        <v>190</v>
      </c>
      <c r="H155" s="1" t="s">
        <v>196</v>
      </c>
    </row>
    <row r="156" spans="1:9">
      <c r="D156" s="1" t="s">
        <v>45</v>
      </c>
      <c r="E156" s="1" t="s">
        <v>286</v>
      </c>
      <c r="F156" s="1" t="s">
        <v>204</v>
      </c>
      <c r="G156" s="1" t="s">
        <v>190</v>
      </c>
      <c r="H156" s="1" t="s">
        <v>191</v>
      </c>
    </row>
    <row r="157" spans="1:9">
      <c r="D157" s="1" t="s">
        <v>51</v>
      </c>
      <c r="E157" s="1" t="s">
        <v>287</v>
      </c>
      <c r="F157" s="1" t="s">
        <v>288</v>
      </c>
      <c r="G157" s="1" t="s">
        <v>207</v>
      </c>
      <c r="H157" s="1" t="s">
        <v>196</v>
      </c>
    </row>
    <row r="158" spans="1:9">
      <c r="D158" s="1" t="s">
        <v>57</v>
      </c>
      <c r="E158" s="1" t="s">
        <v>302</v>
      </c>
      <c r="F158" s="1" t="s">
        <v>289</v>
      </c>
      <c r="G158" s="1" t="s">
        <v>207</v>
      </c>
      <c r="H158" s="1" t="s">
        <v>191</v>
      </c>
    </row>
    <row r="159" spans="1:9">
      <c r="D159" s="1" t="s">
        <v>63</v>
      </c>
      <c r="E159" s="1" t="s">
        <v>290</v>
      </c>
      <c r="F159" s="1" t="s">
        <v>274</v>
      </c>
      <c r="G159" s="1" t="s">
        <v>190</v>
      </c>
      <c r="H159" s="1" t="s">
        <v>196</v>
      </c>
    </row>
    <row r="160" spans="1:9">
      <c r="D160" s="1" t="s">
        <v>69</v>
      </c>
      <c r="E160" s="1" t="s">
        <v>291</v>
      </c>
      <c r="F160" s="1" t="s">
        <v>276</v>
      </c>
      <c r="G160" s="1" t="s">
        <v>190</v>
      </c>
      <c r="H160" s="1" t="s">
        <v>196</v>
      </c>
    </row>
    <row r="161" spans="1:9">
      <c r="D161" s="1" t="s">
        <v>75</v>
      </c>
      <c r="E161" s="1" t="s">
        <v>292</v>
      </c>
      <c r="F161" s="1" t="s">
        <v>213</v>
      </c>
      <c r="G161" s="1" t="s">
        <v>207</v>
      </c>
      <c r="H161" s="1" t="s">
        <v>214</v>
      </c>
    </row>
    <row r="162" spans="1:9">
      <c r="D162" s="1" t="s">
        <v>126</v>
      </c>
      <c r="E162" s="1" t="s">
        <v>303</v>
      </c>
      <c r="F162" s="1" t="s">
        <v>280</v>
      </c>
      <c r="G162" s="1" t="s">
        <v>190</v>
      </c>
      <c r="H162" s="1" t="s">
        <v>214</v>
      </c>
    </row>
    <row r="163" spans="1:9">
      <c r="D163" s="1" t="s">
        <v>131</v>
      </c>
      <c r="E163" s="1" t="s">
        <v>304</v>
      </c>
      <c r="F163" s="1" t="s">
        <v>281</v>
      </c>
      <c r="G163" s="1" t="s">
        <v>190</v>
      </c>
      <c r="H163" s="1" t="s">
        <v>191</v>
      </c>
    </row>
    <row r="164" spans="1:9">
      <c r="D164" s="1" t="s">
        <v>219</v>
      </c>
      <c r="E164" s="1" t="s">
        <v>293</v>
      </c>
      <c r="F164" s="1" t="s">
        <v>271</v>
      </c>
      <c r="G164" s="1" t="s">
        <v>207</v>
      </c>
      <c r="H164" s="1" t="s">
        <v>196</v>
      </c>
    </row>
    <row r="165" spans="1:9">
      <c r="D165" s="1" t="s">
        <v>222</v>
      </c>
      <c r="E165" s="1" t="s">
        <v>294</v>
      </c>
      <c r="F165" s="1" t="s">
        <v>279</v>
      </c>
      <c r="G165" s="1" t="s">
        <v>207</v>
      </c>
      <c r="H165" s="1" t="s">
        <v>196</v>
      </c>
    </row>
    <row r="166" spans="1:9">
      <c r="D166" s="1" t="s">
        <v>225</v>
      </c>
      <c r="E166" s="1" t="s">
        <v>295</v>
      </c>
      <c r="F166" s="1" t="s">
        <v>285</v>
      </c>
      <c r="G166" s="1" t="s">
        <v>207</v>
      </c>
      <c r="H166" s="1" t="s">
        <v>196</v>
      </c>
    </row>
    <row r="167" spans="1:9">
      <c r="D167" s="1" t="s">
        <v>228</v>
      </c>
      <c r="E167" s="1" t="s">
        <v>296</v>
      </c>
      <c r="F167" s="1" t="s">
        <v>204</v>
      </c>
      <c r="G167" s="1" t="s">
        <v>207</v>
      </c>
      <c r="H167" s="1" t="s">
        <v>191</v>
      </c>
    </row>
    <row r="168" spans="1:9">
      <c r="D168" s="1" t="s">
        <v>231</v>
      </c>
      <c r="E168" s="1" t="s">
        <v>297</v>
      </c>
      <c r="F168" s="1" t="s">
        <v>288</v>
      </c>
      <c r="G168" s="1" t="s">
        <v>207</v>
      </c>
      <c r="H168" s="1" t="s">
        <v>196</v>
      </c>
    </row>
    <row r="169" spans="1:9">
      <c r="D169" s="1" t="s">
        <v>234</v>
      </c>
      <c r="E169" s="1" t="s">
        <v>298</v>
      </c>
      <c r="F169" s="1" t="s">
        <v>289</v>
      </c>
      <c r="G169" s="1" t="s">
        <v>207</v>
      </c>
      <c r="H169" s="1" t="s">
        <v>191</v>
      </c>
    </row>
    <row r="170" spans="1:9">
      <c r="D170" s="1" t="s">
        <v>237</v>
      </c>
      <c r="E170" s="1" t="s">
        <v>299</v>
      </c>
      <c r="F170" s="1" t="s">
        <v>274</v>
      </c>
      <c r="G170" s="1" t="s">
        <v>207</v>
      </c>
      <c r="H170" s="1" t="s">
        <v>196</v>
      </c>
    </row>
    <row r="171" spans="1:9">
      <c r="D171" s="1" t="s">
        <v>246</v>
      </c>
      <c r="E171" s="1" t="s">
        <v>300</v>
      </c>
      <c r="F171" s="1" t="s">
        <v>276</v>
      </c>
      <c r="G171" s="1" t="s">
        <v>207</v>
      </c>
      <c r="H171" s="1" t="s">
        <v>196</v>
      </c>
    </row>
    <row r="172" spans="1:9">
      <c r="D172" s="1" t="s">
        <v>247</v>
      </c>
      <c r="E172" s="1" t="s">
        <v>301</v>
      </c>
      <c r="F172" s="1" t="s">
        <v>213</v>
      </c>
      <c r="G172" s="1" t="s">
        <v>207</v>
      </c>
      <c r="H172" s="1" t="s">
        <v>214</v>
      </c>
    </row>
    <row r="173" spans="1:9">
      <c r="D173" s="1" t="s">
        <v>305</v>
      </c>
      <c r="E173" s="1" t="s">
        <v>306</v>
      </c>
      <c r="F173" s="1" t="s">
        <v>280</v>
      </c>
      <c r="G173" s="1" t="s">
        <v>207</v>
      </c>
      <c r="H173" s="1" t="s">
        <v>214</v>
      </c>
    </row>
    <row r="174" spans="1:9">
      <c r="D174" s="1" t="s">
        <v>307</v>
      </c>
      <c r="E174" s="1" t="s">
        <v>308</v>
      </c>
      <c r="F174" s="1" t="s">
        <v>281</v>
      </c>
      <c r="G174" s="1" t="s">
        <v>207</v>
      </c>
      <c r="H174" s="1" t="s">
        <v>191</v>
      </c>
    </row>
    <row r="175" spans="1:9">
      <c r="A175" s="1" t="s">
        <v>2</v>
      </c>
      <c r="D175" s="1" t="s">
        <v>182</v>
      </c>
      <c r="I175" s="1" t="s">
        <v>183</v>
      </c>
    </row>
    <row r="176" spans="1:9">
      <c r="A176" s="1" t="s">
        <v>0</v>
      </c>
      <c r="B176" s="1" t="s">
        <v>2</v>
      </c>
      <c r="C176" s="1" t="s">
        <v>3</v>
      </c>
      <c r="D176" s="1" t="s">
        <v>1</v>
      </c>
      <c r="E176" s="1" t="s">
        <v>184</v>
      </c>
      <c r="F176" s="1" t="s">
        <v>185</v>
      </c>
      <c r="G176" s="1" t="s">
        <v>186</v>
      </c>
      <c r="H176" s="1" t="s">
        <v>187</v>
      </c>
    </row>
    <row r="177" spans="1:9">
      <c r="A177" s="1" t="s">
        <v>11</v>
      </c>
      <c r="B177" s="1" t="s">
        <v>70</v>
      </c>
      <c r="C177" s="1" t="s">
        <v>71</v>
      </c>
      <c r="D177" s="1" t="s">
        <v>12</v>
      </c>
      <c r="E177" s="1" t="s">
        <v>188</v>
      </c>
      <c r="F177" s="1" t="s">
        <v>189</v>
      </c>
      <c r="G177" s="1" t="s">
        <v>190</v>
      </c>
      <c r="H177" s="1" t="s">
        <v>191</v>
      </c>
    </row>
    <row r="178" spans="1:9">
      <c r="D178" s="1" t="s">
        <v>21</v>
      </c>
      <c r="E178" s="1" t="s">
        <v>192</v>
      </c>
      <c r="F178" s="1" t="s">
        <v>193</v>
      </c>
      <c r="G178" s="1" t="s">
        <v>190</v>
      </c>
      <c r="H178" s="1" t="s">
        <v>191</v>
      </c>
    </row>
    <row r="179" spans="1:9">
      <c r="D179" s="1" t="s">
        <v>27</v>
      </c>
      <c r="E179" s="1" t="s">
        <v>255</v>
      </c>
      <c r="F179" s="1" t="s">
        <v>256</v>
      </c>
      <c r="G179" s="1" t="s">
        <v>190</v>
      </c>
      <c r="H179" s="1" t="s">
        <v>191</v>
      </c>
    </row>
    <row r="180" spans="1:9">
      <c r="D180" s="1" t="s">
        <v>33</v>
      </c>
      <c r="E180" s="1" t="s">
        <v>199</v>
      </c>
      <c r="F180" s="1" t="s">
        <v>257</v>
      </c>
      <c r="G180" s="1" t="s">
        <v>190</v>
      </c>
      <c r="H180" s="1" t="s">
        <v>196</v>
      </c>
    </row>
    <row r="181" spans="1:9">
      <c r="D181" s="1" t="s">
        <v>39</v>
      </c>
      <c r="E181" s="1" t="s">
        <v>208</v>
      </c>
      <c r="F181" s="1" t="s">
        <v>260</v>
      </c>
      <c r="G181" s="1" t="s">
        <v>207</v>
      </c>
      <c r="H181" s="1" t="s">
        <v>191</v>
      </c>
    </row>
    <row r="182" spans="1:9">
      <c r="D182" s="1" t="s">
        <v>45</v>
      </c>
      <c r="E182" s="1" t="s">
        <v>212</v>
      </c>
      <c r="F182" s="1" t="s">
        <v>262</v>
      </c>
      <c r="G182" s="1" t="s">
        <v>207</v>
      </c>
      <c r="H182" s="1" t="s">
        <v>214</v>
      </c>
    </row>
    <row r="183" spans="1:9">
      <c r="D183" s="1" t="s">
        <v>51</v>
      </c>
      <c r="E183" s="1" t="s">
        <v>217</v>
      </c>
      <c r="F183" s="1" t="s">
        <v>263</v>
      </c>
      <c r="G183" s="1" t="s">
        <v>207</v>
      </c>
      <c r="H183" s="1" t="s">
        <v>191</v>
      </c>
    </row>
    <row r="184" spans="1:9">
      <c r="D184" s="1" t="s">
        <v>57</v>
      </c>
      <c r="E184" s="1" t="s">
        <v>220</v>
      </c>
      <c r="F184" s="1" t="s">
        <v>264</v>
      </c>
      <c r="G184" s="1" t="s">
        <v>207</v>
      </c>
      <c r="H184" s="1" t="s">
        <v>196</v>
      </c>
    </row>
    <row r="185" spans="1:9">
      <c r="D185" s="1" t="s">
        <v>63</v>
      </c>
      <c r="E185" s="1" t="s">
        <v>226</v>
      </c>
      <c r="F185" s="1" t="s">
        <v>266</v>
      </c>
      <c r="G185" s="1" t="s">
        <v>207</v>
      </c>
      <c r="H185" s="1" t="s">
        <v>191</v>
      </c>
    </row>
    <row r="186" spans="1:9">
      <c r="B186" s="1" t="s">
        <v>76</v>
      </c>
      <c r="C186" s="1" t="s">
        <v>77</v>
      </c>
      <c r="D186" s="1" t="s">
        <v>12</v>
      </c>
      <c r="E186" s="1" t="s">
        <v>188</v>
      </c>
      <c r="F186" s="1" t="s">
        <v>189</v>
      </c>
      <c r="G186" s="1" t="s">
        <v>190</v>
      </c>
      <c r="H186" s="1" t="s">
        <v>191</v>
      </c>
    </row>
    <row r="187" spans="1:9">
      <c r="D187" s="1" t="s">
        <v>21</v>
      </c>
      <c r="E187" s="1" t="s">
        <v>192</v>
      </c>
      <c r="F187" s="1" t="s">
        <v>193</v>
      </c>
      <c r="G187" s="1" t="s">
        <v>190</v>
      </c>
      <c r="H187" s="1" t="s">
        <v>191</v>
      </c>
    </row>
    <row r="188" spans="1:9">
      <c r="D188" s="1" t="s">
        <v>27</v>
      </c>
      <c r="E188" s="1" t="s">
        <v>255</v>
      </c>
      <c r="F188" s="1" t="s">
        <v>270</v>
      </c>
      <c r="G188" s="1" t="s">
        <v>190</v>
      </c>
      <c r="H188" s="1" t="s">
        <v>191</v>
      </c>
    </row>
    <row r="189" spans="1:9">
      <c r="A189" s="1" t="s">
        <v>2</v>
      </c>
      <c r="D189" s="1" t="s">
        <v>182</v>
      </c>
      <c r="I189" s="1" t="s">
        <v>183</v>
      </c>
    </row>
    <row r="190" spans="1:9">
      <c r="A190" s="1" t="s">
        <v>0</v>
      </c>
      <c r="B190" s="1" t="s">
        <v>2</v>
      </c>
      <c r="C190" s="1" t="s">
        <v>3</v>
      </c>
      <c r="D190" s="1" t="s">
        <v>1</v>
      </c>
      <c r="E190" s="1" t="s">
        <v>184</v>
      </c>
      <c r="F190" s="1" t="s">
        <v>185</v>
      </c>
      <c r="G190" s="1" t="s">
        <v>186</v>
      </c>
      <c r="H190" s="1" t="s">
        <v>187</v>
      </c>
    </row>
    <row r="191" spans="1:9">
      <c r="A191" s="1" t="s">
        <v>81</v>
      </c>
      <c r="B191" s="1" t="s">
        <v>82</v>
      </c>
      <c r="C191" s="1" t="s">
        <v>83</v>
      </c>
      <c r="D191" s="1" t="s">
        <v>12</v>
      </c>
      <c r="E191" s="1" t="s">
        <v>309</v>
      </c>
      <c r="F191" s="1" t="s">
        <v>310</v>
      </c>
      <c r="G191" s="1" t="s">
        <v>207</v>
      </c>
      <c r="H191" s="1" t="s">
        <v>311</v>
      </c>
    </row>
    <row r="192" spans="1:9">
      <c r="D192" s="1" t="s">
        <v>21</v>
      </c>
      <c r="E192" s="1" t="s">
        <v>312</v>
      </c>
      <c r="F192" s="1" t="s">
        <v>313</v>
      </c>
      <c r="G192" s="1" t="s">
        <v>207</v>
      </c>
      <c r="H192" s="1" t="s">
        <v>191</v>
      </c>
    </row>
    <row r="193" spans="1:9">
      <c r="D193" s="1" t="s">
        <v>27</v>
      </c>
      <c r="E193" s="1" t="s">
        <v>314</v>
      </c>
      <c r="F193" s="1" t="s">
        <v>315</v>
      </c>
      <c r="G193" s="1" t="s">
        <v>207</v>
      </c>
      <c r="H193" s="1" t="s">
        <v>191</v>
      </c>
    </row>
    <row r="194" spans="1:9">
      <c r="D194" s="1" t="s">
        <v>33</v>
      </c>
      <c r="E194" s="1" t="s">
        <v>194</v>
      </c>
      <c r="F194" s="1" t="s">
        <v>316</v>
      </c>
      <c r="G194" s="1" t="s">
        <v>207</v>
      </c>
      <c r="H194" s="1" t="s">
        <v>196</v>
      </c>
    </row>
    <row r="195" spans="1:9">
      <c r="D195" s="1" t="s">
        <v>39</v>
      </c>
      <c r="E195" s="1" t="s">
        <v>215</v>
      </c>
      <c r="F195" s="1" t="s">
        <v>317</v>
      </c>
      <c r="G195" s="1" t="s">
        <v>207</v>
      </c>
      <c r="H195" s="1" t="s">
        <v>196</v>
      </c>
    </row>
    <row r="196" spans="1:9">
      <c r="D196" s="1" t="s">
        <v>45</v>
      </c>
      <c r="E196" s="1" t="s">
        <v>318</v>
      </c>
      <c r="F196" s="1" t="s">
        <v>319</v>
      </c>
      <c r="G196" s="1" t="s">
        <v>207</v>
      </c>
      <c r="H196" s="1" t="s">
        <v>191</v>
      </c>
    </row>
    <row r="197" spans="1:9">
      <c r="D197" s="1" t="s">
        <v>51</v>
      </c>
      <c r="E197" s="1" t="s">
        <v>320</v>
      </c>
      <c r="F197" s="1" t="s">
        <v>321</v>
      </c>
      <c r="G197" s="1" t="s">
        <v>207</v>
      </c>
      <c r="H197" s="1" t="s">
        <v>191</v>
      </c>
    </row>
    <row r="198" spans="1:9">
      <c r="D198" s="1" t="s">
        <v>57</v>
      </c>
      <c r="E198" s="1" t="s">
        <v>241</v>
      </c>
      <c r="F198" s="1" t="s">
        <v>322</v>
      </c>
      <c r="G198" s="1" t="s">
        <v>207</v>
      </c>
      <c r="H198" s="1" t="s">
        <v>191</v>
      </c>
    </row>
    <row r="199" spans="1:9">
      <c r="D199" s="1" t="s">
        <v>63</v>
      </c>
      <c r="E199" s="1" t="s">
        <v>323</v>
      </c>
      <c r="F199" s="1" t="s">
        <v>324</v>
      </c>
      <c r="G199" s="1" t="s">
        <v>207</v>
      </c>
      <c r="H199" s="1" t="s">
        <v>191</v>
      </c>
    </row>
    <row r="200" spans="1:9">
      <c r="D200" s="1" t="s">
        <v>69</v>
      </c>
      <c r="E200" s="1" t="s">
        <v>325</v>
      </c>
      <c r="F200" s="1" t="s">
        <v>326</v>
      </c>
      <c r="G200" s="1" t="s">
        <v>207</v>
      </c>
      <c r="H200" s="1" t="s">
        <v>191</v>
      </c>
    </row>
    <row r="201" spans="1:9">
      <c r="B201" s="1" t="s">
        <v>86</v>
      </c>
      <c r="C201" s="1" t="s">
        <v>87</v>
      </c>
      <c r="D201" s="1" t="s">
        <v>12</v>
      </c>
      <c r="E201" s="1" t="s">
        <v>309</v>
      </c>
      <c r="F201" s="1" t="s">
        <v>310</v>
      </c>
      <c r="G201" s="1" t="s">
        <v>207</v>
      </c>
      <c r="H201" s="1" t="s">
        <v>311</v>
      </c>
    </row>
    <row r="202" spans="1:9">
      <c r="D202" s="1" t="s">
        <v>21</v>
      </c>
      <c r="E202" s="1" t="s">
        <v>314</v>
      </c>
      <c r="F202" s="1" t="s">
        <v>315</v>
      </c>
      <c r="G202" s="1" t="s">
        <v>207</v>
      </c>
      <c r="H202" s="1" t="s">
        <v>191</v>
      </c>
    </row>
    <row r="203" spans="1:9">
      <c r="D203" s="1" t="s">
        <v>27</v>
      </c>
      <c r="E203" s="1" t="s">
        <v>194</v>
      </c>
      <c r="F203" s="1" t="s">
        <v>316</v>
      </c>
      <c r="G203" s="1" t="s">
        <v>207</v>
      </c>
      <c r="H203" s="1" t="s">
        <v>196</v>
      </c>
    </row>
    <row r="204" spans="1:9">
      <c r="D204" s="1" t="s">
        <v>33</v>
      </c>
      <c r="E204" s="1" t="s">
        <v>215</v>
      </c>
      <c r="F204" s="1" t="s">
        <v>317</v>
      </c>
      <c r="G204" s="1" t="s">
        <v>207</v>
      </c>
      <c r="H204" s="1" t="s">
        <v>196</v>
      </c>
    </row>
    <row r="205" spans="1:9">
      <c r="D205" s="1" t="s">
        <v>39</v>
      </c>
      <c r="E205" s="1" t="s">
        <v>241</v>
      </c>
      <c r="F205" s="1" t="s">
        <v>322</v>
      </c>
      <c r="G205" s="1" t="s">
        <v>207</v>
      </c>
      <c r="H205" s="1" t="s">
        <v>191</v>
      </c>
    </row>
    <row r="206" spans="1:9">
      <c r="D206" s="1" t="s">
        <v>45</v>
      </c>
      <c r="E206" s="1" t="s">
        <v>318</v>
      </c>
      <c r="F206" s="1" t="s">
        <v>319</v>
      </c>
      <c r="G206" s="1" t="s">
        <v>207</v>
      </c>
      <c r="H206" s="1" t="s">
        <v>191</v>
      </c>
    </row>
    <row r="207" spans="1:9">
      <c r="A207" s="1" t="s">
        <v>2</v>
      </c>
      <c r="D207" s="1" t="s">
        <v>182</v>
      </c>
      <c r="I207" s="1" t="s">
        <v>183</v>
      </c>
    </row>
    <row r="208" spans="1:9">
      <c r="A208" s="1" t="s">
        <v>0</v>
      </c>
      <c r="B208" s="1" t="s">
        <v>2</v>
      </c>
      <c r="C208" s="1" t="s">
        <v>3</v>
      </c>
      <c r="D208" s="1" t="s">
        <v>1</v>
      </c>
      <c r="E208" s="1" t="s">
        <v>184</v>
      </c>
      <c r="F208" s="1" t="s">
        <v>185</v>
      </c>
      <c r="G208" s="1" t="s">
        <v>186</v>
      </c>
      <c r="H208" s="1" t="s">
        <v>187</v>
      </c>
    </row>
    <row r="209" spans="1:9">
      <c r="A209" s="1" t="s">
        <v>81</v>
      </c>
      <c r="B209" s="1" t="s">
        <v>90</v>
      </c>
      <c r="C209" s="1" t="s">
        <v>91</v>
      </c>
      <c r="D209" s="1" t="s">
        <v>12</v>
      </c>
      <c r="E209" s="1" t="s">
        <v>309</v>
      </c>
      <c r="F209" s="1" t="s">
        <v>310</v>
      </c>
      <c r="G209" s="1" t="s">
        <v>207</v>
      </c>
      <c r="H209" s="1" t="s">
        <v>311</v>
      </c>
    </row>
    <row r="210" spans="1:9">
      <c r="D210" s="1" t="s">
        <v>21</v>
      </c>
      <c r="E210" s="1" t="s">
        <v>312</v>
      </c>
      <c r="F210" s="1" t="s">
        <v>313</v>
      </c>
      <c r="G210" s="1" t="s">
        <v>207</v>
      </c>
      <c r="H210" s="1" t="s">
        <v>191</v>
      </c>
    </row>
    <row r="211" spans="1:9">
      <c r="D211" s="1" t="s">
        <v>27</v>
      </c>
      <c r="E211" s="1" t="s">
        <v>327</v>
      </c>
      <c r="F211" s="1" t="s">
        <v>328</v>
      </c>
      <c r="G211" s="1" t="s">
        <v>207</v>
      </c>
      <c r="H211" s="1" t="s">
        <v>191</v>
      </c>
    </row>
    <row r="212" spans="1:9">
      <c r="D212" s="1" t="s">
        <v>33</v>
      </c>
      <c r="E212" s="1" t="s">
        <v>329</v>
      </c>
      <c r="F212" s="1" t="s">
        <v>330</v>
      </c>
      <c r="G212" s="1" t="s">
        <v>207</v>
      </c>
      <c r="H212" s="1" t="s">
        <v>191</v>
      </c>
    </row>
    <row r="213" spans="1:9">
      <c r="B213" s="1" t="s">
        <v>94</v>
      </c>
      <c r="C213" s="1" t="s">
        <v>95</v>
      </c>
      <c r="D213" s="1" t="s">
        <v>12</v>
      </c>
      <c r="E213" s="1" t="s">
        <v>309</v>
      </c>
      <c r="F213" s="1" t="s">
        <v>310</v>
      </c>
      <c r="G213" s="1" t="s">
        <v>207</v>
      </c>
      <c r="H213" s="1" t="s">
        <v>311</v>
      </c>
    </row>
    <row r="214" spans="1:9">
      <c r="D214" s="1" t="s">
        <v>21</v>
      </c>
      <c r="E214" s="1" t="s">
        <v>327</v>
      </c>
      <c r="F214" s="1" t="s">
        <v>328</v>
      </c>
      <c r="G214" s="1" t="s">
        <v>207</v>
      </c>
      <c r="H214" s="1" t="s">
        <v>191</v>
      </c>
    </row>
    <row r="215" spans="1:9">
      <c r="D215" s="1" t="s">
        <v>27</v>
      </c>
      <c r="E215" s="1" t="s">
        <v>329</v>
      </c>
      <c r="F215" s="1" t="s">
        <v>330</v>
      </c>
      <c r="G215" s="1" t="s">
        <v>207</v>
      </c>
      <c r="H215" s="1" t="s">
        <v>191</v>
      </c>
    </row>
    <row r="216" spans="1:9">
      <c r="B216" s="1" t="s">
        <v>98</v>
      </c>
      <c r="C216" s="1" t="s">
        <v>99</v>
      </c>
      <c r="D216" s="1" t="s">
        <v>12</v>
      </c>
      <c r="E216" s="1" t="s">
        <v>309</v>
      </c>
      <c r="F216" s="1" t="s">
        <v>310</v>
      </c>
      <c r="G216" s="1" t="s">
        <v>207</v>
      </c>
      <c r="H216" s="1" t="s">
        <v>311</v>
      </c>
    </row>
    <row r="217" spans="1:9">
      <c r="D217" s="1" t="s">
        <v>21</v>
      </c>
      <c r="E217" s="1" t="s">
        <v>194</v>
      </c>
      <c r="F217" s="1" t="s">
        <v>316</v>
      </c>
      <c r="G217" s="1" t="s">
        <v>207</v>
      </c>
      <c r="H217" s="1" t="s">
        <v>196</v>
      </c>
    </row>
    <row r="218" spans="1:9">
      <c r="D218" s="1" t="s">
        <v>27</v>
      </c>
      <c r="E218" s="1" t="s">
        <v>215</v>
      </c>
      <c r="F218" s="1" t="s">
        <v>317</v>
      </c>
      <c r="G218" s="1" t="s">
        <v>207</v>
      </c>
      <c r="H218" s="1" t="s">
        <v>196</v>
      </c>
    </row>
    <row r="219" spans="1:9">
      <c r="A219" s="1" t="s">
        <v>2</v>
      </c>
      <c r="D219" s="1" t="s">
        <v>182</v>
      </c>
      <c r="I219" s="1" t="s">
        <v>183</v>
      </c>
    </row>
    <row r="220" spans="1:9">
      <c r="A220" s="1" t="s">
        <v>0</v>
      </c>
      <c r="B220" s="1" t="s">
        <v>2</v>
      </c>
      <c r="C220" s="1" t="s">
        <v>3</v>
      </c>
      <c r="D220" s="1" t="s">
        <v>1</v>
      </c>
      <c r="E220" s="1" t="s">
        <v>184</v>
      </c>
      <c r="F220" s="1" t="s">
        <v>185</v>
      </c>
      <c r="G220" s="1" t="s">
        <v>186</v>
      </c>
      <c r="H220" s="1" t="s">
        <v>187</v>
      </c>
    </row>
    <row r="221" spans="1:9">
      <c r="A221" s="1" t="s">
        <v>81</v>
      </c>
      <c r="B221" s="1" t="s">
        <v>102</v>
      </c>
      <c r="C221" s="1" t="s">
        <v>103</v>
      </c>
      <c r="D221" s="1" t="s">
        <v>12</v>
      </c>
      <c r="E221" s="1" t="s">
        <v>309</v>
      </c>
      <c r="F221" s="1" t="s">
        <v>310</v>
      </c>
      <c r="G221" s="1" t="s">
        <v>207</v>
      </c>
      <c r="H221" s="1" t="s">
        <v>311</v>
      </c>
    </row>
    <row r="222" spans="1:9">
      <c r="D222" s="1" t="s">
        <v>21</v>
      </c>
      <c r="E222" s="1" t="s">
        <v>194</v>
      </c>
      <c r="F222" s="1" t="s">
        <v>316</v>
      </c>
      <c r="G222" s="1" t="s">
        <v>207</v>
      </c>
      <c r="H222" s="1" t="s">
        <v>196</v>
      </c>
    </row>
    <row r="223" spans="1:9">
      <c r="D223" s="1" t="s">
        <v>27</v>
      </c>
      <c r="E223" s="1" t="s">
        <v>215</v>
      </c>
      <c r="F223" s="1" t="s">
        <v>331</v>
      </c>
      <c r="G223" s="1" t="s">
        <v>207</v>
      </c>
      <c r="H223" s="1" t="s">
        <v>196</v>
      </c>
    </row>
    <row r="224" spans="1:9">
      <c r="D224" s="1" t="s">
        <v>33</v>
      </c>
      <c r="E224" s="1" t="s">
        <v>241</v>
      </c>
      <c r="F224" s="1" t="s">
        <v>322</v>
      </c>
      <c r="G224" s="1" t="s">
        <v>207</v>
      </c>
      <c r="H224" s="1" t="s">
        <v>191</v>
      </c>
    </row>
    <row r="225" spans="1:9">
      <c r="D225" s="1" t="s">
        <v>39</v>
      </c>
      <c r="E225" s="1" t="s">
        <v>318</v>
      </c>
      <c r="F225" s="1" t="s">
        <v>332</v>
      </c>
      <c r="G225" s="1" t="s">
        <v>207</v>
      </c>
      <c r="H225" s="1" t="s">
        <v>191</v>
      </c>
    </row>
    <row r="226" spans="1:9">
      <c r="D226" s="1" t="s">
        <v>45</v>
      </c>
      <c r="E226" s="1" t="s">
        <v>333</v>
      </c>
      <c r="F226" s="1" t="s">
        <v>334</v>
      </c>
      <c r="G226" s="1" t="s">
        <v>207</v>
      </c>
      <c r="H226" s="1" t="s">
        <v>191</v>
      </c>
    </row>
    <row r="227" spans="1:9">
      <c r="B227" s="1" t="s">
        <v>106</v>
      </c>
      <c r="C227" s="1" t="s">
        <v>107</v>
      </c>
      <c r="D227" s="1" t="s">
        <v>12</v>
      </c>
      <c r="E227" s="1" t="s">
        <v>309</v>
      </c>
      <c r="F227" s="1" t="s">
        <v>310</v>
      </c>
      <c r="G227" s="1" t="s">
        <v>207</v>
      </c>
      <c r="H227" s="1" t="s">
        <v>311</v>
      </c>
    </row>
    <row r="228" spans="1:9">
      <c r="D228" s="1" t="s">
        <v>21</v>
      </c>
      <c r="E228" s="1" t="s">
        <v>327</v>
      </c>
      <c r="F228" s="1" t="s">
        <v>328</v>
      </c>
      <c r="G228" s="1" t="s">
        <v>207</v>
      </c>
      <c r="H228" s="1" t="s">
        <v>191</v>
      </c>
    </row>
    <row r="229" spans="1:9">
      <c r="D229" s="1" t="s">
        <v>27</v>
      </c>
      <c r="E229" s="1" t="s">
        <v>318</v>
      </c>
      <c r="F229" s="1" t="s">
        <v>332</v>
      </c>
      <c r="G229" s="1" t="s">
        <v>207</v>
      </c>
      <c r="H229" s="1" t="s">
        <v>191</v>
      </c>
    </row>
    <row r="230" spans="1:9">
      <c r="B230" s="1" t="s">
        <v>110</v>
      </c>
      <c r="C230" s="1" t="s">
        <v>111</v>
      </c>
      <c r="D230" s="1" t="s">
        <v>12</v>
      </c>
      <c r="E230" s="1" t="s">
        <v>309</v>
      </c>
      <c r="F230" s="1" t="s">
        <v>310</v>
      </c>
      <c r="G230" s="1" t="s">
        <v>207</v>
      </c>
      <c r="H230" s="1" t="s">
        <v>311</v>
      </c>
    </row>
    <row r="231" spans="1:9">
      <c r="B231" s="1" t="s">
        <v>114</v>
      </c>
      <c r="C231" s="1" t="s">
        <v>115</v>
      </c>
      <c r="D231" s="1" t="s">
        <v>12</v>
      </c>
      <c r="E231" s="1" t="s">
        <v>309</v>
      </c>
      <c r="F231" s="1" t="s">
        <v>310</v>
      </c>
      <c r="G231" s="1" t="s">
        <v>207</v>
      </c>
      <c r="H231" s="1" t="s">
        <v>311</v>
      </c>
    </row>
    <row r="232" spans="1:9">
      <c r="D232" s="1" t="s">
        <v>21</v>
      </c>
      <c r="E232" s="1" t="s">
        <v>194</v>
      </c>
      <c r="F232" s="1" t="s">
        <v>335</v>
      </c>
      <c r="G232" s="1" t="s">
        <v>190</v>
      </c>
      <c r="H232" s="1" t="s">
        <v>196</v>
      </c>
    </row>
    <row r="233" spans="1:9">
      <c r="B233" s="1" t="s">
        <v>118</v>
      </c>
      <c r="C233" s="1" t="s">
        <v>119</v>
      </c>
      <c r="D233" s="1" t="s">
        <v>12</v>
      </c>
      <c r="E233" s="1" t="s">
        <v>309</v>
      </c>
      <c r="F233" s="1" t="s">
        <v>310</v>
      </c>
      <c r="G233" s="1" t="s">
        <v>207</v>
      </c>
      <c r="H233" s="1" t="s">
        <v>311</v>
      </c>
    </row>
    <row r="234" spans="1:9">
      <c r="D234" s="1" t="s">
        <v>21</v>
      </c>
      <c r="E234" s="1" t="s">
        <v>194</v>
      </c>
      <c r="F234" s="1" t="s">
        <v>335</v>
      </c>
      <c r="G234" s="1" t="s">
        <v>190</v>
      </c>
      <c r="H234" s="1" t="s">
        <v>196</v>
      </c>
    </row>
    <row r="235" spans="1:9">
      <c r="B235" s="1" t="s">
        <v>122</v>
      </c>
      <c r="C235" s="1" t="s">
        <v>123</v>
      </c>
      <c r="D235" s="1" t="s">
        <v>12</v>
      </c>
      <c r="E235" s="1" t="s">
        <v>309</v>
      </c>
      <c r="F235" s="1" t="s">
        <v>310</v>
      </c>
      <c r="G235" s="1" t="s">
        <v>207</v>
      </c>
      <c r="H235" s="1" t="s">
        <v>311</v>
      </c>
    </row>
    <row r="236" spans="1:9">
      <c r="B236" s="1" t="s">
        <v>127</v>
      </c>
      <c r="C236" s="1" t="s">
        <v>128</v>
      </c>
      <c r="D236" s="1" t="s">
        <v>12</v>
      </c>
      <c r="E236" s="1" t="s">
        <v>309</v>
      </c>
      <c r="F236" s="1" t="s">
        <v>310</v>
      </c>
      <c r="G236" s="1" t="s">
        <v>207</v>
      </c>
      <c r="H236" s="1" t="s">
        <v>311</v>
      </c>
    </row>
    <row r="237" spans="1:9">
      <c r="A237" s="1" t="s">
        <v>2</v>
      </c>
      <c r="D237" s="1" t="s">
        <v>182</v>
      </c>
      <c r="I237" s="1" t="s">
        <v>183</v>
      </c>
    </row>
    <row r="238" spans="1:9">
      <c r="A238" s="1" t="s">
        <v>0</v>
      </c>
      <c r="B238" s="1" t="s">
        <v>2</v>
      </c>
      <c r="C238" s="1" t="s">
        <v>3</v>
      </c>
      <c r="D238" s="1" t="s">
        <v>1</v>
      </c>
      <c r="E238" s="1" t="s">
        <v>184</v>
      </c>
      <c r="F238" s="1" t="s">
        <v>185</v>
      </c>
      <c r="G238" s="1" t="s">
        <v>186</v>
      </c>
      <c r="H238" s="1" t="s">
        <v>187</v>
      </c>
    </row>
    <row r="239" spans="1:9">
      <c r="A239" s="1" t="s">
        <v>81</v>
      </c>
      <c r="B239" s="1" t="s">
        <v>132</v>
      </c>
      <c r="C239" s="1" t="s">
        <v>133</v>
      </c>
      <c r="D239" s="1" t="s">
        <v>12</v>
      </c>
      <c r="E239" s="1" t="s">
        <v>188</v>
      </c>
      <c r="F239" s="1" t="s">
        <v>336</v>
      </c>
      <c r="G239" s="1" t="s">
        <v>190</v>
      </c>
      <c r="H239" s="1" t="s">
        <v>191</v>
      </c>
    </row>
    <row r="240" spans="1:9">
      <c r="A240" s="1" t="s">
        <v>137</v>
      </c>
      <c r="B240" s="1" t="s">
        <v>138</v>
      </c>
      <c r="C240" s="1" t="s">
        <v>139</v>
      </c>
      <c r="D240" s="1" t="s">
        <v>12</v>
      </c>
      <c r="E240" s="1" t="s">
        <v>194</v>
      </c>
      <c r="F240" s="1" t="s">
        <v>337</v>
      </c>
      <c r="G240" s="1" t="s">
        <v>190</v>
      </c>
      <c r="H240" s="1" t="s">
        <v>196</v>
      </c>
    </row>
    <row r="241" spans="1:9">
      <c r="D241" s="1" t="s">
        <v>21</v>
      </c>
      <c r="E241" s="1" t="s">
        <v>338</v>
      </c>
      <c r="F241" s="1" t="s">
        <v>339</v>
      </c>
      <c r="G241" s="1" t="s">
        <v>190</v>
      </c>
      <c r="H241" s="1" t="s">
        <v>196</v>
      </c>
    </row>
    <row r="242" spans="1:9">
      <c r="B242" s="1" t="s">
        <v>141</v>
      </c>
      <c r="C242" s="1" t="s">
        <v>142</v>
      </c>
      <c r="D242" s="1" t="s">
        <v>12</v>
      </c>
      <c r="E242" s="1" t="s">
        <v>194</v>
      </c>
      <c r="F242" s="1" t="s">
        <v>340</v>
      </c>
      <c r="G242" s="1" t="s">
        <v>190</v>
      </c>
      <c r="H242" s="1" t="s">
        <v>196</v>
      </c>
    </row>
    <row r="243" spans="1:9">
      <c r="D243" s="1" t="s">
        <v>21</v>
      </c>
      <c r="E243" s="1" t="s">
        <v>338</v>
      </c>
      <c r="F243" s="1" t="s">
        <v>339</v>
      </c>
      <c r="G243" s="1" t="s">
        <v>190</v>
      </c>
      <c r="H243" s="1" t="s">
        <v>196</v>
      </c>
    </row>
    <row r="244" spans="1:9">
      <c r="B244" s="1" t="s">
        <v>144</v>
      </c>
      <c r="C244" s="1" t="s">
        <v>145</v>
      </c>
      <c r="D244" s="1" t="s">
        <v>12</v>
      </c>
      <c r="E244" s="1" t="s">
        <v>341</v>
      </c>
      <c r="F244" s="1" t="s">
        <v>342</v>
      </c>
      <c r="G244" s="1" t="s">
        <v>190</v>
      </c>
      <c r="H244" s="1" t="s">
        <v>196</v>
      </c>
    </row>
    <row r="245" spans="1:9">
      <c r="D245" s="1" t="s">
        <v>21</v>
      </c>
      <c r="E245" s="1" t="s">
        <v>338</v>
      </c>
      <c r="F245" s="1" t="s">
        <v>339</v>
      </c>
      <c r="G245" s="1" t="s">
        <v>190</v>
      </c>
      <c r="H245" s="1" t="s">
        <v>196</v>
      </c>
    </row>
    <row r="246" spans="1:9">
      <c r="B246" s="1" t="s">
        <v>147</v>
      </c>
      <c r="C246" s="1" t="s">
        <v>148</v>
      </c>
      <c r="D246" s="1" t="s">
        <v>12</v>
      </c>
      <c r="E246" s="1" t="s">
        <v>343</v>
      </c>
      <c r="F246" s="1" t="s">
        <v>342</v>
      </c>
      <c r="G246" s="1" t="s">
        <v>190</v>
      </c>
      <c r="H246" s="1" t="s">
        <v>196</v>
      </c>
    </row>
    <row r="247" spans="1:9">
      <c r="D247" s="1" t="s">
        <v>21</v>
      </c>
      <c r="E247" s="1" t="s">
        <v>338</v>
      </c>
      <c r="F247" s="1" t="s">
        <v>339</v>
      </c>
      <c r="G247" s="1" t="s">
        <v>190</v>
      </c>
      <c r="H247" s="1" t="s">
        <v>196</v>
      </c>
    </row>
    <row r="248" spans="1:9">
      <c r="B248" s="1" t="s">
        <v>150</v>
      </c>
      <c r="C248" s="1" t="s">
        <v>151</v>
      </c>
      <c r="D248" s="1" t="s">
        <v>12</v>
      </c>
      <c r="E248" s="1" t="s">
        <v>344</v>
      </c>
      <c r="F248" s="1" t="s">
        <v>345</v>
      </c>
      <c r="G248" s="1" t="s">
        <v>190</v>
      </c>
      <c r="H248" s="1" t="s">
        <v>191</v>
      </c>
    </row>
    <row r="249" spans="1:9">
      <c r="D249" s="1" t="s">
        <v>21</v>
      </c>
      <c r="E249" s="1" t="s">
        <v>346</v>
      </c>
      <c r="F249" s="1" t="s">
        <v>347</v>
      </c>
      <c r="G249" s="1" t="s">
        <v>207</v>
      </c>
      <c r="H249" s="1" t="s">
        <v>191</v>
      </c>
    </row>
    <row r="250" spans="1:9">
      <c r="B250" s="1" t="s">
        <v>153</v>
      </c>
      <c r="C250" s="1" t="s">
        <v>154</v>
      </c>
      <c r="D250" s="1" t="s">
        <v>12</v>
      </c>
      <c r="E250" s="1" t="s">
        <v>309</v>
      </c>
      <c r="F250" s="1" t="s">
        <v>348</v>
      </c>
      <c r="G250" s="1" t="s">
        <v>207</v>
      </c>
      <c r="H250" s="1" t="s">
        <v>311</v>
      </c>
    </row>
    <row r="251" spans="1:9">
      <c r="D251" s="1" t="s">
        <v>21</v>
      </c>
      <c r="E251" s="1" t="s">
        <v>194</v>
      </c>
      <c r="F251" s="1" t="s">
        <v>349</v>
      </c>
      <c r="G251" s="1" t="s">
        <v>190</v>
      </c>
      <c r="H251" s="1" t="s">
        <v>196</v>
      </c>
    </row>
    <row r="252" spans="1:9">
      <c r="D252" s="1" t="s">
        <v>27</v>
      </c>
      <c r="E252" s="1" t="s">
        <v>350</v>
      </c>
      <c r="F252" s="1" t="s">
        <v>351</v>
      </c>
      <c r="G252" s="1" t="s">
        <v>190</v>
      </c>
      <c r="H252" s="1" t="s">
        <v>191</v>
      </c>
    </row>
    <row r="253" spans="1:9">
      <c r="B253" s="1" t="s">
        <v>156</v>
      </c>
      <c r="C253" s="1" t="s">
        <v>157</v>
      </c>
      <c r="D253" s="1" t="s">
        <v>12</v>
      </c>
      <c r="E253" s="1" t="s">
        <v>309</v>
      </c>
      <c r="F253" s="1" t="s">
        <v>348</v>
      </c>
      <c r="G253" s="1" t="s">
        <v>207</v>
      </c>
      <c r="H253" s="1" t="s">
        <v>311</v>
      </c>
    </row>
    <row r="254" spans="1:9">
      <c r="D254" s="1" t="s">
        <v>21</v>
      </c>
      <c r="E254" s="1" t="s">
        <v>194</v>
      </c>
      <c r="F254" s="1" t="s">
        <v>337</v>
      </c>
      <c r="G254" s="1" t="s">
        <v>190</v>
      </c>
      <c r="H254" s="1" t="s">
        <v>196</v>
      </c>
    </row>
    <row r="255" spans="1:9">
      <c r="B255" s="1" t="s">
        <v>159</v>
      </c>
      <c r="C255" s="1" t="s">
        <v>160</v>
      </c>
      <c r="D255" s="1" t="s">
        <v>12</v>
      </c>
      <c r="E255" s="1" t="s">
        <v>309</v>
      </c>
      <c r="F255" s="1" t="s">
        <v>348</v>
      </c>
      <c r="G255" s="1" t="s">
        <v>207</v>
      </c>
      <c r="H255" s="1" t="s">
        <v>311</v>
      </c>
    </row>
    <row r="256" spans="1:9">
      <c r="A256" s="1" t="s">
        <v>2</v>
      </c>
      <c r="D256" s="1" t="s">
        <v>182</v>
      </c>
      <c r="I256" s="1" t="s">
        <v>183</v>
      </c>
    </row>
    <row r="257" spans="1:9">
      <c r="A257" s="1" t="s">
        <v>0</v>
      </c>
      <c r="B257" s="1" t="s">
        <v>2</v>
      </c>
      <c r="C257" s="1" t="s">
        <v>3</v>
      </c>
      <c r="D257" s="1" t="s">
        <v>1</v>
      </c>
      <c r="E257" s="1" t="s">
        <v>184</v>
      </c>
      <c r="F257" s="1" t="s">
        <v>185</v>
      </c>
      <c r="G257" s="1" t="s">
        <v>186</v>
      </c>
      <c r="H257" s="1" t="s">
        <v>187</v>
      </c>
    </row>
    <row r="258" spans="1:9">
      <c r="A258" s="1" t="s">
        <v>137</v>
      </c>
      <c r="B258" s="1" t="s">
        <v>162</v>
      </c>
      <c r="C258" s="1" t="s">
        <v>163</v>
      </c>
      <c r="D258" s="1" t="s">
        <v>12</v>
      </c>
      <c r="E258" s="1" t="s">
        <v>309</v>
      </c>
      <c r="F258" s="1" t="s">
        <v>348</v>
      </c>
      <c r="G258" s="1" t="s">
        <v>207</v>
      </c>
      <c r="H258" s="1" t="s">
        <v>311</v>
      </c>
    </row>
    <row r="259" spans="1:9">
      <c r="D259" s="1" t="s">
        <v>21</v>
      </c>
      <c r="E259" s="1" t="s">
        <v>194</v>
      </c>
      <c r="F259" s="1" t="s">
        <v>337</v>
      </c>
      <c r="G259" s="1" t="s">
        <v>190</v>
      </c>
      <c r="H259" s="1" t="s">
        <v>196</v>
      </c>
    </row>
    <row r="260" spans="1:9">
      <c r="B260" s="1" t="s">
        <v>165</v>
      </c>
      <c r="C260" s="1" t="s">
        <v>166</v>
      </c>
      <c r="D260" s="1" t="s">
        <v>12</v>
      </c>
      <c r="E260" s="1" t="s">
        <v>309</v>
      </c>
      <c r="F260" s="1" t="s">
        <v>348</v>
      </c>
      <c r="G260" s="1" t="s">
        <v>207</v>
      </c>
      <c r="H260" s="1" t="s">
        <v>311</v>
      </c>
    </row>
    <row r="261" spans="1:9">
      <c r="D261" s="1" t="s">
        <v>21</v>
      </c>
      <c r="E261" s="1" t="s">
        <v>194</v>
      </c>
      <c r="F261" s="1" t="s">
        <v>340</v>
      </c>
      <c r="G261" s="1" t="s">
        <v>190</v>
      </c>
      <c r="H261" s="1" t="s">
        <v>196</v>
      </c>
    </row>
    <row r="262" spans="1:9">
      <c r="A262" s="1" t="s">
        <v>168</v>
      </c>
      <c r="B262" s="1" t="s">
        <v>169</v>
      </c>
      <c r="C262" s="1" t="s">
        <v>170</v>
      </c>
      <c r="D262" s="1" t="s">
        <v>12</v>
      </c>
      <c r="E262" s="1" t="s">
        <v>309</v>
      </c>
      <c r="F262" s="1" t="s">
        <v>348</v>
      </c>
      <c r="G262" s="1" t="s">
        <v>207</v>
      </c>
      <c r="H262" s="1" t="s">
        <v>311</v>
      </c>
    </row>
    <row r="263" spans="1:9">
      <c r="D263" s="1" t="s">
        <v>21</v>
      </c>
      <c r="E263" s="1" t="s">
        <v>194</v>
      </c>
      <c r="F263" s="1" t="s">
        <v>352</v>
      </c>
      <c r="G263" s="1" t="s">
        <v>190</v>
      </c>
      <c r="H263" s="1" t="s">
        <v>196</v>
      </c>
    </row>
    <row r="264" spans="1:9">
      <c r="D264" s="1" t="s">
        <v>27</v>
      </c>
      <c r="E264" s="1" t="s">
        <v>353</v>
      </c>
      <c r="F264" s="1" t="s">
        <v>354</v>
      </c>
      <c r="G264" s="1" t="s">
        <v>190</v>
      </c>
      <c r="H264" s="1" t="s">
        <v>196</v>
      </c>
    </row>
    <row r="265" spans="1:9">
      <c r="D265" s="1" t="s">
        <v>33</v>
      </c>
      <c r="E265" s="1" t="s">
        <v>350</v>
      </c>
      <c r="F265" s="1" t="s">
        <v>355</v>
      </c>
      <c r="G265" s="1" t="s">
        <v>190</v>
      </c>
      <c r="H265" s="1" t="s">
        <v>191</v>
      </c>
    </row>
    <row r="266" spans="1:9">
      <c r="B266" s="1" t="s">
        <v>172</v>
      </c>
      <c r="C266" s="1" t="s">
        <v>173</v>
      </c>
      <c r="D266" s="1" t="s">
        <v>12</v>
      </c>
      <c r="E266" s="1" t="s">
        <v>309</v>
      </c>
      <c r="F266" s="1" t="s">
        <v>348</v>
      </c>
      <c r="G266" s="1" t="s">
        <v>207</v>
      </c>
      <c r="H266" s="1" t="s">
        <v>311</v>
      </c>
    </row>
    <row r="267" spans="1:9">
      <c r="D267" s="1" t="s">
        <v>21</v>
      </c>
      <c r="E267" s="1" t="s">
        <v>194</v>
      </c>
      <c r="F267" s="1" t="s">
        <v>356</v>
      </c>
      <c r="G267" s="1" t="s">
        <v>190</v>
      </c>
      <c r="H267" s="1" t="s">
        <v>196</v>
      </c>
    </row>
    <row r="268" spans="1:9">
      <c r="D268" s="1" t="s">
        <v>27</v>
      </c>
      <c r="E268" s="1" t="s">
        <v>353</v>
      </c>
      <c r="F268" s="1" t="s">
        <v>357</v>
      </c>
      <c r="G268" s="1" t="s">
        <v>190</v>
      </c>
      <c r="H268" s="1" t="s">
        <v>196</v>
      </c>
    </row>
    <row r="269" spans="1:9">
      <c r="D269" s="1" t="s">
        <v>33</v>
      </c>
      <c r="E269" s="1" t="s">
        <v>358</v>
      </c>
      <c r="F269" s="1" t="s">
        <v>359</v>
      </c>
      <c r="G269" s="1" t="s">
        <v>190</v>
      </c>
      <c r="H269" s="1" t="s">
        <v>214</v>
      </c>
    </row>
    <row r="270" spans="1:9">
      <c r="D270" s="1" t="s">
        <v>39</v>
      </c>
      <c r="E270" s="1" t="s">
        <v>350</v>
      </c>
      <c r="F270" s="1" t="s">
        <v>355</v>
      </c>
      <c r="G270" s="1" t="s">
        <v>190</v>
      </c>
      <c r="H270" s="1" t="s">
        <v>191</v>
      </c>
    </row>
    <row r="271" spans="1:9">
      <c r="A271" s="1" t="s">
        <v>2</v>
      </c>
      <c r="D271" s="1" t="s">
        <v>182</v>
      </c>
      <c r="I271" s="1" t="s">
        <v>183</v>
      </c>
    </row>
    <row r="272" spans="1:9">
      <c r="A272" s="1" t="s">
        <v>0</v>
      </c>
      <c r="B272" s="1" t="s">
        <v>2</v>
      </c>
      <c r="C272" s="1" t="s">
        <v>3</v>
      </c>
      <c r="D272" s="1" t="s">
        <v>1</v>
      </c>
      <c r="E272" s="1" t="s">
        <v>184</v>
      </c>
      <c r="F272" s="1" t="s">
        <v>185</v>
      </c>
      <c r="G272" s="1" t="s">
        <v>186</v>
      </c>
      <c r="H272" s="1" t="s">
        <v>187</v>
      </c>
    </row>
    <row r="273" spans="1:8">
      <c r="A273" s="1" t="s">
        <v>168</v>
      </c>
      <c r="B273" s="1" t="s">
        <v>175</v>
      </c>
      <c r="C273" s="1" t="s">
        <v>176</v>
      </c>
      <c r="D273" s="1" t="s">
        <v>12</v>
      </c>
      <c r="E273" s="1" t="s">
        <v>309</v>
      </c>
      <c r="F273" s="1" t="s">
        <v>348</v>
      </c>
      <c r="G273" s="1" t="s">
        <v>207</v>
      </c>
      <c r="H273" s="1" t="s">
        <v>311</v>
      </c>
    </row>
    <row r="274" spans="1:8">
      <c r="D274" s="1" t="s">
        <v>21</v>
      </c>
      <c r="E274" s="1" t="s">
        <v>194</v>
      </c>
      <c r="F274" s="1" t="s">
        <v>360</v>
      </c>
      <c r="G274" s="1" t="s">
        <v>190</v>
      </c>
      <c r="H274" s="1" t="s">
        <v>196</v>
      </c>
    </row>
    <row r="275" spans="1:8">
      <c r="D275" s="1" t="s">
        <v>27</v>
      </c>
      <c r="E275" s="1" t="s">
        <v>353</v>
      </c>
      <c r="F275" s="1" t="s">
        <v>361</v>
      </c>
      <c r="G275" s="1" t="s">
        <v>190</v>
      </c>
      <c r="H275" s="1" t="s">
        <v>196</v>
      </c>
    </row>
    <row r="276" spans="1:8">
      <c r="D276" s="1" t="s">
        <v>33</v>
      </c>
      <c r="E276" s="1" t="s">
        <v>350</v>
      </c>
      <c r="F276" s="1" t="s">
        <v>362</v>
      </c>
      <c r="G276" s="1" t="s">
        <v>190</v>
      </c>
      <c r="H276" s="1" t="s">
        <v>191</v>
      </c>
    </row>
    <row r="277" spans="1:8">
      <c r="D277" s="1" t="s">
        <v>39</v>
      </c>
      <c r="E277" s="1" t="s">
        <v>363</v>
      </c>
      <c r="F277" s="1" t="s">
        <v>364</v>
      </c>
      <c r="G277" s="1" t="s">
        <v>190</v>
      </c>
      <c r="H277" s="1" t="s">
        <v>191</v>
      </c>
    </row>
    <row r="278" spans="1:8">
      <c r="D278" s="1" t="s">
        <v>45</v>
      </c>
      <c r="E278" s="1" t="s">
        <v>365</v>
      </c>
      <c r="F278" s="1" t="s">
        <v>366</v>
      </c>
      <c r="G278" s="1" t="s">
        <v>207</v>
      </c>
      <c r="H278" s="1" t="s">
        <v>191</v>
      </c>
    </row>
    <row r="279" spans="1:8">
      <c r="D279" s="1" t="s">
        <v>51</v>
      </c>
      <c r="E279" s="1" t="s">
        <v>367</v>
      </c>
      <c r="F279" s="1" t="s">
        <v>366</v>
      </c>
      <c r="G279" s="1" t="s">
        <v>207</v>
      </c>
      <c r="H279" s="1" t="s">
        <v>191</v>
      </c>
    </row>
    <row r="280" spans="1:8">
      <c r="D280" s="1" t="s">
        <v>57</v>
      </c>
      <c r="E280" s="1" t="s">
        <v>368</v>
      </c>
      <c r="F280" s="1" t="s">
        <v>366</v>
      </c>
      <c r="G280" s="1" t="s">
        <v>207</v>
      </c>
      <c r="H280" s="1" t="s">
        <v>191</v>
      </c>
    </row>
    <row r="281" spans="1:8">
      <c r="D281" s="1" t="s">
        <v>63</v>
      </c>
      <c r="E281" s="1" t="s">
        <v>369</v>
      </c>
      <c r="F281" s="1" t="s">
        <v>366</v>
      </c>
      <c r="G281" s="1" t="s">
        <v>207</v>
      </c>
      <c r="H281" s="1" t="s">
        <v>191</v>
      </c>
    </row>
    <row r="282" spans="1:8">
      <c r="D282" s="1" t="s">
        <v>69</v>
      </c>
      <c r="E282" s="1" t="s">
        <v>370</v>
      </c>
      <c r="F282" s="1" t="s">
        <v>366</v>
      </c>
      <c r="G282" s="1" t="s">
        <v>207</v>
      </c>
      <c r="H282" s="1" t="s">
        <v>191</v>
      </c>
    </row>
    <row r="283" spans="1:8">
      <c r="D283" s="1" t="s">
        <v>75</v>
      </c>
      <c r="E283" s="1" t="s">
        <v>371</v>
      </c>
      <c r="F283" s="1" t="s">
        <v>366</v>
      </c>
      <c r="G283" s="1" t="s">
        <v>207</v>
      </c>
      <c r="H283" s="1" t="s">
        <v>191</v>
      </c>
    </row>
    <row r="284" spans="1:8">
      <c r="A284" s="1" t="s">
        <v>178</v>
      </c>
      <c r="B284" s="1" t="s">
        <v>179</v>
      </c>
      <c r="C284" s="1" t="s">
        <v>180</v>
      </c>
      <c r="D284" s="1" t="s">
        <v>12</v>
      </c>
      <c r="E284" s="1" t="s">
        <v>327</v>
      </c>
      <c r="F284" s="1" t="s">
        <v>372</v>
      </c>
      <c r="G284" s="1" t="s">
        <v>190</v>
      </c>
      <c r="H284" s="1" t="s">
        <v>196</v>
      </c>
    </row>
    <row r="285" spans="1:8">
      <c r="D285" s="1" t="s">
        <v>21</v>
      </c>
      <c r="E285" s="1" t="s">
        <v>373</v>
      </c>
      <c r="F285" s="1" t="s">
        <v>374</v>
      </c>
      <c r="G285" s="1" t="s">
        <v>190</v>
      </c>
      <c r="H285" s="1" t="s">
        <v>196</v>
      </c>
    </row>
    <row r="286" spans="1:8">
      <c r="D286" s="1" t="s">
        <v>27</v>
      </c>
      <c r="E286" s="1" t="s">
        <v>375</v>
      </c>
      <c r="F286" s="1" t="s">
        <v>376</v>
      </c>
      <c r="G286" s="1" t="s">
        <v>207</v>
      </c>
      <c r="H286" s="1" t="s">
        <v>191</v>
      </c>
    </row>
    <row r="287" spans="1:8">
      <c r="D287" s="1" t="s">
        <v>33</v>
      </c>
      <c r="E287" s="1" t="s">
        <v>377</v>
      </c>
      <c r="F287" s="1" t="s">
        <v>378</v>
      </c>
      <c r="G287" s="1" t="s">
        <v>207</v>
      </c>
      <c r="H287" s="1" t="s">
        <v>191</v>
      </c>
    </row>
  </sheetData>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969B-F798-4C8C-83F3-1CF7A79D0EBF}">
  <dimension ref="A1:G21"/>
  <sheetViews>
    <sheetView workbookViewId="0">
      <selection activeCell="C52" sqref="C52"/>
    </sheetView>
  </sheetViews>
  <sheetFormatPr defaultRowHeight="15"/>
  <cols>
    <col min="1" max="1" width="13.54296875" style="1" bestFit="1" customWidth="1"/>
    <col min="2" max="2" width="24.1796875" style="1" bestFit="1" customWidth="1"/>
    <col min="3" max="3" width="39.6328125" style="1" bestFit="1" customWidth="1"/>
    <col min="4" max="4" width="29" style="1" customWidth="1"/>
    <col min="5" max="5" width="106" style="1" bestFit="1" customWidth="1"/>
    <col min="6" max="6" width="255.6328125" style="1" bestFit="1" customWidth="1"/>
    <col min="7" max="7" width="97.08984375" style="1" bestFit="1" customWidth="1"/>
    <col min="8" max="8" width="177.90625" style="1" bestFit="1" customWidth="1"/>
    <col min="9" max="10" width="9.26953125" style="1" bestFit="1" customWidth="1"/>
    <col min="11" max="11" width="133.54296875" style="1" bestFit="1" customWidth="1"/>
    <col min="12" max="16384" width="8.7265625" style="1"/>
  </cols>
  <sheetData>
    <row r="1" spans="1:7">
      <c r="A1" s="1" t="s">
        <v>2</v>
      </c>
      <c r="D1" s="1" t="s">
        <v>379</v>
      </c>
    </row>
    <row r="2" spans="1:7">
      <c r="A2" s="1" t="s">
        <v>0</v>
      </c>
      <c r="B2" s="1" t="s">
        <v>2</v>
      </c>
      <c r="C2" s="1" t="s">
        <v>3</v>
      </c>
      <c r="D2" s="1" t="s">
        <v>380</v>
      </c>
      <c r="E2" s="1" t="s">
        <v>1</v>
      </c>
      <c r="F2" s="1" t="s">
        <v>381</v>
      </c>
      <c r="G2" s="1" t="s">
        <v>382</v>
      </c>
    </row>
    <row r="3" spans="1:7">
      <c r="A3" s="1" t="s">
        <v>11</v>
      </c>
      <c r="B3" s="1" t="s">
        <v>13</v>
      </c>
      <c r="C3" s="1" t="s">
        <v>14</v>
      </c>
      <c r="D3" s="1" t="s">
        <v>383</v>
      </c>
      <c r="E3" s="1" t="s">
        <v>12</v>
      </c>
      <c r="F3" s="1" t="s">
        <v>384</v>
      </c>
      <c r="G3" s="1" t="s">
        <v>385</v>
      </c>
    </row>
    <row r="4" spans="1:7">
      <c r="E4" s="1" t="s">
        <v>21</v>
      </c>
      <c r="F4" s="1" t="s">
        <v>386</v>
      </c>
      <c r="G4" s="1" t="s">
        <v>387</v>
      </c>
    </row>
    <row r="5" spans="1:7">
      <c r="E5" s="1" t="s">
        <v>27</v>
      </c>
      <c r="F5" s="1" t="s">
        <v>388</v>
      </c>
      <c r="G5" s="1" t="s">
        <v>389</v>
      </c>
    </row>
    <row r="6" spans="1:7">
      <c r="E6" s="1" t="s">
        <v>33</v>
      </c>
      <c r="F6" s="1" t="s">
        <v>390</v>
      </c>
      <c r="G6" s="1" t="s">
        <v>391</v>
      </c>
    </row>
    <row r="7" spans="1:7">
      <c r="E7" s="1" t="s">
        <v>39</v>
      </c>
      <c r="F7" s="1" t="s">
        <v>392</v>
      </c>
      <c r="G7" s="1" t="s">
        <v>393</v>
      </c>
    </row>
    <row r="8" spans="1:7">
      <c r="E8" s="1" t="s">
        <v>45</v>
      </c>
      <c r="F8" s="1" t="s">
        <v>394</v>
      </c>
      <c r="G8" s="1" t="s">
        <v>395</v>
      </c>
    </row>
    <row r="9" spans="1:7">
      <c r="E9" s="1" t="s">
        <v>51</v>
      </c>
      <c r="F9" s="1" t="s">
        <v>396</v>
      </c>
      <c r="G9" s="1" t="s">
        <v>397</v>
      </c>
    </row>
    <row r="10" spans="1:7">
      <c r="E10" s="1" t="s">
        <v>57</v>
      </c>
      <c r="F10" s="1" t="s">
        <v>398</v>
      </c>
      <c r="G10" s="1" t="s">
        <v>399</v>
      </c>
    </row>
    <row r="11" spans="1:7">
      <c r="E11" s="1" t="s">
        <v>63</v>
      </c>
      <c r="F11" s="1" t="s">
        <v>400</v>
      </c>
      <c r="G11" s="1" t="s">
        <v>401</v>
      </c>
    </row>
    <row r="12" spans="1:7">
      <c r="B12" s="1" t="s">
        <v>22</v>
      </c>
      <c r="C12" s="1" t="s">
        <v>23</v>
      </c>
      <c r="D12" s="1" t="s">
        <v>402</v>
      </c>
    </row>
    <row r="13" spans="1:7">
      <c r="B13" s="1" t="s">
        <v>28</v>
      </c>
      <c r="C13" s="1" t="s">
        <v>29</v>
      </c>
      <c r="D13" s="1" t="s">
        <v>402</v>
      </c>
    </row>
    <row r="14" spans="1:7">
      <c r="B14" s="1" t="s">
        <v>34</v>
      </c>
      <c r="C14" s="1" t="s">
        <v>35</v>
      </c>
      <c r="D14" s="1" t="s">
        <v>402</v>
      </c>
    </row>
    <row r="15" spans="1:7">
      <c r="B15" s="1" t="s">
        <v>40</v>
      </c>
      <c r="C15" s="1" t="s">
        <v>41</v>
      </c>
      <c r="D15" s="1" t="s">
        <v>402</v>
      </c>
    </row>
    <row r="16" spans="1:7">
      <c r="B16" s="1" t="s">
        <v>46</v>
      </c>
      <c r="C16" s="1" t="s">
        <v>47</v>
      </c>
      <c r="D16" s="1" t="s">
        <v>402</v>
      </c>
    </row>
    <row r="17" spans="2:4">
      <c r="B17" s="1" t="s">
        <v>52</v>
      </c>
      <c r="C17" s="1" t="s">
        <v>53</v>
      </c>
      <c r="D17" s="1" t="s">
        <v>402</v>
      </c>
    </row>
    <row r="18" spans="2:4">
      <c r="B18" s="1" t="s">
        <v>58</v>
      </c>
      <c r="C18" s="1" t="s">
        <v>59</v>
      </c>
      <c r="D18" s="1" t="s">
        <v>402</v>
      </c>
    </row>
    <row r="19" spans="2:4">
      <c r="B19" s="1" t="s">
        <v>64</v>
      </c>
      <c r="C19" s="1" t="s">
        <v>65</v>
      </c>
      <c r="D19" s="1" t="s">
        <v>402</v>
      </c>
    </row>
    <row r="20" spans="2:4">
      <c r="B20" s="1" t="s">
        <v>70</v>
      </c>
      <c r="C20" s="1" t="s">
        <v>71</v>
      </c>
      <c r="D20" s="1" t="s">
        <v>402</v>
      </c>
    </row>
    <row r="21" spans="2:4">
      <c r="B21" s="1" t="s">
        <v>76</v>
      </c>
      <c r="C21" s="1" t="s">
        <v>77</v>
      </c>
      <c r="D21" s="1" t="s">
        <v>402</v>
      </c>
    </row>
  </sheetData>
  <phoneticPr fontId="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6B8D-5A06-4BAF-9F6F-C15920A3CEC4}">
  <sheetPr filterMode="1"/>
  <dimension ref="A1:W554"/>
  <sheetViews>
    <sheetView tabSelected="1" topLeftCell="A256" zoomScale="85" zoomScaleNormal="85" workbookViewId="0">
      <selection activeCell="H290" sqref="H290"/>
    </sheetView>
  </sheetViews>
  <sheetFormatPr defaultRowHeight="15"/>
  <cols>
    <col min="1" max="1" width="13.7265625" style="1" bestFit="1" customWidth="1"/>
    <col min="2" max="2" width="23.453125" style="1" bestFit="1" customWidth="1"/>
    <col min="3" max="3" width="23.08984375" style="1" bestFit="1" customWidth="1"/>
    <col min="4" max="4" width="35.90625" style="1" customWidth="1"/>
    <col min="5" max="5" width="5.26953125" style="1" bestFit="1" customWidth="1"/>
    <col min="6" max="6" width="34.36328125" style="1" bestFit="1" customWidth="1"/>
    <col min="7" max="7" width="26.81640625" style="1" bestFit="1" customWidth="1"/>
    <col min="8" max="8" width="47.08984375" style="1" customWidth="1"/>
    <col min="9" max="10" width="9.26953125" style="1" bestFit="1" customWidth="1"/>
    <col min="11" max="11" width="133.54296875" style="1" bestFit="1" customWidth="1"/>
    <col min="12" max="16384" width="8.7265625" style="1"/>
  </cols>
  <sheetData>
    <row r="1" spans="1:23">
      <c r="A1" s="4" t="s">
        <v>2</v>
      </c>
      <c r="B1" s="4" t="s">
        <v>1802</v>
      </c>
      <c r="C1" s="4" t="s">
        <v>1803</v>
      </c>
      <c r="D1" s="4" t="s">
        <v>1801</v>
      </c>
      <c r="E1" s="4" t="s">
        <v>1804</v>
      </c>
      <c r="F1" s="4" t="s">
        <v>1805</v>
      </c>
      <c r="G1" s="4" t="s">
        <v>1806</v>
      </c>
      <c r="H1" s="4" t="s">
        <v>1807</v>
      </c>
      <c r="I1" s="1" t="s">
        <v>1808</v>
      </c>
      <c r="J1" s="1" t="s">
        <v>1809</v>
      </c>
      <c r="K1" s="1" t="s">
        <v>1810</v>
      </c>
      <c r="L1" s="1" t="s">
        <v>1811</v>
      </c>
      <c r="M1" s="1" t="s">
        <v>1812</v>
      </c>
      <c r="N1" s="1" t="s">
        <v>1813</v>
      </c>
      <c r="O1" s="1" t="s">
        <v>1814</v>
      </c>
      <c r="P1" s="1" t="s">
        <v>1815</v>
      </c>
      <c r="Q1" s="1" t="s">
        <v>1816</v>
      </c>
      <c r="R1" s="1" t="s">
        <v>1817</v>
      </c>
      <c r="S1" s="1" t="s">
        <v>1818</v>
      </c>
      <c r="T1" s="1" t="s">
        <v>1819</v>
      </c>
      <c r="U1" s="1" t="s">
        <v>1820</v>
      </c>
      <c r="V1" s="1" t="s">
        <v>1821</v>
      </c>
      <c r="W1" s="1" t="s">
        <v>1822</v>
      </c>
    </row>
    <row r="2" spans="1:23" hidden="1">
      <c r="A2" s="4" t="s">
        <v>0</v>
      </c>
      <c r="B2" s="4" t="s">
        <v>2</v>
      </c>
      <c r="C2" s="4" t="s">
        <v>3</v>
      </c>
      <c r="D2" s="4" t="s">
        <v>380</v>
      </c>
      <c r="E2" s="4" t="s">
        <v>1</v>
      </c>
      <c r="F2" s="4" t="s">
        <v>381</v>
      </c>
      <c r="G2" s="4" t="s">
        <v>403</v>
      </c>
      <c r="H2" s="4" t="s">
        <v>404</v>
      </c>
    </row>
    <row r="3" spans="1:23">
      <c r="A3" s="3">
        <v>9974</v>
      </c>
      <c r="B3" s="3">
        <f>_xll.RssMarket("9974","銘柄コード")</f>
        <v>9974</v>
      </c>
      <c r="C3" s="3" t="str">
        <f>_xll.RssMarket("9974","銘柄名称")</f>
        <v>ベルク</v>
      </c>
      <c r="D3" s="3" t="str">
        <f>_xll.RssMarket("9974","現在日付")</f>
        <v>2026/03/05</v>
      </c>
      <c r="E3" s="3">
        <f>_xll.RssMarket("9974","現在値")</f>
        <v>7500</v>
      </c>
      <c r="F3" s="3">
        <f>_xll.RssMarket("9974","時価総額")</f>
        <v>156508</v>
      </c>
      <c r="G3" s="3">
        <f>_xll.RssMarket("9974","単位株数")</f>
        <v>100</v>
      </c>
      <c r="H3" s="3">
        <f>_xll.RssMarket("9974","配当")</f>
        <v>124</v>
      </c>
      <c r="I3" s="1">
        <f>_xll.RssMarket("9974","PER")</f>
        <v>12.49</v>
      </c>
      <c r="J3" s="1">
        <f>_xll.RssMarket("9974","PBR")</f>
        <v>1.36</v>
      </c>
      <c r="K3" s="1">
        <f>_xll.RssMarket("9974","信用売残")</f>
        <v>7100</v>
      </c>
      <c r="L3" s="1">
        <f>_xll.RssMarket("9974","信用売残前週比")</f>
        <v>-124400</v>
      </c>
      <c r="M3" s="1">
        <f>_xll.RssMarket("9974","信用買残")</f>
        <v>12700</v>
      </c>
      <c r="N3" s="1">
        <f>_xll.RssMarket("9974","信用買残前週比")</f>
        <v>-6000</v>
      </c>
      <c r="O3" s="1">
        <f>_xll.RssMarket("9974","信用倍率")</f>
        <v>1.79</v>
      </c>
      <c r="P3" s="1" t="str">
        <f>_xll.RssMarket("9974","配当落日")</f>
        <v>2027/02/25</v>
      </c>
      <c r="Q3" s="1" t="str">
        <f>_xll.RssMarket("9974","中配落日")</f>
        <v>2026/08/28</v>
      </c>
      <c r="R3" s="1" t="str">
        <f>_xll.RssMarket("9974","権利落日")</f>
        <v/>
      </c>
      <c r="S3" s="1" t="str">
        <f>_xll.RssMarket("9974","決算発表日")</f>
        <v>-</v>
      </c>
      <c r="T3" s="1">
        <f>_xll.RssMarket("9974","年初来高値")</f>
        <v>8200</v>
      </c>
      <c r="U3" s="1">
        <f>_xll.RssMarket("9974","年初来安値")</f>
        <v>6090</v>
      </c>
      <c r="V3" s="1">
        <f>_xll.RssMarket("9974","上場来高値")</f>
        <v>8200</v>
      </c>
      <c r="W3" s="1">
        <f>_xll.RssMarket("9974","上場来安値")</f>
        <v>724</v>
      </c>
    </row>
    <row r="4" spans="1:23">
      <c r="A4" s="3">
        <v>9976</v>
      </c>
      <c r="B4" s="3">
        <f>_xll.RssMarket("9976","銘柄コード")</f>
        <v>9976</v>
      </c>
      <c r="C4" s="3" t="str">
        <f>_xll.RssMarket("9976","銘柄名称")</f>
        <v>セキチュー</v>
      </c>
      <c r="D4" s="3" t="str">
        <f>_xll.RssMarket("9976","現在日付")</f>
        <v>2026/03/05</v>
      </c>
      <c r="E4" s="3">
        <f>_xll.RssMarket("9976","現在値")</f>
        <v>1041</v>
      </c>
      <c r="F4" s="3">
        <f>_xll.RssMarket("9976","時価総額")</f>
        <v>5815</v>
      </c>
      <c r="G4" s="3">
        <f>_xll.RssMarket("9976","単位株数")</f>
        <v>100</v>
      </c>
      <c r="H4" s="3">
        <f>_xll.RssMarket("9976","配当")</f>
        <v>20</v>
      </c>
      <c r="I4" s="1">
        <f>_xll.RssMarket("9976","PER")</f>
        <v>15.17</v>
      </c>
      <c r="J4" s="1">
        <f>_xll.RssMarket("9976","PBR")</f>
        <v>0.48</v>
      </c>
      <c r="K4" s="1" t="str">
        <f>_xll.RssMarket("9976","信用売残")</f>
        <v>-</v>
      </c>
      <c r="L4" s="1" t="str">
        <f>_xll.RssMarket("9976","信用売残前週比")</f>
        <v>-</v>
      </c>
      <c r="M4" s="1">
        <f>_xll.RssMarket("9976","信用買残")</f>
        <v>6100</v>
      </c>
      <c r="N4" s="1">
        <f>_xll.RssMarket("9976","信用買残前週比")</f>
        <v>-300</v>
      </c>
      <c r="O4" s="1">
        <f>_xll.RssMarket("9976","信用倍率")</f>
        <v>0</v>
      </c>
      <c r="P4" s="1" t="str">
        <f>_xll.RssMarket("9976","配当落日")</f>
        <v>2027/02/18</v>
      </c>
      <c r="Q4" s="1" t="str">
        <f>_xll.RssMarket("9976","中配落日")</f>
        <v>2026/08/19</v>
      </c>
      <c r="R4" s="1" t="str">
        <f>_xll.RssMarket("9976","権利落日")</f>
        <v/>
      </c>
      <c r="S4" s="1" t="str">
        <f>_xll.RssMarket("9976","決算発表日")</f>
        <v>-</v>
      </c>
      <c r="T4" s="1">
        <f>_xll.RssMarket("9976","年初来高値")</f>
        <v>1450</v>
      </c>
      <c r="U4" s="1">
        <f>_xll.RssMarket("9976","年初来安値")</f>
        <v>900</v>
      </c>
      <c r="V4" s="1">
        <f>_xll.RssMarket("9976","上場来高値")</f>
        <v>4450</v>
      </c>
      <c r="W4" s="1">
        <f>_xll.RssMarket("9976","上場来安値")</f>
        <v>250</v>
      </c>
    </row>
    <row r="5" spans="1:23">
      <c r="A5" s="3">
        <v>9978</v>
      </c>
      <c r="B5" s="3">
        <f>_xll.RssMarket("9978","銘柄コード")</f>
        <v>9978</v>
      </c>
      <c r="C5" s="3" t="str">
        <f>_xll.RssMarket("9978","銘柄名称")</f>
        <v>文教堂グループＨＤ</v>
      </c>
      <c r="D5" s="3" t="str">
        <f>_xll.RssMarket("9978","現在日付")</f>
        <v>2026/03/05</v>
      </c>
      <c r="E5" s="3">
        <f>_xll.RssMarket("9978","現在値")</f>
        <v>49</v>
      </c>
      <c r="F5" s="3">
        <f>_xll.RssMarket("9978","時価総額")</f>
        <v>2148</v>
      </c>
      <c r="G5" s="3">
        <f>_xll.RssMarket("9978","単位株数")</f>
        <v>100</v>
      </c>
      <c r="H5" s="3">
        <f>_xll.RssMarket("9978","配当")</f>
        <v>0</v>
      </c>
      <c r="I5" s="1">
        <f>_xll.RssMarket("9978","PER")</f>
        <v>98</v>
      </c>
      <c r="J5" s="1">
        <f>_xll.RssMarket("9978","PBR")</f>
        <v>0</v>
      </c>
      <c r="K5" s="1" t="str">
        <f>_xll.RssMarket("9978","信用売残")</f>
        <v>-</v>
      </c>
      <c r="L5" s="1" t="str">
        <f>_xll.RssMarket("9978","信用売残前週比")</f>
        <v>-</v>
      </c>
      <c r="M5" s="1">
        <f>_xll.RssMarket("9978","信用買残")</f>
        <v>2561800</v>
      </c>
      <c r="N5" s="1">
        <f>_xll.RssMarket("9978","信用買残前週比")</f>
        <v>-208000</v>
      </c>
      <c r="O5" s="1">
        <f>_xll.RssMarket("9978","信用倍率")</f>
        <v>0</v>
      </c>
      <c r="P5" s="1" t="str">
        <f>_xll.RssMarket("9978","配当落日")</f>
        <v>2026/08/28</v>
      </c>
      <c r="Q5" s="1" t="str">
        <f>_xll.RssMarket("9978","中配落日")</f>
        <v>2027/02/25</v>
      </c>
      <c r="R5" s="1" t="str">
        <f>_xll.RssMarket("9978","権利落日")</f>
        <v/>
      </c>
      <c r="S5" s="1" t="str">
        <f>_xll.RssMarket("9978","決算発表日")</f>
        <v>-</v>
      </c>
      <c r="T5" s="1">
        <f>_xll.RssMarket("9978","年初来高値")</f>
        <v>75</v>
      </c>
      <c r="U5" s="1">
        <f>_xll.RssMarket("9978","年初来安値")</f>
        <v>40</v>
      </c>
      <c r="V5" s="1">
        <f>_xll.RssMarket("9978","上場来高値")</f>
        <v>4500</v>
      </c>
      <c r="W5" s="1">
        <f>_xll.RssMarket("9978","上場来安値")</f>
        <v>32</v>
      </c>
    </row>
    <row r="6" spans="1:23">
      <c r="A6" s="3">
        <v>9979</v>
      </c>
      <c r="B6" s="3">
        <f>_xll.RssMarket("9979","銘柄コード")</f>
        <v>9979</v>
      </c>
      <c r="C6" s="3" t="str">
        <f>_xll.RssMarket("9979","銘柄名称")</f>
        <v>大庄</v>
      </c>
      <c r="D6" s="3" t="str">
        <f>_xll.RssMarket("9979","現在日付")</f>
        <v>2026/03/05</v>
      </c>
      <c r="E6" s="3">
        <f>_xll.RssMarket("9979","現在値")</f>
        <v>1129</v>
      </c>
      <c r="F6" s="3">
        <f>_xll.RssMarket("9979","時価総額")</f>
        <v>23933</v>
      </c>
      <c r="G6" s="3">
        <f>_xll.RssMarket("9979","単位株数")</f>
        <v>100</v>
      </c>
      <c r="H6" s="3">
        <f>_xll.RssMarket("9979","配当")</f>
        <v>14</v>
      </c>
      <c r="I6" s="1">
        <f>_xll.RssMarket("9979","PER")</f>
        <v>25.77</v>
      </c>
      <c r="J6" s="1">
        <f>_xll.RssMarket("9979","PBR")</f>
        <v>2.09</v>
      </c>
      <c r="K6" s="1">
        <f>_xll.RssMarket("9979","信用売残")</f>
        <v>101400</v>
      </c>
      <c r="L6" s="1">
        <f>_xll.RssMarket("9979","信用売残前週比")</f>
        <v>-116800</v>
      </c>
      <c r="M6" s="1">
        <f>_xll.RssMarket("9979","信用買残")</f>
        <v>21300</v>
      </c>
      <c r="N6" s="1">
        <f>_xll.RssMarket("9979","信用買残前週比")</f>
        <v>-29200</v>
      </c>
      <c r="O6" s="1">
        <f>_xll.RssMarket("9979","信用倍率")</f>
        <v>0.21</v>
      </c>
      <c r="P6" s="1" t="str">
        <f>_xll.RssMarket("9979","配当落日")</f>
        <v>2026/08/28</v>
      </c>
      <c r="Q6" s="1" t="str">
        <f>_xll.RssMarket("9979","中配落日")</f>
        <v>2027/02/25</v>
      </c>
      <c r="R6" s="1" t="str">
        <f>_xll.RssMarket("9979","権利落日")</f>
        <v/>
      </c>
      <c r="S6" s="1" t="str">
        <f>_xll.RssMarket("9979","決算発表日")</f>
        <v>-</v>
      </c>
      <c r="T6" s="1">
        <f>_xll.RssMarket("9979","年初来高値")</f>
        <v>1263</v>
      </c>
      <c r="U6" s="1">
        <f>_xll.RssMarket("9979","年初来安値")</f>
        <v>969</v>
      </c>
      <c r="V6" s="1">
        <f>_xll.RssMarket("9979","上場来高値")</f>
        <v>2050</v>
      </c>
      <c r="W6" s="1">
        <f>_xll.RssMarket("9979","上場来安値")</f>
        <v>560</v>
      </c>
    </row>
    <row r="7" spans="1:23">
      <c r="A7" s="3">
        <v>9980</v>
      </c>
      <c r="B7" s="3">
        <f>_xll.RssMarket("9980","銘柄コード")</f>
        <v>9980</v>
      </c>
      <c r="C7" s="3" t="str">
        <f>_xll.RssMarket("9980","銘柄名称")</f>
        <v>ＭＲＫホールディングス</v>
      </c>
      <c r="D7" s="3" t="str">
        <f>_xll.RssMarket("9980","現在日付")</f>
        <v>2026/03/05</v>
      </c>
      <c r="E7" s="3">
        <f>_xll.RssMarket("9980","現在値")</f>
        <v>141</v>
      </c>
      <c r="F7" s="3">
        <f>_xll.RssMarket("9980","時価総額")</f>
        <v>14282</v>
      </c>
      <c r="G7" s="3">
        <f>_xll.RssMarket("9980","単位株数")</f>
        <v>100</v>
      </c>
      <c r="H7" s="3">
        <f>_xll.RssMarket("9980","配当")</f>
        <v>1</v>
      </c>
      <c r="I7" s="1">
        <f>_xll.RssMarket("9980","PER")</f>
        <v>11.84</v>
      </c>
      <c r="J7" s="1">
        <f>_xll.RssMarket("9980","PBR")</f>
        <v>0.94</v>
      </c>
      <c r="K7" s="1">
        <f>_xll.RssMarket("9980","信用売残")</f>
        <v>245700</v>
      </c>
      <c r="L7" s="1">
        <f>_xll.RssMarket("9980","信用売残前週比")</f>
        <v>194700</v>
      </c>
      <c r="M7" s="1">
        <f>_xll.RssMarket("9980","信用買残")</f>
        <v>2095700</v>
      </c>
      <c r="N7" s="1">
        <f>_xll.RssMarket("9980","信用買残前週比")</f>
        <v>924600</v>
      </c>
      <c r="O7" s="1">
        <f>_xll.RssMarket("9980","信用倍率")</f>
        <v>8.5299999999999994</v>
      </c>
      <c r="P7" s="1" t="str">
        <f>_xll.RssMarket("9980","配当落日")</f>
        <v>2026/03/30</v>
      </c>
      <c r="Q7" s="1" t="str">
        <f>_xll.RssMarket("9980","中配落日")</f>
        <v>2026/09/29</v>
      </c>
      <c r="R7" s="1" t="str">
        <f>_xll.RssMarket("9980","権利落日")</f>
        <v/>
      </c>
      <c r="S7" s="1" t="str">
        <f>_xll.RssMarket("9980","決算発表日")</f>
        <v>2026/02/12</v>
      </c>
      <c r="T7" s="1">
        <f>_xll.RssMarket("9980","年初来高値")</f>
        <v>182</v>
      </c>
      <c r="U7" s="1">
        <f>_xll.RssMarket("9980","年初来安値")</f>
        <v>69</v>
      </c>
      <c r="V7" s="1">
        <f>_xll.RssMarket("9980","上場来高値")</f>
        <v>10200</v>
      </c>
      <c r="W7" s="1">
        <f>_xll.RssMarket("9980","上場来安値")</f>
        <v>69</v>
      </c>
    </row>
    <row r="8" spans="1:23">
      <c r="A8" s="3">
        <v>9982</v>
      </c>
      <c r="B8" s="3">
        <f>_xll.RssMarket("9982","銘柄コード")</f>
        <v>9982</v>
      </c>
      <c r="C8" s="3" t="str">
        <f>_xll.RssMarket("9982","銘柄名称")</f>
        <v>タキヒヨー</v>
      </c>
      <c r="D8" s="3" t="str">
        <f>_xll.RssMarket("9982","現在日付")</f>
        <v>2026/03/05</v>
      </c>
      <c r="E8" s="3">
        <f>_xll.RssMarket("9982","現在値")</f>
        <v>2280</v>
      </c>
      <c r="F8" s="3">
        <f>_xll.RssMarket("9982","時価総額")</f>
        <v>20064</v>
      </c>
      <c r="G8" s="3">
        <f>_xll.RssMarket("9982","単位株数")</f>
        <v>100</v>
      </c>
      <c r="H8" s="3">
        <f>_xll.RssMarket("9982","配当")</f>
        <v>45</v>
      </c>
      <c r="I8" s="1">
        <f>_xll.RssMarket("9982","PER")</f>
        <v>14.92</v>
      </c>
      <c r="J8" s="1">
        <f>_xll.RssMarket("9982","PBR")</f>
        <v>0.63</v>
      </c>
      <c r="K8" s="1">
        <f>_xll.RssMarket("9982","信用売残")</f>
        <v>0</v>
      </c>
      <c r="L8" s="1">
        <f>_xll.RssMarket("9982","信用売残前週比")</f>
        <v>0</v>
      </c>
      <c r="M8" s="1">
        <f>_xll.RssMarket("9982","信用買残")</f>
        <v>335900</v>
      </c>
      <c r="N8" s="1">
        <f>_xll.RssMarket("9982","信用買残前週比")</f>
        <v>7500</v>
      </c>
      <c r="O8" s="1">
        <f>_xll.RssMarket("9982","信用倍率")</f>
        <v>0</v>
      </c>
      <c r="P8" s="1" t="str">
        <f>_xll.RssMarket("9982","配当落日")</f>
        <v>2027/02/25</v>
      </c>
      <c r="Q8" s="1" t="str">
        <f>_xll.RssMarket("9982","中配落日")</f>
        <v>2026/08/28</v>
      </c>
      <c r="R8" s="1" t="str">
        <f>_xll.RssMarket("9982","権利落日")</f>
        <v/>
      </c>
      <c r="S8" s="1" t="str">
        <f>_xll.RssMarket("9982","決算発表日")</f>
        <v>-</v>
      </c>
      <c r="T8" s="1">
        <f>_xll.RssMarket("9982","年初来高値")</f>
        <v>2344</v>
      </c>
      <c r="U8" s="1">
        <f>_xll.RssMarket("9982","年初来安値")</f>
        <v>1097</v>
      </c>
      <c r="V8" s="1">
        <f>_xll.RssMarket("9982","上場来高値")</f>
        <v>2586</v>
      </c>
      <c r="W8" s="1">
        <f>_xll.RssMarket("9982","上場来安値")</f>
        <v>203</v>
      </c>
    </row>
    <row r="9" spans="1:23">
      <c r="A9" s="3">
        <v>9983</v>
      </c>
      <c r="B9" s="3">
        <f>_xll.RssMarket("9983","銘柄コード")</f>
        <v>9983</v>
      </c>
      <c r="C9" s="3" t="str">
        <f>_xll.RssMarket("9983","銘柄名称")</f>
        <v>ファーストリテイリング</v>
      </c>
      <c r="D9" s="3" t="str">
        <f>_xll.RssMarket("9983","現在日付")</f>
        <v>2026/03/05</v>
      </c>
      <c r="E9" s="3">
        <f>_xll.RssMarket("9983","現在値")</f>
        <v>64360</v>
      </c>
      <c r="F9" s="3">
        <f>_xll.RssMarket("9983","時価総額")</f>
        <v>20480701</v>
      </c>
      <c r="G9" s="3">
        <f>_xll.RssMarket("9983","単位株数")</f>
        <v>100</v>
      </c>
      <c r="H9" s="3">
        <f>_xll.RssMarket("9983","配当")</f>
        <v>540</v>
      </c>
      <c r="I9" s="1">
        <f>_xll.RssMarket("9983","PER")</f>
        <v>43.88</v>
      </c>
      <c r="J9" s="1">
        <f>_xll.RssMarket("9983","PBR")</f>
        <v>8.68</v>
      </c>
      <c r="K9" s="1">
        <f>_xll.RssMarket("9983","信用売残")</f>
        <v>329300</v>
      </c>
      <c r="L9" s="1">
        <f>_xll.RssMarket("9983","信用売残前週比")</f>
        <v>10800</v>
      </c>
      <c r="M9" s="1">
        <f>_xll.RssMarket("9983","信用買残")</f>
        <v>103400</v>
      </c>
      <c r="N9" s="1">
        <f>_xll.RssMarket("9983","信用買残前週比")</f>
        <v>-65800</v>
      </c>
      <c r="O9" s="1">
        <f>_xll.RssMarket("9983","信用倍率")</f>
        <v>0.31</v>
      </c>
      <c r="P9" s="1" t="str">
        <f>_xll.RssMarket("9983","配当落日")</f>
        <v>2026/08/28</v>
      </c>
      <c r="Q9" s="1" t="str">
        <f>_xll.RssMarket("9983","中配落日")</f>
        <v>2027/02/25</v>
      </c>
      <c r="R9" s="1" t="str">
        <f>_xll.RssMarket("9983","権利落日")</f>
        <v>2023/02/27</v>
      </c>
      <c r="S9" s="1" t="str">
        <f>_xll.RssMarket("9983","決算発表日")</f>
        <v>-</v>
      </c>
      <c r="T9" s="1">
        <f>_xll.RssMarket("9983","年初来高値")</f>
        <v>69950</v>
      </c>
      <c r="U9" s="1">
        <f>_xll.RssMarket("9983","年初来安値")</f>
        <v>41650</v>
      </c>
      <c r="V9" s="1">
        <f>_xll.RssMarket("9983","上場来高値")</f>
        <v>110500</v>
      </c>
      <c r="W9" s="1">
        <f>_xll.RssMarket("9983","上場来安値")</f>
        <v>1050</v>
      </c>
    </row>
    <row r="10" spans="1:23">
      <c r="A10" s="3">
        <v>9984</v>
      </c>
      <c r="B10" s="3">
        <f>_xll.RssMarket("9984","銘柄コード")</f>
        <v>9984</v>
      </c>
      <c r="C10" s="3" t="str">
        <f>_xll.RssMarket("9984","銘柄名称")</f>
        <v>ソフトバンクグループ</v>
      </c>
      <c r="D10" s="3" t="str">
        <f>_xll.RssMarket("9984","現在日付")</f>
        <v>2026/03/05</v>
      </c>
      <c r="E10" s="3">
        <f>_xll.RssMarket("9984","現在値")</f>
        <v>3864</v>
      </c>
      <c r="F10" s="3">
        <f>_xll.RssMarket("9984","時価総額")</f>
        <v>22070581</v>
      </c>
      <c r="G10" s="3">
        <f>_xll.RssMarket("9984","単位株数")</f>
        <v>100</v>
      </c>
      <c r="H10" s="3">
        <f>_xll.RssMarket("9984","配当")</f>
        <v>11</v>
      </c>
      <c r="I10" s="1">
        <f>_xll.RssMarket("9984","PER")</f>
        <v>5.64</v>
      </c>
      <c r="J10" s="1">
        <f>_xll.RssMarket("9984","PBR")</f>
        <v>1.56</v>
      </c>
      <c r="K10" s="1">
        <f>_xll.RssMarket("9984","信用売残")</f>
        <v>4172900</v>
      </c>
      <c r="L10" s="1">
        <f>_xll.RssMarket("9984","信用売残前週比")</f>
        <v>-329500</v>
      </c>
      <c r="M10" s="1">
        <f>_xll.RssMarket("9984","信用買残")</f>
        <v>45806700</v>
      </c>
      <c r="N10" s="1">
        <f>_xll.RssMarket("9984","信用買残前週比")</f>
        <v>2388800</v>
      </c>
      <c r="O10" s="1">
        <f>_xll.RssMarket("9984","信用倍率")</f>
        <v>10.98</v>
      </c>
      <c r="P10" s="1" t="str">
        <f>_xll.RssMarket("9984","配当落日")</f>
        <v>2026/03/30</v>
      </c>
      <c r="Q10" s="1" t="str">
        <f>_xll.RssMarket("9984","中配落日")</f>
        <v>2026/09/29</v>
      </c>
      <c r="R10" s="1" t="str">
        <f>_xll.RssMarket("9984","権利落日")</f>
        <v>2025/12/29</v>
      </c>
      <c r="S10" s="1" t="str">
        <f>_xll.RssMarket("9984","決算発表日")</f>
        <v>2026/02/12</v>
      </c>
      <c r="T10" s="1">
        <f>_xll.RssMarket("9984","年初来高値")</f>
        <v>4954</v>
      </c>
      <c r="U10" s="1">
        <f>_xll.RssMarket("9984","年初来安値")</f>
        <v>3605</v>
      </c>
      <c r="V10" s="1">
        <f>_xll.RssMarket("9984","上場来高値")</f>
        <v>198000</v>
      </c>
      <c r="W10" s="1">
        <f>_xll.RssMarket("9984","上場来安値")</f>
        <v>636</v>
      </c>
    </row>
    <row r="11" spans="1:23">
      <c r="A11" s="3">
        <v>9986</v>
      </c>
      <c r="B11" s="3">
        <f>_xll.RssMarket("9986","銘柄コード")</f>
        <v>9986</v>
      </c>
      <c r="C11" s="3" t="str">
        <f>_xll.RssMarket("9986","銘柄名称")</f>
        <v>蔵王産業</v>
      </c>
      <c r="D11" s="3" t="str">
        <f>_xll.RssMarket("9986","現在日付")</f>
        <v>2026/03/05</v>
      </c>
      <c r="E11" s="3">
        <f>_xll.RssMarket("9986","現在値")</f>
        <v>2618</v>
      </c>
      <c r="F11" s="3">
        <f>_xll.RssMarket("9986","時価総額")</f>
        <v>16404</v>
      </c>
      <c r="G11" s="3">
        <f>_xll.RssMarket("9986","単位株数")</f>
        <v>100</v>
      </c>
      <c r="H11" s="3">
        <f>_xll.RssMarket("9986","配当")</f>
        <v>100</v>
      </c>
      <c r="I11" s="1">
        <f>_xll.RssMarket("9986","PER")</f>
        <v>19.23</v>
      </c>
      <c r="J11" s="1">
        <f>_xll.RssMarket("9986","PBR")</f>
        <v>1.1000000000000001</v>
      </c>
      <c r="K11" s="1" t="str">
        <f>_xll.RssMarket("9986","信用売残")</f>
        <v>-</v>
      </c>
      <c r="L11" s="1" t="str">
        <f>_xll.RssMarket("9986","信用売残前週比")</f>
        <v>-</v>
      </c>
      <c r="M11" s="1">
        <f>_xll.RssMarket("9986","信用買残")</f>
        <v>5900</v>
      </c>
      <c r="N11" s="1">
        <f>_xll.RssMarket("9986","信用買残前週比")</f>
        <v>300</v>
      </c>
      <c r="O11" s="1">
        <f>_xll.RssMarket("9986","信用倍率")</f>
        <v>0</v>
      </c>
      <c r="P11" s="1" t="str">
        <f>_xll.RssMarket("9986","配当落日")</f>
        <v>2026/03/30</v>
      </c>
      <c r="Q11" s="1" t="str">
        <f>_xll.RssMarket("9986","中配落日")</f>
        <v>2026/09/29</v>
      </c>
      <c r="R11" s="1" t="str">
        <f>_xll.RssMarket("9986","権利落日")</f>
        <v/>
      </c>
      <c r="S11" s="1" t="str">
        <f>_xll.RssMarket("9986","決算発表日")</f>
        <v>2026/02/09</v>
      </c>
      <c r="T11" s="1">
        <f>_xll.RssMarket("9986","年初来高値")</f>
        <v>2653</v>
      </c>
      <c r="U11" s="1">
        <f>_xll.RssMarket("9986","年初来安値")</f>
        <v>2300</v>
      </c>
      <c r="V11" s="1">
        <f>_xll.RssMarket("9986","上場来高値")</f>
        <v>2699</v>
      </c>
      <c r="W11" s="1">
        <f>_xll.RssMarket("9986","上場来安値")</f>
        <v>471</v>
      </c>
    </row>
    <row r="12" spans="1:23">
      <c r="A12" s="3">
        <v>9987</v>
      </c>
      <c r="B12" s="3">
        <f>_xll.RssMarket("9987","銘柄コード")</f>
        <v>9987</v>
      </c>
      <c r="C12" s="3" t="str">
        <f>_xll.RssMarket("9987","銘柄名称")</f>
        <v>スズケン</v>
      </c>
      <c r="D12" s="3" t="str">
        <f>_xll.RssMarket("9987","現在日付")</f>
        <v>2026/03/05</v>
      </c>
      <c r="E12" s="3">
        <f>_xll.RssMarket("9987","現在値")</f>
        <v>6414</v>
      </c>
      <c r="F12" s="3">
        <f>_xll.RssMarket("9987","時価総額")</f>
        <v>462880</v>
      </c>
      <c r="G12" s="3">
        <f>_xll.RssMarket("9987","単位株数")</f>
        <v>100</v>
      </c>
      <c r="H12" s="3">
        <f>_xll.RssMarket("9987","配当")</f>
        <v>100</v>
      </c>
      <c r="I12" s="1">
        <f>_xll.RssMarket("9987","PER")</f>
        <v>12.6</v>
      </c>
      <c r="J12" s="1">
        <f>_xll.RssMarket("9987","PBR")</f>
        <v>1.1000000000000001</v>
      </c>
      <c r="K12" s="1">
        <f>_xll.RssMarket("9987","信用売残")</f>
        <v>18000</v>
      </c>
      <c r="L12" s="1">
        <f>_xll.RssMarket("9987","信用売残前週比")</f>
        <v>3400</v>
      </c>
      <c r="M12" s="1">
        <f>_xll.RssMarket("9987","信用買残")</f>
        <v>4500</v>
      </c>
      <c r="N12" s="1">
        <f>_xll.RssMarket("9987","信用買残前週比")</f>
        <v>2500</v>
      </c>
      <c r="O12" s="1">
        <f>_xll.RssMarket("9987","信用倍率")</f>
        <v>0.25</v>
      </c>
      <c r="P12" s="1" t="str">
        <f>_xll.RssMarket("9987","配当落日")</f>
        <v>2026/03/30</v>
      </c>
      <c r="Q12" s="1" t="str">
        <f>_xll.RssMarket("9987","中配落日")</f>
        <v>2026/09/29</v>
      </c>
      <c r="R12" s="1" t="str">
        <f>_xll.RssMarket("9987","権利落日")</f>
        <v>2015/03/27</v>
      </c>
      <c r="S12" s="1" t="str">
        <f>_xll.RssMarket("9987","決算発表日")</f>
        <v>-</v>
      </c>
      <c r="T12" s="1">
        <f>_xll.RssMarket("9987","年初来高値")</f>
        <v>6668</v>
      </c>
      <c r="U12" s="1">
        <f>_xll.RssMarket("9987","年初来安値")</f>
        <v>4406</v>
      </c>
      <c r="V12" s="1">
        <f>_xll.RssMarket("9987","上場来高値")</f>
        <v>7040</v>
      </c>
      <c r="W12" s="1">
        <f>_xll.RssMarket("9987","上場来安値")</f>
        <v>1550</v>
      </c>
    </row>
    <row r="13" spans="1:23">
      <c r="A13" s="3">
        <v>9989</v>
      </c>
      <c r="B13" s="3">
        <f>_xll.RssMarket("9989","銘柄コード")</f>
        <v>9989</v>
      </c>
      <c r="C13" s="3" t="str">
        <f>_xll.RssMarket("9989","銘柄名称")</f>
        <v>サンドラッグ</v>
      </c>
      <c r="D13" s="3" t="str">
        <f>_xll.RssMarket("9989","現在日付")</f>
        <v>2026/03/05</v>
      </c>
      <c r="E13" s="3">
        <f>_xll.RssMarket("9989","現在値")</f>
        <v>4009</v>
      </c>
      <c r="F13" s="3">
        <f>_xll.RssMarket("9989","時価総額")</f>
        <v>478398</v>
      </c>
      <c r="G13" s="3">
        <f>_xll.RssMarket("9989","単位株数")</f>
        <v>100</v>
      </c>
      <c r="H13" s="3">
        <f>_xll.RssMarket("9989","配当")</f>
        <v>131</v>
      </c>
      <c r="I13" s="1">
        <f>_xll.RssMarket("9989","PER")</f>
        <v>15.63</v>
      </c>
      <c r="J13" s="1">
        <f>_xll.RssMarket("9989","PBR")</f>
        <v>1.69</v>
      </c>
      <c r="K13" s="1">
        <f>_xll.RssMarket("9989","信用売残")</f>
        <v>40600</v>
      </c>
      <c r="L13" s="1">
        <f>_xll.RssMarket("9989","信用売残前週比")</f>
        <v>18200</v>
      </c>
      <c r="M13" s="1">
        <f>_xll.RssMarket("9989","信用買残")</f>
        <v>69500</v>
      </c>
      <c r="N13" s="1">
        <f>_xll.RssMarket("9989","信用買残前週比")</f>
        <v>-4400</v>
      </c>
      <c r="O13" s="1">
        <f>_xll.RssMarket("9989","信用倍率")</f>
        <v>1.71</v>
      </c>
      <c r="P13" s="1" t="str">
        <f>_xll.RssMarket("9989","配当落日")</f>
        <v>2026/03/30</v>
      </c>
      <c r="Q13" s="1" t="str">
        <f>_xll.RssMarket("9989","中配落日")</f>
        <v>2026/09/29</v>
      </c>
      <c r="R13" s="1" t="str">
        <f>_xll.RssMarket("9989","権利落日")</f>
        <v>2017/03/29</v>
      </c>
      <c r="S13" s="1" t="str">
        <f>_xll.RssMarket("9989","決算発表日")</f>
        <v>2026/02/12</v>
      </c>
      <c r="T13" s="1">
        <f>_xll.RssMarket("9989","年初来高値")</f>
        <v>4883</v>
      </c>
      <c r="U13" s="1">
        <f>_xll.RssMarket("9989","年初来安値")</f>
        <v>4003</v>
      </c>
      <c r="V13" s="1">
        <f>_xll.RssMarket("9989","上場来高値")</f>
        <v>9800</v>
      </c>
      <c r="W13" s="1">
        <f>_xll.RssMarket("9989","上場来安値")</f>
        <v>1210</v>
      </c>
    </row>
    <row r="14" spans="1:23">
      <c r="A14" s="3">
        <v>9990</v>
      </c>
      <c r="B14" s="3">
        <f>_xll.RssMarket("9990","銘柄コード")</f>
        <v>9990</v>
      </c>
      <c r="C14" s="3" t="str">
        <f>_xll.RssMarket("9990","銘柄名称")</f>
        <v>サックスバーホールディング</v>
      </c>
      <c r="D14" s="3" t="str">
        <f>_xll.RssMarket("9990","現在日付")</f>
        <v>2026/03/05</v>
      </c>
      <c r="E14" s="3">
        <f>_xll.RssMarket("9990","現在値")</f>
        <v>831</v>
      </c>
      <c r="F14" s="3">
        <f>_xll.RssMarket("9990","時価総額")</f>
        <v>24813</v>
      </c>
      <c r="G14" s="3">
        <f>_xll.RssMarket("9990","単位株数")</f>
        <v>100</v>
      </c>
      <c r="H14" s="3">
        <f>_xll.RssMarket("9990","配当")</f>
        <v>35</v>
      </c>
      <c r="I14" s="1">
        <f>_xll.RssMarket("9990","PER")</f>
        <v>13.12</v>
      </c>
      <c r="J14" s="1">
        <f>_xll.RssMarket("9990","PBR")</f>
        <v>0.81</v>
      </c>
      <c r="K14" s="1">
        <f>_xll.RssMarket("9990","信用売残")</f>
        <v>172300</v>
      </c>
      <c r="L14" s="1">
        <f>_xll.RssMarket("9990","信用売残前週比")</f>
        <v>74100</v>
      </c>
      <c r="M14" s="1">
        <f>_xll.RssMarket("9990","信用買残")</f>
        <v>205200</v>
      </c>
      <c r="N14" s="1">
        <f>_xll.RssMarket("9990","信用買残前週比")</f>
        <v>-4800</v>
      </c>
      <c r="O14" s="1">
        <f>_xll.RssMarket("9990","信用倍率")</f>
        <v>1.19</v>
      </c>
      <c r="P14" s="1" t="str">
        <f>_xll.RssMarket("9990","配当落日")</f>
        <v>2026/03/30</v>
      </c>
      <c r="Q14" s="1" t="str">
        <f>_xll.RssMarket("9990","中配落日")</f>
        <v>2026/09/29</v>
      </c>
      <c r="R14" s="1" t="str">
        <f>_xll.RssMarket("9990","権利落日")</f>
        <v/>
      </c>
      <c r="S14" s="1" t="str">
        <f>_xll.RssMarket("9990","決算発表日")</f>
        <v>-</v>
      </c>
      <c r="T14" s="1">
        <f>_xll.RssMarket("9990","年初来高値")</f>
        <v>987</v>
      </c>
      <c r="U14" s="1">
        <f>_xll.RssMarket("9990","年初来安値")</f>
        <v>740</v>
      </c>
      <c r="V14" s="1">
        <f>_xll.RssMarket("9990","上場来高値")</f>
        <v>2702</v>
      </c>
      <c r="W14" s="1">
        <f>_xll.RssMarket("9990","上場来安値")</f>
        <v>230</v>
      </c>
    </row>
    <row r="15" spans="1:23">
      <c r="A15" s="3">
        <v>9991</v>
      </c>
      <c r="B15" s="3">
        <f>_xll.RssMarket("9991","銘柄コード")</f>
        <v>9991</v>
      </c>
      <c r="C15" s="3" t="str">
        <f>_xll.RssMarket("9991","銘柄名称")</f>
        <v>ジェコス</v>
      </c>
      <c r="D15" s="3" t="str">
        <f>_xll.RssMarket("9991","現在日付")</f>
        <v>2026/03/05</v>
      </c>
      <c r="E15" s="3">
        <f>_xll.RssMarket("9991","現在値")</f>
        <v>1860</v>
      </c>
      <c r="F15" s="3">
        <f>_xll.RssMarket("9991","時価総額")</f>
        <v>62860</v>
      </c>
      <c r="G15" s="3">
        <f>_xll.RssMarket("9991","単位株数")</f>
        <v>100</v>
      </c>
      <c r="H15" s="3">
        <f>_xll.RssMarket("9991","配当")</f>
        <v>65</v>
      </c>
      <c r="I15" s="1">
        <f>_xll.RssMarket("9991","PER")</f>
        <v>11.37</v>
      </c>
      <c r="J15" s="1">
        <f>_xll.RssMarket("9991","PBR")</f>
        <v>0.91</v>
      </c>
      <c r="K15" s="1">
        <f>_xll.RssMarket("9991","信用売残")</f>
        <v>5400</v>
      </c>
      <c r="L15" s="1">
        <f>_xll.RssMarket("9991","信用売残前週比")</f>
        <v>500</v>
      </c>
      <c r="M15" s="1">
        <f>_xll.RssMarket("9991","信用買残")</f>
        <v>143600</v>
      </c>
      <c r="N15" s="1">
        <f>_xll.RssMarket("9991","信用買残前週比")</f>
        <v>-10000</v>
      </c>
      <c r="O15" s="1">
        <f>_xll.RssMarket("9991","信用倍率")</f>
        <v>26.59</v>
      </c>
      <c r="P15" s="1" t="str">
        <f>_xll.RssMarket("9991","配当落日")</f>
        <v>2026/03/30</v>
      </c>
      <c r="Q15" s="1" t="str">
        <f>_xll.RssMarket("9991","中配落日")</f>
        <v>2026/09/29</v>
      </c>
      <c r="R15" s="1" t="str">
        <f>_xll.RssMarket("9991","権利落日")</f>
        <v/>
      </c>
      <c r="S15" s="1" t="str">
        <f>_xll.RssMarket("9991","決算発表日")</f>
        <v>-</v>
      </c>
      <c r="T15" s="1">
        <f>_xll.RssMarket("9991","年初来高値")</f>
        <v>1948</v>
      </c>
      <c r="U15" s="1">
        <f>_xll.RssMarket("9991","年初来安値")</f>
        <v>901</v>
      </c>
      <c r="V15" s="1">
        <f>_xll.RssMarket("9991","上場来高値")</f>
        <v>1948</v>
      </c>
      <c r="W15" s="1">
        <f>_xll.RssMarket("9991","上場来安値")</f>
        <v>240</v>
      </c>
    </row>
    <row r="16" spans="1:23">
      <c r="A16" s="3">
        <v>9993</v>
      </c>
      <c r="B16" s="3">
        <f>_xll.RssMarket("9993","銘柄コード")</f>
        <v>9993</v>
      </c>
      <c r="C16" s="3" t="str">
        <f>_xll.RssMarket("9993","銘柄名称")</f>
        <v>ヤマザワ</v>
      </c>
      <c r="D16" s="3" t="str">
        <f>_xll.RssMarket("9993","現在日付")</f>
        <v>2026/03/05</v>
      </c>
      <c r="E16" s="3">
        <f>_xll.RssMarket("9993","現在値")</f>
        <v>1170</v>
      </c>
      <c r="F16" s="3">
        <f>_xll.RssMarket("9993","時価総額")</f>
        <v>12824</v>
      </c>
      <c r="G16" s="3">
        <f>_xll.RssMarket("9993","単位株数")</f>
        <v>100</v>
      </c>
      <c r="H16" s="3">
        <f>_xll.RssMarket("9993","配当")</f>
        <v>27</v>
      </c>
      <c r="I16" s="1">
        <f>_xll.RssMarket("9993","PER")</f>
        <v>8</v>
      </c>
      <c r="J16" s="1">
        <f>_xll.RssMarket("9993","PBR")</f>
        <v>0.47</v>
      </c>
      <c r="K16" s="1" t="str">
        <f>_xll.RssMarket("9993","信用売残")</f>
        <v>-</v>
      </c>
      <c r="L16" s="1" t="str">
        <f>_xll.RssMarket("9993","信用売残前週比")</f>
        <v>-</v>
      </c>
      <c r="M16" s="1">
        <f>_xll.RssMarket("9993","信用買残")</f>
        <v>20300</v>
      </c>
      <c r="N16" s="1">
        <f>_xll.RssMarket("9993","信用買残前週比")</f>
        <v>-3600</v>
      </c>
      <c r="O16" s="1">
        <f>_xll.RssMarket("9993","信用倍率")</f>
        <v>0</v>
      </c>
      <c r="P16" s="1" t="str">
        <f>_xll.RssMarket("9993","配当落日")</f>
        <v>2027/02/25</v>
      </c>
      <c r="Q16" s="1" t="str">
        <f>_xll.RssMarket("9993","中配落日")</f>
        <v>2026/08/28</v>
      </c>
      <c r="R16" s="1" t="str">
        <f>_xll.RssMarket("9993","権利落日")</f>
        <v/>
      </c>
      <c r="S16" s="1" t="str">
        <f>_xll.RssMarket("9993","決算発表日")</f>
        <v>-</v>
      </c>
      <c r="T16" s="1">
        <f>_xll.RssMarket("9993","年初来高値")</f>
        <v>1220</v>
      </c>
      <c r="U16" s="1">
        <f>_xll.RssMarket("9993","年初来安値")</f>
        <v>1085</v>
      </c>
      <c r="V16" s="1">
        <f>_xll.RssMarket("9993","上場来高値")</f>
        <v>2625</v>
      </c>
      <c r="W16" s="1">
        <f>_xll.RssMarket("9993","上場来安値")</f>
        <v>875</v>
      </c>
    </row>
    <row r="17" spans="1:23">
      <c r="A17" s="3">
        <v>9994</v>
      </c>
      <c r="B17" s="3">
        <f>_xll.RssMarket("9994","銘柄コード")</f>
        <v>9994</v>
      </c>
      <c r="C17" s="3" t="str">
        <f>_xll.RssMarket("9994","銘柄名称")</f>
        <v>やまや</v>
      </c>
      <c r="D17" s="3" t="str">
        <f>_xll.RssMarket("9994","現在日付")</f>
        <v>2026/03/05</v>
      </c>
      <c r="E17" s="3">
        <f>_xll.RssMarket("9994","現在値")</f>
        <v>2275</v>
      </c>
      <c r="F17" s="3">
        <f>_xll.RssMarket("9994","時価総額")</f>
        <v>24678</v>
      </c>
      <c r="G17" s="3">
        <f>_xll.RssMarket("9994","単位株数")</f>
        <v>100</v>
      </c>
      <c r="H17" s="3">
        <f>_xll.RssMarket("9994","配当")</f>
        <v>75</v>
      </c>
      <c r="I17" s="1">
        <f>_xll.RssMarket("9994","PER")</f>
        <v>12.58</v>
      </c>
      <c r="J17" s="1">
        <f>_xll.RssMarket("9994","PBR")</f>
        <v>0.68</v>
      </c>
      <c r="K17" s="1">
        <f>_xll.RssMarket("9994","信用売残")</f>
        <v>2200</v>
      </c>
      <c r="L17" s="1">
        <f>_xll.RssMarket("9994","信用売残前週比")</f>
        <v>700</v>
      </c>
      <c r="M17" s="1">
        <f>_xll.RssMarket("9994","信用買残")</f>
        <v>220800</v>
      </c>
      <c r="N17" s="1">
        <f>_xll.RssMarket("9994","信用買残前週比")</f>
        <v>12300</v>
      </c>
      <c r="O17" s="1">
        <f>_xll.RssMarket("9994","信用倍率")</f>
        <v>100.36</v>
      </c>
      <c r="P17" s="1" t="str">
        <f>_xll.RssMarket("9994","配当落日")</f>
        <v>2026/03/30</v>
      </c>
      <c r="Q17" s="1" t="str">
        <f>_xll.RssMarket("9994","中配落日")</f>
        <v>2026/09/29</v>
      </c>
      <c r="R17" s="1" t="str">
        <f>_xll.RssMarket("9994","権利落日")</f>
        <v/>
      </c>
      <c r="S17" s="1" t="str">
        <f>_xll.RssMarket("9994","決算発表日")</f>
        <v>2026/02/12</v>
      </c>
      <c r="T17" s="1">
        <f>_xll.RssMarket("9994","年初来高値")</f>
        <v>2962</v>
      </c>
      <c r="U17" s="1">
        <f>_xll.RssMarket("9994","年初来安値")</f>
        <v>2186</v>
      </c>
      <c r="V17" s="1">
        <f>_xll.RssMarket("9994","上場来高値")</f>
        <v>4160</v>
      </c>
      <c r="W17" s="1">
        <f>_xll.RssMarket("9994","上場来安値")</f>
        <v>428</v>
      </c>
    </row>
    <row r="18" spans="1:23">
      <c r="A18" s="3">
        <v>9996</v>
      </c>
      <c r="B18" s="3">
        <f>_xll.RssMarket("9996","銘柄コード")</f>
        <v>9996</v>
      </c>
      <c r="C18" s="3" t="str">
        <f>_xll.RssMarket("9996","銘柄名称")</f>
        <v>サトー商会</v>
      </c>
      <c r="D18" s="3" t="str">
        <f>_xll.RssMarket("9996","現在日付")</f>
        <v>2026/03/05</v>
      </c>
      <c r="E18" s="3">
        <f>_xll.RssMarket("9996","現在値")</f>
        <v>2386</v>
      </c>
      <c r="F18" s="3">
        <f>_xll.RssMarket("9996","時価総額")</f>
        <v>21838</v>
      </c>
      <c r="G18" s="3">
        <f>_xll.RssMarket("9996","単位株数")</f>
        <v>100</v>
      </c>
      <c r="H18" s="3">
        <f>_xll.RssMarket("9996","配当")</f>
        <v>46</v>
      </c>
      <c r="I18" s="1">
        <f>_xll.RssMarket("9996","PER")</f>
        <v>16.579999999999998</v>
      </c>
      <c r="J18" s="1">
        <f>_xll.RssMarket("9996","PBR")</f>
        <v>0.74</v>
      </c>
      <c r="K18" s="1">
        <f>_xll.RssMarket("9996","信用売残")</f>
        <v>600</v>
      </c>
      <c r="L18" s="1">
        <f>_xll.RssMarket("9996","信用売残前週比")</f>
        <v>500</v>
      </c>
      <c r="M18" s="1">
        <f>_xll.RssMarket("9996","信用買残")</f>
        <v>2600</v>
      </c>
      <c r="N18" s="1">
        <f>_xll.RssMarket("9996","信用買残前週比")</f>
        <v>-100</v>
      </c>
      <c r="O18" s="1">
        <f>_xll.RssMarket("9996","信用倍率")</f>
        <v>4.33</v>
      </c>
      <c r="P18" s="1" t="str">
        <f>_xll.RssMarket("9996","配当落日")</f>
        <v>2026/03/30</v>
      </c>
      <c r="Q18" s="1" t="str">
        <f>_xll.RssMarket("9996","中配落日")</f>
        <v>2026/09/29</v>
      </c>
      <c r="R18" s="1" t="str">
        <f>_xll.RssMarket("9996","権利落日")</f>
        <v/>
      </c>
      <c r="S18" s="1" t="str">
        <f>_xll.RssMarket("9996","決算発表日")</f>
        <v>2026/02/12</v>
      </c>
      <c r="T18" s="1">
        <f>_xll.RssMarket("9996","年初来高値")</f>
        <v>2450</v>
      </c>
      <c r="U18" s="1">
        <f>_xll.RssMarket("9996","年初来安値")</f>
        <v>1791</v>
      </c>
      <c r="V18" s="1">
        <f>_xll.RssMarket("9996","上場来高値")</f>
        <v>2990</v>
      </c>
      <c r="W18" s="1">
        <f>_xll.RssMarket("9996","上場来安値")</f>
        <v>413</v>
      </c>
    </row>
    <row r="19" spans="1:23">
      <c r="A19" s="3"/>
      <c r="B19" s="3"/>
      <c r="C19" s="3"/>
      <c r="D19" s="3"/>
      <c r="E19" s="3"/>
      <c r="F19" s="3"/>
      <c r="G19" s="3"/>
      <c r="H19" s="3"/>
    </row>
    <row r="20" spans="1:23">
      <c r="A20" s="3"/>
      <c r="B20" s="3"/>
      <c r="C20" s="3"/>
      <c r="D20" s="3"/>
      <c r="E20" s="3"/>
      <c r="F20" s="3"/>
      <c r="G20" s="3"/>
      <c r="H20" s="3"/>
    </row>
    <row r="21" spans="1:23">
      <c r="A21" s="3"/>
      <c r="B21" s="3"/>
      <c r="C21" s="3"/>
      <c r="D21" s="3"/>
      <c r="E21" s="3"/>
      <c r="F21" s="3"/>
      <c r="G21" s="3"/>
      <c r="H21" s="3"/>
    </row>
    <row r="22" spans="1:23">
      <c r="A22" s="3"/>
      <c r="B22" s="3"/>
      <c r="C22" s="3"/>
      <c r="D22" s="3"/>
      <c r="E22" s="3"/>
      <c r="F22" s="3"/>
      <c r="G22" s="3"/>
      <c r="H22" s="3"/>
    </row>
    <row r="23" spans="1:23">
      <c r="A23" s="3"/>
      <c r="B23" s="3"/>
      <c r="C23" s="3"/>
      <c r="D23" s="3"/>
      <c r="E23" s="3"/>
      <c r="F23" s="3"/>
      <c r="G23" s="3"/>
      <c r="H23" s="3"/>
    </row>
    <row r="24" spans="1:23">
      <c r="A24" s="3"/>
      <c r="B24" s="3"/>
      <c r="C24" s="3"/>
      <c r="D24" s="3"/>
      <c r="E24" s="3"/>
      <c r="F24" s="3"/>
      <c r="G24" s="3"/>
      <c r="H24" s="3"/>
    </row>
    <row r="25" spans="1:23">
      <c r="A25" s="3"/>
      <c r="B25" s="3"/>
      <c r="C25" s="3"/>
      <c r="D25" s="3"/>
      <c r="E25" s="3"/>
      <c r="F25" s="3"/>
      <c r="G25" s="3"/>
      <c r="H25" s="3"/>
    </row>
    <row r="26" spans="1:23">
      <c r="A26" s="3"/>
      <c r="B26" s="3"/>
      <c r="C26" s="3"/>
      <c r="D26" s="3"/>
      <c r="E26" s="3"/>
      <c r="F26" s="3"/>
      <c r="G26" s="3"/>
      <c r="H26" s="3"/>
    </row>
    <row r="27" spans="1:23">
      <c r="A27" s="3"/>
      <c r="B27" s="3"/>
      <c r="C27" s="3"/>
      <c r="D27" s="3"/>
      <c r="E27" s="3"/>
      <c r="F27" s="3"/>
      <c r="G27" s="3"/>
      <c r="H27" s="3"/>
    </row>
    <row r="28" spans="1:23">
      <c r="A28" s="3"/>
      <c r="B28" s="3"/>
      <c r="C28" s="3"/>
      <c r="D28" s="3"/>
      <c r="E28" s="3"/>
      <c r="F28" s="3"/>
      <c r="G28" s="3"/>
      <c r="H28" s="3"/>
    </row>
    <row r="29" spans="1:23">
      <c r="A29" s="3"/>
      <c r="B29" s="3"/>
      <c r="C29" s="3"/>
      <c r="D29" s="3"/>
      <c r="E29" s="3"/>
      <c r="F29" s="3"/>
      <c r="G29" s="3"/>
      <c r="H29" s="3"/>
    </row>
    <row r="30" spans="1:23">
      <c r="A30" s="3"/>
      <c r="B30" s="3"/>
      <c r="C30" s="3"/>
      <c r="D30" s="3"/>
      <c r="E30" s="3"/>
      <c r="F30" s="3"/>
      <c r="G30" s="3"/>
      <c r="H30" s="3"/>
    </row>
    <row r="31" spans="1:23">
      <c r="A31" s="3"/>
      <c r="B31" s="3"/>
      <c r="C31" s="3"/>
      <c r="D31" s="3"/>
      <c r="E31" s="3"/>
      <c r="F31" s="3"/>
      <c r="G31" s="3"/>
      <c r="H31" s="3"/>
    </row>
    <row r="32" spans="1:23">
      <c r="A32" s="3"/>
      <c r="B32" s="3"/>
      <c r="C32" s="3"/>
      <c r="D32" s="3"/>
      <c r="E32" s="3"/>
      <c r="F32" s="3"/>
      <c r="G32" s="3"/>
      <c r="H32" s="3"/>
    </row>
    <row r="33" spans="1:8">
      <c r="A33" s="3"/>
      <c r="B33" s="3" t="s">
        <v>86</v>
      </c>
      <c r="C33" s="3" t="s">
        <v>87</v>
      </c>
      <c r="D33" s="3"/>
      <c r="E33" s="3" t="s">
        <v>12</v>
      </c>
      <c r="F33" s="3" t="s">
        <v>445</v>
      </c>
      <c r="G33" s="3" t="s">
        <v>419</v>
      </c>
      <c r="H33" s="3" t="s">
        <v>446</v>
      </c>
    </row>
    <row r="34" spans="1:8">
      <c r="A34" s="3"/>
      <c r="B34" s="3"/>
      <c r="C34" s="3"/>
      <c r="D34" s="3"/>
      <c r="E34" s="3" t="s">
        <v>21</v>
      </c>
      <c r="F34" s="3" t="s">
        <v>447</v>
      </c>
      <c r="G34" s="3" t="s">
        <v>422</v>
      </c>
      <c r="H34" s="3" t="s">
        <v>448</v>
      </c>
    </row>
    <row r="35" spans="1:8">
      <c r="A35" s="3"/>
      <c r="B35" s="3"/>
      <c r="C35" s="3"/>
      <c r="D35" s="3"/>
      <c r="E35" s="3" t="s">
        <v>27</v>
      </c>
      <c r="F35" s="3" t="s">
        <v>194</v>
      </c>
      <c r="G35" s="3"/>
      <c r="H35" s="3" t="s">
        <v>411</v>
      </c>
    </row>
    <row r="36" spans="1:8">
      <c r="A36" s="3"/>
      <c r="B36" s="3"/>
      <c r="C36" s="3"/>
      <c r="D36" s="3"/>
      <c r="E36" s="3" t="s">
        <v>33</v>
      </c>
      <c r="F36" s="3" t="s">
        <v>412</v>
      </c>
      <c r="G36" s="3"/>
      <c r="H36" s="3" t="s">
        <v>413</v>
      </c>
    </row>
    <row r="37" spans="1:8">
      <c r="A37" s="3"/>
      <c r="B37" s="3"/>
      <c r="C37" s="3"/>
      <c r="D37" s="3"/>
      <c r="E37" s="3" t="s">
        <v>39</v>
      </c>
      <c r="F37" s="3" t="s">
        <v>215</v>
      </c>
      <c r="G37" s="3"/>
      <c r="H37" s="3" t="s">
        <v>414</v>
      </c>
    </row>
    <row r="38" spans="1:8">
      <c r="A38" s="3"/>
      <c r="B38" s="3"/>
      <c r="C38" s="3"/>
      <c r="D38" s="3"/>
      <c r="E38" s="3" t="s">
        <v>45</v>
      </c>
      <c r="F38" s="3" t="s">
        <v>415</v>
      </c>
      <c r="G38" s="3"/>
      <c r="H38" s="3" t="s">
        <v>449</v>
      </c>
    </row>
    <row r="39" spans="1:8">
      <c r="A39" s="3"/>
      <c r="B39" s="3"/>
      <c r="C39" s="3"/>
      <c r="D39" s="3"/>
      <c r="E39" s="3" t="s">
        <v>51</v>
      </c>
      <c r="F39" s="3" t="s">
        <v>241</v>
      </c>
      <c r="G39" s="3"/>
      <c r="H39" s="3" t="s">
        <v>450</v>
      </c>
    </row>
    <row r="40" spans="1:8">
      <c r="A40" s="3"/>
      <c r="B40" s="3"/>
      <c r="C40" s="3"/>
      <c r="D40" s="3"/>
      <c r="E40" s="3" t="s">
        <v>57</v>
      </c>
      <c r="F40" s="3" t="s">
        <v>417</v>
      </c>
      <c r="G40" s="3"/>
      <c r="H40" s="3" t="s">
        <v>451</v>
      </c>
    </row>
    <row r="41" spans="1:8">
      <c r="A41" s="3"/>
      <c r="B41" s="3"/>
      <c r="C41" s="3"/>
      <c r="D41" s="3"/>
      <c r="E41" s="3" t="s">
        <v>63</v>
      </c>
      <c r="F41" s="3" t="s">
        <v>421</v>
      </c>
      <c r="G41" s="3"/>
      <c r="H41" s="3" t="s">
        <v>452</v>
      </c>
    </row>
    <row r="42" spans="1:8">
      <c r="A42" s="3"/>
      <c r="B42" s="3"/>
      <c r="C42" s="3"/>
      <c r="D42" s="3"/>
      <c r="E42" s="3" t="s">
        <v>69</v>
      </c>
      <c r="F42" s="3" t="s">
        <v>318</v>
      </c>
      <c r="G42" s="3"/>
      <c r="H42" s="3" t="s">
        <v>420</v>
      </c>
    </row>
    <row r="43" spans="1:8">
      <c r="A43" s="3"/>
      <c r="B43" s="3"/>
      <c r="C43" s="3"/>
      <c r="D43" s="3"/>
      <c r="E43" s="3" t="s">
        <v>75</v>
      </c>
      <c r="F43" s="3" t="s">
        <v>424</v>
      </c>
      <c r="G43" s="3"/>
      <c r="H43" s="3" t="s">
        <v>425</v>
      </c>
    </row>
    <row r="44" spans="1:8">
      <c r="A44" s="3"/>
      <c r="B44" s="3"/>
      <c r="C44" s="3"/>
      <c r="D44" s="3"/>
      <c r="E44" s="3" t="s">
        <v>126</v>
      </c>
      <c r="F44" s="3" t="s">
        <v>453</v>
      </c>
      <c r="G44" s="3"/>
      <c r="H44" s="3" t="s">
        <v>454</v>
      </c>
    </row>
    <row r="45" spans="1:8">
      <c r="A45" s="3"/>
      <c r="B45" s="3"/>
      <c r="C45" s="3"/>
      <c r="D45" s="3"/>
      <c r="E45" s="3" t="s">
        <v>131</v>
      </c>
      <c r="F45" s="3" t="s">
        <v>455</v>
      </c>
      <c r="G45" s="3"/>
      <c r="H45" s="3" t="s">
        <v>456</v>
      </c>
    </row>
    <row r="46" spans="1:8">
      <c r="A46" s="3"/>
      <c r="B46" s="3"/>
      <c r="C46" s="3"/>
      <c r="D46" s="3"/>
      <c r="E46" s="3" t="s">
        <v>219</v>
      </c>
      <c r="F46" s="3" t="s">
        <v>430</v>
      </c>
      <c r="G46" s="3"/>
      <c r="H46" s="3" t="s">
        <v>431</v>
      </c>
    </row>
    <row r="47" spans="1:8">
      <c r="A47" s="3"/>
      <c r="B47" s="3"/>
      <c r="C47" s="3"/>
      <c r="D47" s="3"/>
      <c r="E47" s="3" t="s">
        <v>222</v>
      </c>
      <c r="F47" s="3" t="s">
        <v>457</v>
      </c>
      <c r="G47" s="3"/>
      <c r="H47" s="3" t="s">
        <v>458</v>
      </c>
    </row>
    <row r="48" spans="1:8" hidden="1">
      <c r="A48" s="4" t="s">
        <v>2</v>
      </c>
      <c r="B48" s="4"/>
      <c r="C48" s="4"/>
      <c r="D48" s="4" t="s">
        <v>379</v>
      </c>
      <c r="E48" s="4"/>
      <c r="F48" s="4"/>
      <c r="G48" s="4"/>
      <c r="H48" s="4"/>
    </row>
    <row r="49" spans="1:8" hidden="1">
      <c r="A49" s="4" t="s">
        <v>0</v>
      </c>
      <c r="B49" s="4" t="s">
        <v>2</v>
      </c>
      <c r="C49" s="4" t="s">
        <v>3</v>
      </c>
      <c r="D49" s="4" t="s">
        <v>380</v>
      </c>
      <c r="E49" s="4" t="s">
        <v>1</v>
      </c>
      <c r="F49" s="4" t="s">
        <v>381</v>
      </c>
      <c r="G49" s="4" t="s">
        <v>403</v>
      </c>
      <c r="H49" s="4" t="s">
        <v>404</v>
      </c>
    </row>
    <row r="50" spans="1:8">
      <c r="A50" s="3" t="s">
        <v>81</v>
      </c>
      <c r="B50" s="3" t="s">
        <v>90</v>
      </c>
      <c r="C50" s="3" t="s">
        <v>91</v>
      </c>
      <c r="D50" s="3"/>
      <c r="E50" s="3" t="s">
        <v>12</v>
      </c>
      <c r="F50" s="3" t="s">
        <v>255</v>
      </c>
      <c r="G50" s="3"/>
      <c r="H50" s="3" t="s">
        <v>459</v>
      </c>
    </row>
    <row r="51" spans="1:8">
      <c r="A51" s="3"/>
      <c r="B51" s="3"/>
      <c r="C51" s="3"/>
      <c r="D51" s="3"/>
      <c r="E51" s="3" t="s">
        <v>21</v>
      </c>
      <c r="F51" s="3" t="s">
        <v>405</v>
      </c>
      <c r="G51" s="3"/>
      <c r="H51" s="3" t="s">
        <v>406</v>
      </c>
    </row>
    <row r="52" spans="1:8">
      <c r="A52" s="3"/>
      <c r="B52" s="3"/>
      <c r="C52" s="3"/>
      <c r="D52" s="3"/>
      <c r="E52" s="3" t="s">
        <v>27</v>
      </c>
      <c r="F52" s="3" t="s">
        <v>407</v>
      </c>
      <c r="G52" s="3"/>
      <c r="H52" s="3" t="s">
        <v>408</v>
      </c>
    </row>
    <row r="53" spans="1:8">
      <c r="A53" s="3"/>
      <c r="B53" s="3"/>
      <c r="C53" s="3"/>
      <c r="D53" s="3"/>
      <c r="E53" s="3" t="s">
        <v>33</v>
      </c>
      <c r="F53" s="3" t="s">
        <v>409</v>
      </c>
      <c r="G53" s="3"/>
      <c r="H53" s="3" t="s">
        <v>410</v>
      </c>
    </row>
    <row r="54" spans="1:8">
      <c r="A54" s="3"/>
      <c r="B54" s="3"/>
      <c r="C54" s="3"/>
      <c r="D54" s="3"/>
      <c r="E54" s="3" t="s">
        <v>39</v>
      </c>
      <c r="F54" s="3" t="s">
        <v>194</v>
      </c>
      <c r="G54" s="3"/>
      <c r="H54" s="3" t="s">
        <v>460</v>
      </c>
    </row>
    <row r="55" spans="1:8">
      <c r="A55" s="3"/>
      <c r="B55" s="3"/>
      <c r="C55" s="3"/>
      <c r="D55" s="3"/>
      <c r="E55" s="3" t="s">
        <v>45</v>
      </c>
      <c r="F55" s="3" t="s">
        <v>412</v>
      </c>
      <c r="G55" s="3"/>
      <c r="H55" s="3" t="s">
        <v>413</v>
      </c>
    </row>
    <row r="56" spans="1:8">
      <c r="A56" s="3"/>
      <c r="B56" s="3"/>
      <c r="C56" s="3"/>
      <c r="D56" s="3"/>
      <c r="E56" s="3" t="s">
        <v>51</v>
      </c>
      <c r="F56" s="3" t="s">
        <v>415</v>
      </c>
      <c r="G56" s="3"/>
      <c r="H56" s="3" t="s">
        <v>461</v>
      </c>
    </row>
    <row r="57" spans="1:8">
      <c r="A57" s="3"/>
      <c r="B57" s="3"/>
      <c r="C57" s="3"/>
      <c r="D57" s="3"/>
      <c r="E57" s="3" t="s">
        <v>57</v>
      </c>
      <c r="F57" s="3" t="s">
        <v>462</v>
      </c>
      <c r="G57" s="3" t="s">
        <v>434</v>
      </c>
      <c r="H57" s="3" t="s">
        <v>463</v>
      </c>
    </row>
    <row r="58" spans="1:8">
      <c r="A58" s="3"/>
      <c r="B58" s="3"/>
      <c r="C58" s="3"/>
      <c r="D58" s="3"/>
      <c r="E58" s="3" t="s">
        <v>63</v>
      </c>
      <c r="F58" s="3" t="s">
        <v>464</v>
      </c>
      <c r="G58" s="3"/>
      <c r="H58" s="3" t="s">
        <v>465</v>
      </c>
    </row>
    <row r="59" spans="1:8">
      <c r="A59" s="3"/>
      <c r="B59" s="3"/>
      <c r="C59" s="3"/>
      <c r="D59" s="3"/>
      <c r="E59" s="3" t="s">
        <v>69</v>
      </c>
      <c r="F59" s="3" t="s">
        <v>421</v>
      </c>
      <c r="G59" s="3"/>
      <c r="H59" s="3" t="s">
        <v>466</v>
      </c>
    </row>
    <row r="60" spans="1:8">
      <c r="A60" s="3"/>
      <c r="B60" s="3"/>
      <c r="C60" s="3"/>
      <c r="D60" s="3"/>
      <c r="E60" s="3" t="s">
        <v>75</v>
      </c>
      <c r="F60" s="3" t="s">
        <v>203</v>
      </c>
      <c r="G60" s="3"/>
      <c r="H60" s="3" t="s">
        <v>423</v>
      </c>
    </row>
    <row r="61" spans="1:8">
      <c r="A61" s="3"/>
      <c r="B61" s="3"/>
      <c r="C61" s="3"/>
      <c r="D61" s="3"/>
      <c r="E61" s="3" t="s">
        <v>126</v>
      </c>
      <c r="F61" s="3" t="s">
        <v>273</v>
      </c>
      <c r="G61" s="3"/>
      <c r="H61" s="3" t="s">
        <v>467</v>
      </c>
    </row>
    <row r="62" spans="1:8">
      <c r="A62" s="3"/>
      <c r="B62" s="3"/>
      <c r="C62" s="3"/>
      <c r="D62" s="3"/>
      <c r="E62" s="3" t="s">
        <v>131</v>
      </c>
      <c r="F62" s="3" t="s">
        <v>275</v>
      </c>
      <c r="G62" s="3"/>
      <c r="H62" s="3" t="s">
        <v>468</v>
      </c>
    </row>
    <row r="63" spans="1:8">
      <c r="A63" s="3"/>
      <c r="B63" s="3"/>
      <c r="C63" s="3"/>
      <c r="D63" s="3"/>
      <c r="E63" s="3" t="s">
        <v>219</v>
      </c>
      <c r="F63" s="3" t="s">
        <v>426</v>
      </c>
      <c r="G63" s="3"/>
      <c r="H63" s="3" t="s">
        <v>469</v>
      </c>
    </row>
    <row r="64" spans="1:8">
      <c r="A64" s="3"/>
      <c r="B64" s="3"/>
      <c r="C64" s="3"/>
      <c r="D64" s="3"/>
      <c r="E64" s="3" t="s">
        <v>222</v>
      </c>
      <c r="F64" s="3" t="s">
        <v>199</v>
      </c>
      <c r="G64" s="3"/>
      <c r="H64" s="3" t="s">
        <v>427</v>
      </c>
    </row>
    <row r="65" spans="1:8">
      <c r="A65" s="3"/>
      <c r="B65" s="3"/>
      <c r="C65" s="3"/>
      <c r="D65" s="3"/>
      <c r="E65" s="3" t="s">
        <v>225</v>
      </c>
      <c r="F65" s="3" t="s">
        <v>428</v>
      </c>
      <c r="G65" s="3"/>
      <c r="H65" s="3" t="s">
        <v>429</v>
      </c>
    </row>
    <row r="66" spans="1:8">
      <c r="A66" s="3"/>
      <c r="B66" s="3"/>
      <c r="C66" s="3"/>
      <c r="D66" s="3"/>
      <c r="E66" s="3" t="s">
        <v>228</v>
      </c>
      <c r="F66" s="3" t="s">
        <v>433</v>
      </c>
      <c r="G66" s="3" t="s">
        <v>434</v>
      </c>
      <c r="H66" s="3" t="s">
        <v>435</v>
      </c>
    </row>
    <row r="67" spans="1:8">
      <c r="A67" s="3"/>
      <c r="B67" s="3"/>
      <c r="C67" s="3"/>
      <c r="D67" s="3"/>
      <c r="E67" s="3" t="s">
        <v>231</v>
      </c>
      <c r="F67" s="3" t="s">
        <v>437</v>
      </c>
      <c r="G67" s="3"/>
      <c r="H67" s="3" t="s">
        <v>438</v>
      </c>
    </row>
    <row r="68" spans="1:8">
      <c r="A68" s="3"/>
      <c r="B68" s="3"/>
      <c r="C68" s="3"/>
      <c r="D68" s="3"/>
      <c r="E68" s="3" t="s">
        <v>234</v>
      </c>
      <c r="F68" s="3" t="s">
        <v>440</v>
      </c>
      <c r="G68" s="3"/>
      <c r="H68" s="3" t="s">
        <v>441</v>
      </c>
    </row>
    <row r="69" spans="1:8">
      <c r="A69" s="3"/>
      <c r="B69" s="3"/>
      <c r="C69" s="3"/>
      <c r="D69" s="3"/>
      <c r="E69" s="3" t="s">
        <v>237</v>
      </c>
      <c r="F69" s="3" t="s">
        <v>470</v>
      </c>
      <c r="G69" s="3" t="s">
        <v>419</v>
      </c>
      <c r="H69" s="3" t="s">
        <v>471</v>
      </c>
    </row>
    <row r="70" spans="1:8">
      <c r="A70" s="3"/>
      <c r="B70" s="3"/>
      <c r="C70" s="3"/>
      <c r="D70" s="3"/>
      <c r="E70" s="3" t="s">
        <v>246</v>
      </c>
      <c r="F70" s="3" t="s">
        <v>472</v>
      </c>
      <c r="G70" s="3"/>
      <c r="H70" s="3" t="s">
        <v>473</v>
      </c>
    </row>
    <row r="71" spans="1:8">
      <c r="A71" s="3"/>
      <c r="B71" s="3"/>
      <c r="C71" s="3"/>
      <c r="D71" s="3"/>
      <c r="E71" s="3" t="s">
        <v>247</v>
      </c>
      <c r="F71" s="3" t="s">
        <v>474</v>
      </c>
      <c r="G71" s="3"/>
      <c r="H71" s="3" t="s">
        <v>475</v>
      </c>
    </row>
    <row r="72" spans="1:8">
      <c r="A72" s="3"/>
      <c r="B72" s="3"/>
      <c r="C72" s="3"/>
      <c r="D72" s="3"/>
      <c r="E72" s="3" t="s">
        <v>305</v>
      </c>
      <c r="F72" s="3" t="s">
        <v>476</v>
      </c>
      <c r="G72" s="3"/>
      <c r="H72" s="3" t="s">
        <v>477</v>
      </c>
    </row>
    <row r="73" spans="1:8">
      <c r="A73" s="3"/>
      <c r="B73" s="3"/>
      <c r="C73" s="3"/>
      <c r="D73" s="3"/>
      <c r="E73" s="3" t="s">
        <v>307</v>
      </c>
      <c r="F73" s="3" t="s">
        <v>478</v>
      </c>
      <c r="G73" s="3"/>
      <c r="H73" s="3" t="s">
        <v>479</v>
      </c>
    </row>
    <row r="74" spans="1:8">
      <c r="A74" s="3"/>
      <c r="B74" s="3"/>
      <c r="C74" s="3"/>
      <c r="D74" s="3"/>
      <c r="E74" s="3" t="s">
        <v>432</v>
      </c>
      <c r="F74" s="3" t="s">
        <v>480</v>
      </c>
      <c r="G74" s="3"/>
      <c r="H74" s="3" t="s">
        <v>481</v>
      </c>
    </row>
    <row r="75" spans="1:8">
      <c r="A75" s="3"/>
      <c r="B75" s="3" t="s">
        <v>94</v>
      </c>
      <c r="C75" s="3" t="s">
        <v>95</v>
      </c>
      <c r="D75" s="3"/>
      <c r="E75" s="3" t="s">
        <v>12</v>
      </c>
      <c r="F75" s="3" t="s">
        <v>445</v>
      </c>
      <c r="G75" s="3" t="s">
        <v>419</v>
      </c>
      <c r="H75" s="3" t="s">
        <v>446</v>
      </c>
    </row>
    <row r="76" spans="1:8">
      <c r="A76" s="3"/>
      <c r="B76" s="3"/>
      <c r="C76" s="3"/>
      <c r="D76" s="3"/>
      <c r="E76" s="3" t="s">
        <v>21</v>
      </c>
      <c r="F76" s="3" t="s">
        <v>194</v>
      </c>
      <c r="G76" s="3"/>
      <c r="H76" s="3" t="s">
        <v>460</v>
      </c>
    </row>
    <row r="77" spans="1:8">
      <c r="A77" s="3"/>
      <c r="B77" s="3"/>
      <c r="C77" s="3"/>
      <c r="D77" s="3"/>
      <c r="E77" s="3" t="s">
        <v>27</v>
      </c>
      <c r="F77" s="3" t="s">
        <v>412</v>
      </c>
      <c r="G77" s="3"/>
      <c r="H77" s="3" t="s">
        <v>413</v>
      </c>
    </row>
    <row r="78" spans="1:8">
      <c r="A78" s="3"/>
      <c r="B78" s="3"/>
      <c r="C78" s="3"/>
      <c r="D78" s="3"/>
      <c r="E78" s="3" t="s">
        <v>33</v>
      </c>
      <c r="F78" s="3" t="s">
        <v>415</v>
      </c>
      <c r="G78" s="3"/>
      <c r="H78" s="3" t="s">
        <v>461</v>
      </c>
    </row>
    <row r="79" spans="1:8">
      <c r="A79" s="3"/>
      <c r="B79" s="3"/>
      <c r="C79" s="3"/>
      <c r="D79" s="3"/>
      <c r="E79" s="3" t="s">
        <v>39</v>
      </c>
      <c r="F79" s="3" t="s">
        <v>464</v>
      </c>
      <c r="G79" s="3"/>
      <c r="H79" s="3" t="s">
        <v>482</v>
      </c>
    </row>
    <row r="80" spans="1:8">
      <c r="A80" s="3"/>
      <c r="B80" s="3"/>
      <c r="C80" s="3"/>
      <c r="D80" s="3"/>
      <c r="E80" s="3" t="s">
        <v>45</v>
      </c>
      <c r="F80" s="3" t="s">
        <v>421</v>
      </c>
      <c r="G80" s="3"/>
      <c r="H80" s="3" t="s">
        <v>466</v>
      </c>
    </row>
    <row r="81" spans="1:8">
      <c r="A81" s="3"/>
      <c r="B81" s="3"/>
      <c r="C81" s="3"/>
      <c r="D81" s="3"/>
      <c r="E81" s="3" t="s">
        <v>51</v>
      </c>
      <c r="F81" s="3" t="s">
        <v>424</v>
      </c>
      <c r="G81" s="3"/>
      <c r="H81" s="3" t="s">
        <v>425</v>
      </c>
    </row>
    <row r="82" spans="1:8">
      <c r="A82" s="3"/>
      <c r="B82" s="3"/>
      <c r="C82" s="3"/>
      <c r="D82" s="3"/>
      <c r="E82" s="3" t="s">
        <v>57</v>
      </c>
      <c r="F82" s="3" t="s">
        <v>453</v>
      </c>
      <c r="G82" s="3"/>
      <c r="H82" s="3" t="s">
        <v>454</v>
      </c>
    </row>
    <row r="83" spans="1:8">
      <c r="A83" s="3"/>
      <c r="B83" s="3"/>
      <c r="C83" s="3"/>
      <c r="D83" s="3"/>
      <c r="E83" s="3" t="s">
        <v>63</v>
      </c>
      <c r="F83" s="3" t="s">
        <v>455</v>
      </c>
      <c r="G83" s="3"/>
      <c r="H83" s="3" t="s">
        <v>456</v>
      </c>
    </row>
    <row r="84" spans="1:8">
      <c r="A84" s="3"/>
      <c r="B84" s="3"/>
      <c r="C84" s="3"/>
      <c r="D84" s="3"/>
      <c r="E84" s="3" t="s">
        <v>69</v>
      </c>
      <c r="F84" s="3" t="s">
        <v>483</v>
      </c>
      <c r="G84" s="3"/>
      <c r="H84" s="3" t="s">
        <v>484</v>
      </c>
    </row>
    <row r="85" spans="1:8">
      <c r="A85" s="3"/>
      <c r="B85" s="3"/>
      <c r="C85" s="3"/>
      <c r="D85" s="3"/>
      <c r="E85" s="3" t="s">
        <v>75</v>
      </c>
      <c r="F85" s="3" t="s">
        <v>485</v>
      </c>
      <c r="G85" s="3"/>
      <c r="H85" s="3" t="s">
        <v>486</v>
      </c>
    </row>
    <row r="86" spans="1:8">
      <c r="A86" s="3"/>
      <c r="B86" s="3"/>
      <c r="C86" s="3"/>
      <c r="D86" s="3"/>
      <c r="E86" s="3" t="s">
        <v>126</v>
      </c>
      <c r="F86" s="3" t="s">
        <v>487</v>
      </c>
      <c r="G86" s="3"/>
      <c r="H86" s="3" t="s">
        <v>488</v>
      </c>
    </row>
    <row r="87" spans="1:8">
      <c r="A87" s="3"/>
      <c r="B87" s="3" t="s">
        <v>98</v>
      </c>
      <c r="C87" s="3" t="s">
        <v>99</v>
      </c>
      <c r="D87" s="3"/>
      <c r="E87" s="3" t="s">
        <v>12</v>
      </c>
      <c r="F87" s="3" t="s">
        <v>194</v>
      </c>
      <c r="G87" s="3"/>
      <c r="H87" s="3" t="s">
        <v>411</v>
      </c>
    </row>
    <row r="88" spans="1:8">
      <c r="A88" s="3"/>
      <c r="B88" s="3"/>
      <c r="C88" s="3"/>
      <c r="D88" s="3"/>
      <c r="E88" s="3" t="s">
        <v>21</v>
      </c>
      <c r="F88" s="3" t="s">
        <v>412</v>
      </c>
      <c r="G88" s="3"/>
      <c r="H88" s="3" t="s">
        <v>413</v>
      </c>
    </row>
    <row r="89" spans="1:8">
      <c r="A89" s="3"/>
      <c r="B89" s="3"/>
      <c r="C89" s="3"/>
      <c r="D89" s="3"/>
      <c r="E89" s="3" t="s">
        <v>27</v>
      </c>
      <c r="F89" s="3" t="s">
        <v>215</v>
      </c>
      <c r="G89" s="3"/>
      <c r="H89" s="3" t="s">
        <v>414</v>
      </c>
    </row>
    <row r="90" spans="1:8">
      <c r="A90" s="3"/>
      <c r="B90" s="3"/>
      <c r="C90" s="3"/>
      <c r="D90" s="3"/>
      <c r="E90" s="3" t="s">
        <v>33</v>
      </c>
      <c r="F90" s="3" t="s">
        <v>489</v>
      </c>
      <c r="G90" s="3"/>
      <c r="H90" s="3" t="s">
        <v>490</v>
      </c>
    </row>
    <row r="91" spans="1:8">
      <c r="A91" s="3"/>
      <c r="B91" s="3"/>
      <c r="C91" s="3"/>
      <c r="D91" s="3"/>
      <c r="E91" s="3" t="s">
        <v>39</v>
      </c>
      <c r="F91" s="3" t="s">
        <v>491</v>
      </c>
      <c r="G91" s="3"/>
      <c r="H91" s="3" t="s">
        <v>492</v>
      </c>
    </row>
    <row r="92" spans="1:8">
      <c r="A92" s="3"/>
      <c r="B92" s="3"/>
      <c r="C92" s="3"/>
      <c r="D92" s="3"/>
      <c r="E92" s="3" t="s">
        <v>45</v>
      </c>
      <c r="F92" s="3" t="s">
        <v>493</v>
      </c>
      <c r="G92" s="3"/>
      <c r="H92" s="3" t="s">
        <v>494</v>
      </c>
    </row>
    <row r="93" spans="1:8">
      <c r="A93" s="3"/>
      <c r="B93" s="3"/>
      <c r="C93" s="3"/>
      <c r="D93" s="3"/>
      <c r="E93" s="3" t="s">
        <v>51</v>
      </c>
      <c r="F93" s="3" t="s">
        <v>495</v>
      </c>
      <c r="G93" s="3"/>
      <c r="H93" s="3" t="s">
        <v>496</v>
      </c>
    </row>
    <row r="94" spans="1:8">
      <c r="A94" s="3"/>
      <c r="B94" s="3"/>
      <c r="C94" s="3"/>
      <c r="D94" s="3"/>
      <c r="E94" s="3" t="s">
        <v>57</v>
      </c>
      <c r="F94" s="3" t="s">
        <v>497</v>
      </c>
      <c r="G94" s="3"/>
      <c r="H94" s="3" t="s">
        <v>498</v>
      </c>
    </row>
    <row r="95" spans="1:8">
      <c r="A95" s="3"/>
      <c r="B95" s="3"/>
      <c r="C95" s="3"/>
      <c r="D95" s="3"/>
      <c r="E95" s="3" t="s">
        <v>63</v>
      </c>
      <c r="F95" s="3" t="s">
        <v>499</v>
      </c>
      <c r="G95" s="3"/>
      <c r="H95" s="3" t="s">
        <v>500</v>
      </c>
    </row>
    <row r="96" spans="1:8">
      <c r="A96" s="3"/>
      <c r="B96" s="3"/>
      <c r="C96" s="3"/>
      <c r="D96" s="3"/>
      <c r="E96" s="3" t="s">
        <v>69</v>
      </c>
      <c r="F96" s="3" t="s">
        <v>501</v>
      </c>
      <c r="G96" s="3"/>
      <c r="H96" s="3" t="s">
        <v>502</v>
      </c>
    </row>
    <row r="97" spans="1:8">
      <c r="A97" s="3"/>
      <c r="B97" s="3"/>
      <c r="C97" s="3"/>
      <c r="D97" s="3"/>
      <c r="E97" s="3" t="s">
        <v>75</v>
      </c>
      <c r="F97" s="3" t="s">
        <v>503</v>
      </c>
      <c r="G97" s="3"/>
      <c r="H97" s="3" t="s">
        <v>504</v>
      </c>
    </row>
    <row r="98" spans="1:8">
      <c r="A98" s="3"/>
      <c r="B98" s="3"/>
      <c r="C98" s="3"/>
      <c r="D98" s="3"/>
      <c r="E98" s="3" t="s">
        <v>126</v>
      </c>
      <c r="F98" s="3" t="s">
        <v>505</v>
      </c>
      <c r="G98" s="3"/>
      <c r="H98" s="3" t="s">
        <v>506</v>
      </c>
    </row>
    <row r="99" spans="1:8">
      <c r="A99" s="3"/>
      <c r="B99" s="3"/>
      <c r="C99" s="3"/>
      <c r="D99" s="3"/>
      <c r="E99" s="3" t="s">
        <v>131</v>
      </c>
      <c r="F99" s="3" t="s">
        <v>507</v>
      </c>
      <c r="G99" s="3"/>
      <c r="H99" s="3" t="s">
        <v>508</v>
      </c>
    </row>
    <row r="100" spans="1:8">
      <c r="A100" s="3"/>
      <c r="B100" s="3"/>
      <c r="C100" s="3"/>
      <c r="D100" s="3"/>
      <c r="E100" s="3" t="s">
        <v>219</v>
      </c>
      <c r="F100" s="3" t="s">
        <v>509</v>
      </c>
      <c r="G100" s="3"/>
      <c r="H100" s="3" t="s">
        <v>510</v>
      </c>
    </row>
    <row r="101" spans="1:8" hidden="1">
      <c r="A101" s="4" t="s">
        <v>2</v>
      </c>
      <c r="B101" s="4"/>
      <c r="C101" s="4"/>
      <c r="D101" s="4" t="s">
        <v>379</v>
      </c>
      <c r="E101" s="4"/>
      <c r="F101" s="4"/>
      <c r="G101" s="4"/>
      <c r="H101" s="4"/>
    </row>
    <row r="102" spans="1:8" hidden="1">
      <c r="A102" s="4" t="s">
        <v>0</v>
      </c>
      <c r="B102" s="4" t="s">
        <v>2</v>
      </c>
      <c r="C102" s="4" t="s">
        <v>3</v>
      </c>
      <c r="D102" s="4" t="s">
        <v>380</v>
      </c>
      <c r="E102" s="4" t="s">
        <v>1</v>
      </c>
      <c r="F102" s="4" t="s">
        <v>381</v>
      </c>
      <c r="G102" s="4" t="s">
        <v>403</v>
      </c>
      <c r="H102" s="4" t="s">
        <v>404</v>
      </c>
    </row>
    <row r="103" spans="1:8">
      <c r="A103" s="3" t="s">
        <v>81</v>
      </c>
      <c r="B103" s="3" t="s">
        <v>98</v>
      </c>
      <c r="C103" s="3" t="s">
        <v>99</v>
      </c>
      <c r="D103" s="3"/>
      <c r="E103" s="3" t="s">
        <v>222</v>
      </c>
      <c r="F103" s="3" t="s">
        <v>511</v>
      </c>
      <c r="G103" s="3"/>
      <c r="H103" s="3" t="s">
        <v>512</v>
      </c>
    </row>
    <row r="104" spans="1:8">
      <c r="A104" s="3"/>
      <c r="B104" s="3"/>
      <c r="C104" s="3"/>
      <c r="D104" s="3"/>
      <c r="E104" s="3" t="s">
        <v>225</v>
      </c>
      <c r="F104" s="3" t="s">
        <v>513</v>
      </c>
      <c r="G104" s="3"/>
      <c r="H104" s="3" t="s">
        <v>514</v>
      </c>
    </row>
    <row r="105" spans="1:8">
      <c r="A105" s="3"/>
      <c r="B105" s="3"/>
      <c r="C105" s="3"/>
      <c r="D105" s="3"/>
      <c r="E105" s="3" t="s">
        <v>228</v>
      </c>
      <c r="F105" s="3" t="s">
        <v>515</v>
      </c>
      <c r="G105" s="3"/>
      <c r="H105" s="3" t="s">
        <v>516</v>
      </c>
    </row>
    <row r="106" spans="1:8">
      <c r="A106" s="3"/>
      <c r="B106" s="3"/>
      <c r="C106" s="3"/>
      <c r="D106" s="3"/>
      <c r="E106" s="3" t="s">
        <v>231</v>
      </c>
      <c r="F106" s="3" t="s">
        <v>517</v>
      </c>
      <c r="G106" s="3"/>
      <c r="H106" s="3" t="s">
        <v>518</v>
      </c>
    </row>
    <row r="107" spans="1:8">
      <c r="A107" s="3"/>
      <c r="B107" s="3" t="s">
        <v>102</v>
      </c>
      <c r="C107" s="3" t="s">
        <v>103</v>
      </c>
      <c r="D107" s="3"/>
      <c r="E107" s="3" t="s">
        <v>12</v>
      </c>
      <c r="F107" s="3" t="s">
        <v>194</v>
      </c>
      <c r="G107" s="3"/>
      <c r="H107" s="3" t="s">
        <v>411</v>
      </c>
    </row>
    <row r="108" spans="1:8">
      <c r="A108" s="3"/>
      <c r="B108" s="3"/>
      <c r="C108" s="3"/>
      <c r="D108" s="3"/>
      <c r="E108" s="3" t="s">
        <v>21</v>
      </c>
      <c r="F108" s="3" t="s">
        <v>412</v>
      </c>
      <c r="G108" s="3"/>
      <c r="H108" s="3" t="s">
        <v>413</v>
      </c>
    </row>
    <row r="109" spans="1:8">
      <c r="A109" s="3"/>
      <c r="B109" s="3"/>
      <c r="C109" s="3"/>
      <c r="D109" s="3"/>
      <c r="E109" s="3" t="s">
        <v>27</v>
      </c>
      <c r="F109" s="3" t="s">
        <v>215</v>
      </c>
      <c r="G109" s="3"/>
      <c r="H109" s="3" t="s">
        <v>519</v>
      </c>
    </row>
    <row r="110" spans="1:8">
      <c r="A110" s="3"/>
      <c r="B110" s="3"/>
      <c r="C110" s="3"/>
      <c r="D110" s="3"/>
      <c r="E110" s="3" t="s">
        <v>33</v>
      </c>
      <c r="F110" s="3" t="s">
        <v>253</v>
      </c>
      <c r="G110" s="3"/>
      <c r="H110" s="3" t="s">
        <v>520</v>
      </c>
    </row>
    <row r="111" spans="1:8">
      <c r="A111" s="3"/>
      <c r="B111" s="3"/>
      <c r="C111" s="3"/>
      <c r="D111" s="3"/>
      <c r="E111" s="3" t="s">
        <v>39</v>
      </c>
      <c r="F111" s="3" t="s">
        <v>241</v>
      </c>
      <c r="G111" s="3"/>
      <c r="H111" s="3" t="s">
        <v>416</v>
      </c>
    </row>
    <row r="112" spans="1:8">
      <c r="A112" s="3"/>
      <c r="B112" s="3"/>
      <c r="C112" s="3"/>
      <c r="D112" s="3"/>
      <c r="E112" s="3" t="s">
        <v>45</v>
      </c>
      <c r="F112" s="3" t="s">
        <v>417</v>
      </c>
      <c r="G112" s="3"/>
      <c r="H112" s="3" t="s">
        <v>418</v>
      </c>
    </row>
    <row r="113" spans="1:8">
      <c r="A113" s="3"/>
      <c r="B113" s="3"/>
      <c r="C113" s="3"/>
      <c r="D113" s="3"/>
      <c r="E113" s="3" t="s">
        <v>51</v>
      </c>
      <c r="F113" s="3" t="s">
        <v>318</v>
      </c>
      <c r="G113" s="3"/>
      <c r="H113" s="3" t="s">
        <v>521</v>
      </c>
    </row>
    <row r="114" spans="1:8">
      <c r="A114" s="3"/>
      <c r="B114" s="3"/>
      <c r="C114" s="3"/>
      <c r="D114" s="3"/>
      <c r="E114" s="3" t="s">
        <v>57</v>
      </c>
      <c r="F114" s="3" t="s">
        <v>522</v>
      </c>
      <c r="G114" s="3"/>
      <c r="H114" s="3" t="s">
        <v>523</v>
      </c>
    </row>
    <row r="115" spans="1:8">
      <c r="A115" s="3"/>
      <c r="B115" s="3"/>
      <c r="C115" s="3"/>
      <c r="D115" s="3"/>
      <c r="E115" s="3" t="s">
        <v>63</v>
      </c>
      <c r="F115" s="3" t="s">
        <v>491</v>
      </c>
      <c r="G115" s="3"/>
      <c r="H115" s="3" t="s">
        <v>492</v>
      </c>
    </row>
    <row r="116" spans="1:8">
      <c r="A116" s="3"/>
      <c r="B116" s="3"/>
      <c r="C116" s="3"/>
      <c r="D116" s="3"/>
      <c r="E116" s="3" t="s">
        <v>69</v>
      </c>
      <c r="F116" s="3" t="s">
        <v>524</v>
      </c>
      <c r="G116" s="3"/>
      <c r="H116" s="3" t="s">
        <v>525</v>
      </c>
    </row>
    <row r="117" spans="1:8">
      <c r="A117" s="3"/>
      <c r="B117" s="3"/>
      <c r="C117" s="3"/>
      <c r="D117" s="3"/>
      <c r="E117" s="3" t="s">
        <v>75</v>
      </c>
      <c r="F117" s="3" t="s">
        <v>249</v>
      </c>
      <c r="G117" s="3" t="s">
        <v>422</v>
      </c>
      <c r="H117" s="3" t="s">
        <v>526</v>
      </c>
    </row>
    <row r="118" spans="1:8">
      <c r="A118" s="3"/>
      <c r="B118" s="3"/>
      <c r="C118" s="3"/>
      <c r="D118" s="3"/>
      <c r="E118" s="3" t="s">
        <v>126</v>
      </c>
      <c r="F118" s="3" t="s">
        <v>527</v>
      </c>
      <c r="G118" s="3" t="s">
        <v>422</v>
      </c>
      <c r="H118" s="3" t="s">
        <v>528</v>
      </c>
    </row>
    <row r="119" spans="1:8">
      <c r="A119" s="3"/>
      <c r="B119" s="3"/>
      <c r="C119" s="3"/>
      <c r="D119" s="3"/>
      <c r="E119" s="3" t="s">
        <v>131</v>
      </c>
      <c r="F119" s="3" t="s">
        <v>495</v>
      </c>
      <c r="G119" s="3"/>
      <c r="H119" s="3" t="s">
        <v>496</v>
      </c>
    </row>
    <row r="120" spans="1:8">
      <c r="A120" s="3"/>
      <c r="B120" s="3"/>
      <c r="C120" s="3"/>
      <c r="D120" s="3"/>
      <c r="E120" s="3" t="s">
        <v>219</v>
      </c>
      <c r="F120" s="3" t="s">
        <v>497</v>
      </c>
      <c r="G120" s="3"/>
      <c r="H120" s="3" t="s">
        <v>498</v>
      </c>
    </row>
    <row r="121" spans="1:8">
      <c r="A121" s="3"/>
      <c r="B121" s="3"/>
      <c r="C121" s="3"/>
      <c r="D121" s="3"/>
      <c r="E121" s="3" t="s">
        <v>222</v>
      </c>
      <c r="F121" s="3" t="s">
        <v>499</v>
      </c>
      <c r="G121" s="3"/>
      <c r="H121" s="3" t="s">
        <v>500</v>
      </c>
    </row>
    <row r="122" spans="1:8">
      <c r="A122" s="3"/>
      <c r="B122" s="3"/>
      <c r="C122" s="3"/>
      <c r="D122" s="3"/>
      <c r="E122" s="3" t="s">
        <v>225</v>
      </c>
      <c r="F122" s="3" t="s">
        <v>501</v>
      </c>
      <c r="G122" s="3"/>
      <c r="H122" s="3" t="s">
        <v>502</v>
      </c>
    </row>
    <row r="123" spans="1:8">
      <c r="A123" s="3"/>
      <c r="B123" s="3"/>
      <c r="C123" s="3"/>
      <c r="D123" s="3"/>
      <c r="E123" s="3" t="s">
        <v>228</v>
      </c>
      <c r="F123" s="3" t="s">
        <v>503</v>
      </c>
      <c r="G123" s="3"/>
      <c r="H123" s="3" t="s">
        <v>504</v>
      </c>
    </row>
    <row r="124" spans="1:8">
      <c r="A124" s="3"/>
      <c r="B124" s="3"/>
      <c r="C124" s="3"/>
      <c r="D124" s="3"/>
      <c r="E124" s="3" t="s">
        <v>231</v>
      </c>
      <c r="F124" s="3" t="s">
        <v>505</v>
      </c>
      <c r="G124" s="3"/>
      <c r="H124" s="3" t="s">
        <v>506</v>
      </c>
    </row>
    <row r="125" spans="1:8">
      <c r="A125" s="3"/>
      <c r="B125" s="3"/>
      <c r="C125" s="3"/>
      <c r="D125" s="3"/>
      <c r="E125" s="3" t="s">
        <v>234</v>
      </c>
      <c r="F125" s="3" t="s">
        <v>529</v>
      </c>
      <c r="G125" s="3"/>
      <c r="H125" s="3" t="s">
        <v>530</v>
      </c>
    </row>
    <row r="126" spans="1:8">
      <c r="A126" s="3"/>
      <c r="B126" s="3"/>
      <c r="C126" s="3"/>
      <c r="D126" s="3"/>
      <c r="E126" s="3" t="s">
        <v>237</v>
      </c>
      <c r="F126" s="3" t="s">
        <v>531</v>
      </c>
      <c r="G126" s="3"/>
      <c r="H126" s="3" t="s">
        <v>532</v>
      </c>
    </row>
    <row r="127" spans="1:8">
      <c r="A127" s="3"/>
      <c r="B127" s="3" t="s">
        <v>106</v>
      </c>
      <c r="C127" s="3" t="s">
        <v>107</v>
      </c>
      <c r="D127" s="3"/>
      <c r="E127" s="3" t="s">
        <v>12</v>
      </c>
      <c r="F127" s="3" t="s">
        <v>194</v>
      </c>
      <c r="G127" s="3"/>
      <c r="H127" s="3" t="s">
        <v>460</v>
      </c>
    </row>
    <row r="128" spans="1:8">
      <c r="A128" s="3"/>
      <c r="B128" s="3"/>
      <c r="C128" s="3"/>
      <c r="D128" s="3"/>
      <c r="E128" s="3" t="s">
        <v>21</v>
      </c>
      <c r="F128" s="3" t="s">
        <v>412</v>
      </c>
      <c r="G128" s="3"/>
      <c r="H128" s="3" t="s">
        <v>413</v>
      </c>
    </row>
    <row r="129" spans="1:8">
      <c r="A129" s="3"/>
      <c r="B129" s="3"/>
      <c r="C129" s="3"/>
      <c r="D129" s="3"/>
      <c r="E129" s="3" t="s">
        <v>27</v>
      </c>
      <c r="F129" s="3" t="s">
        <v>415</v>
      </c>
      <c r="G129" s="3"/>
      <c r="H129" s="3" t="s">
        <v>461</v>
      </c>
    </row>
    <row r="130" spans="1:8">
      <c r="A130" s="3"/>
      <c r="B130" s="3"/>
      <c r="C130" s="3"/>
      <c r="D130" s="3"/>
      <c r="E130" s="3" t="s">
        <v>33</v>
      </c>
      <c r="F130" s="3" t="s">
        <v>318</v>
      </c>
      <c r="G130" s="3"/>
      <c r="H130" s="3" t="s">
        <v>521</v>
      </c>
    </row>
    <row r="131" spans="1:8">
      <c r="A131" s="3"/>
      <c r="B131" s="3"/>
      <c r="C131" s="3"/>
      <c r="D131" s="3"/>
      <c r="E131" s="3" t="s">
        <v>39</v>
      </c>
      <c r="F131" s="3" t="s">
        <v>249</v>
      </c>
      <c r="G131" s="3" t="s">
        <v>422</v>
      </c>
      <c r="H131" s="3" t="s">
        <v>526</v>
      </c>
    </row>
    <row r="132" spans="1:8">
      <c r="A132" s="3"/>
      <c r="B132" s="3"/>
      <c r="C132" s="3"/>
      <c r="D132" s="3"/>
      <c r="E132" s="3" t="s">
        <v>45</v>
      </c>
      <c r="F132" s="3" t="s">
        <v>522</v>
      </c>
      <c r="G132" s="3"/>
      <c r="H132" s="3" t="s">
        <v>523</v>
      </c>
    </row>
    <row r="133" spans="1:8">
      <c r="A133" s="3"/>
      <c r="B133" s="3"/>
      <c r="C133" s="3"/>
      <c r="D133" s="3"/>
      <c r="E133" s="3" t="s">
        <v>51</v>
      </c>
      <c r="F133" s="3" t="s">
        <v>491</v>
      </c>
      <c r="G133" s="3"/>
      <c r="H133" s="3" t="s">
        <v>492</v>
      </c>
    </row>
    <row r="134" spans="1:8">
      <c r="A134" s="3"/>
      <c r="B134" s="3"/>
      <c r="C134" s="3"/>
      <c r="D134" s="3"/>
      <c r="E134" s="3" t="s">
        <v>57</v>
      </c>
      <c r="F134" s="3" t="s">
        <v>251</v>
      </c>
      <c r="G134" s="3"/>
      <c r="H134" s="3" t="s">
        <v>533</v>
      </c>
    </row>
    <row r="135" spans="1:8">
      <c r="A135" s="3"/>
      <c r="B135" s="3"/>
      <c r="C135" s="3"/>
      <c r="D135" s="3"/>
      <c r="E135" s="3" t="s">
        <v>63</v>
      </c>
      <c r="F135" s="3" t="s">
        <v>534</v>
      </c>
      <c r="G135" s="3"/>
      <c r="H135" s="3" t="s">
        <v>535</v>
      </c>
    </row>
    <row r="136" spans="1:8">
      <c r="A136" s="3"/>
      <c r="B136" s="3"/>
      <c r="C136" s="3"/>
      <c r="D136" s="3"/>
      <c r="E136" s="3" t="s">
        <v>69</v>
      </c>
      <c r="F136" s="3" t="s">
        <v>503</v>
      </c>
      <c r="G136" s="3"/>
      <c r="H136" s="3" t="s">
        <v>504</v>
      </c>
    </row>
    <row r="137" spans="1:8">
      <c r="A137" s="3"/>
      <c r="B137" s="3"/>
      <c r="C137" s="3"/>
      <c r="D137" s="3"/>
      <c r="E137" s="3" t="s">
        <v>75</v>
      </c>
      <c r="F137" s="3" t="s">
        <v>505</v>
      </c>
      <c r="G137" s="3"/>
      <c r="H137" s="3" t="s">
        <v>506</v>
      </c>
    </row>
    <row r="138" spans="1:8" hidden="1">
      <c r="A138" s="4" t="s">
        <v>2</v>
      </c>
      <c r="B138" s="4"/>
      <c r="C138" s="4"/>
      <c r="D138" s="4" t="s">
        <v>379</v>
      </c>
      <c r="E138" s="4"/>
      <c r="F138" s="4"/>
      <c r="G138" s="4"/>
      <c r="H138" s="4"/>
    </row>
    <row r="139" spans="1:8" hidden="1">
      <c r="A139" s="4" t="s">
        <v>0</v>
      </c>
      <c r="B139" s="4" t="s">
        <v>2</v>
      </c>
      <c r="C139" s="4" t="s">
        <v>3</v>
      </c>
      <c r="D139" s="4" t="s">
        <v>380</v>
      </c>
      <c r="E139" s="4" t="s">
        <v>1</v>
      </c>
      <c r="F139" s="4" t="s">
        <v>381</v>
      </c>
      <c r="G139" s="4" t="s">
        <v>403</v>
      </c>
      <c r="H139" s="4" t="s">
        <v>404</v>
      </c>
    </row>
    <row r="140" spans="1:8">
      <c r="A140" s="3" t="s">
        <v>81</v>
      </c>
      <c r="B140" s="3" t="s">
        <v>110</v>
      </c>
      <c r="C140" s="3" t="s">
        <v>111</v>
      </c>
      <c r="D140" s="3"/>
      <c r="E140" s="3" t="s">
        <v>12</v>
      </c>
      <c r="F140" s="3" t="s">
        <v>536</v>
      </c>
      <c r="G140" s="3"/>
      <c r="H140" s="3" t="s">
        <v>537</v>
      </c>
    </row>
    <row r="141" spans="1:8">
      <c r="A141" s="3"/>
      <c r="B141" s="3"/>
      <c r="C141" s="3"/>
      <c r="D141" s="3"/>
      <c r="E141" s="3" t="s">
        <v>21</v>
      </c>
      <c r="F141" s="3" t="s">
        <v>538</v>
      </c>
      <c r="G141" s="3"/>
      <c r="H141" s="3" t="s">
        <v>539</v>
      </c>
    </row>
    <row r="142" spans="1:8">
      <c r="A142" s="3"/>
      <c r="B142" s="3"/>
      <c r="C142" s="3"/>
      <c r="D142" s="3"/>
      <c r="E142" s="3" t="s">
        <v>27</v>
      </c>
      <c r="F142" s="3" t="s">
        <v>540</v>
      </c>
      <c r="G142" s="3"/>
      <c r="H142" s="3" t="s">
        <v>541</v>
      </c>
    </row>
    <row r="143" spans="1:8">
      <c r="A143" s="3"/>
      <c r="B143" s="3"/>
      <c r="C143" s="3"/>
      <c r="D143" s="3"/>
      <c r="E143" s="3" t="s">
        <v>33</v>
      </c>
      <c r="F143" s="3" t="s">
        <v>542</v>
      </c>
      <c r="G143" s="3"/>
      <c r="H143" s="3" t="s">
        <v>543</v>
      </c>
    </row>
    <row r="144" spans="1:8">
      <c r="A144" s="3"/>
      <c r="B144" s="3"/>
      <c r="C144" s="3"/>
      <c r="D144" s="3"/>
      <c r="E144" s="3" t="s">
        <v>39</v>
      </c>
      <c r="F144" s="3" t="s">
        <v>544</v>
      </c>
      <c r="G144" s="3"/>
      <c r="H144" s="3" t="s">
        <v>545</v>
      </c>
    </row>
    <row r="145" spans="1:8">
      <c r="A145" s="3"/>
      <c r="B145" s="3"/>
      <c r="C145" s="3"/>
      <c r="D145" s="3"/>
      <c r="E145" s="3" t="s">
        <v>45</v>
      </c>
      <c r="F145" s="3" t="s">
        <v>546</v>
      </c>
      <c r="G145" s="3"/>
      <c r="H145" s="3" t="s">
        <v>547</v>
      </c>
    </row>
    <row r="146" spans="1:8">
      <c r="A146" s="3"/>
      <c r="B146" s="3"/>
      <c r="C146" s="3"/>
      <c r="D146" s="3"/>
      <c r="E146" s="3" t="s">
        <v>51</v>
      </c>
      <c r="F146" s="3" t="s">
        <v>548</v>
      </c>
      <c r="G146" s="3"/>
      <c r="H146" s="3" t="s">
        <v>549</v>
      </c>
    </row>
    <row r="147" spans="1:8">
      <c r="A147" s="3"/>
      <c r="B147" s="3" t="s">
        <v>114</v>
      </c>
      <c r="C147" s="3" t="s">
        <v>115</v>
      </c>
      <c r="D147" s="3"/>
      <c r="E147" s="3" t="s">
        <v>12</v>
      </c>
      <c r="F147" s="3" t="s">
        <v>536</v>
      </c>
      <c r="G147" s="3"/>
      <c r="H147" s="3" t="s">
        <v>537</v>
      </c>
    </row>
    <row r="148" spans="1:8">
      <c r="A148" s="3"/>
      <c r="B148" s="3" t="s">
        <v>118</v>
      </c>
      <c r="C148" s="3" t="s">
        <v>119</v>
      </c>
      <c r="D148" s="3"/>
      <c r="E148" s="3" t="s">
        <v>12</v>
      </c>
      <c r="F148" s="3" t="s">
        <v>550</v>
      </c>
      <c r="G148" s="3"/>
      <c r="H148" s="3" t="s">
        <v>551</v>
      </c>
    </row>
    <row r="149" spans="1:8">
      <c r="A149" s="3"/>
      <c r="B149" s="3"/>
      <c r="C149" s="3"/>
      <c r="D149" s="3"/>
      <c r="E149" s="3" t="s">
        <v>21</v>
      </c>
      <c r="F149" s="3" t="s">
        <v>552</v>
      </c>
      <c r="G149" s="3"/>
      <c r="H149" s="3" t="s">
        <v>553</v>
      </c>
    </row>
    <row r="150" spans="1:8">
      <c r="A150" s="3"/>
      <c r="B150" s="3"/>
      <c r="C150" s="3"/>
      <c r="D150" s="3"/>
      <c r="E150" s="3" t="s">
        <v>27</v>
      </c>
      <c r="F150" s="3" t="s">
        <v>554</v>
      </c>
      <c r="G150" s="3"/>
      <c r="H150" s="3" t="s">
        <v>555</v>
      </c>
    </row>
    <row r="151" spans="1:8">
      <c r="A151" s="3"/>
      <c r="B151" s="3"/>
      <c r="C151" s="3"/>
      <c r="D151" s="3"/>
      <c r="E151" s="3" t="s">
        <v>33</v>
      </c>
      <c r="F151" s="3" t="s">
        <v>529</v>
      </c>
      <c r="G151" s="3"/>
      <c r="H151" s="3" t="s">
        <v>530</v>
      </c>
    </row>
    <row r="152" spans="1:8">
      <c r="A152" s="3"/>
      <c r="B152" s="3" t="s">
        <v>122</v>
      </c>
      <c r="C152" s="3" t="s">
        <v>123</v>
      </c>
      <c r="D152" s="3"/>
      <c r="E152" s="3" t="s">
        <v>12</v>
      </c>
      <c r="F152" s="3" t="s">
        <v>556</v>
      </c>
      <c r="G152" s="3"/>
      <c r="H152" s="3" t="s">
        <v>557</v>
      </c>
    </row>
    <row r="153" spans="1:8">
      <c r="A153" s="3"/>
      <c r="B153" s="3"/>
      <c r="C153" s="3"/>
      <c r="D153" s="3"/>
      <c r="E153" s="3" t="s">
        <v>21</v>
      </c>
      <c r="F153" s="3" t="s">
        <v>558</v>
      </c>
      <c r="G153" s="3"/>
      <c r="H153" s="3" t="s">
        <v>559</v>
      </c>
    </row>
    <row r="154" spans="1:8">
      <c r="A154" s="3"/>
      <c r="B154" s="3"/>
      <c r="C154" s="3"/>
      <c r="D154" s="3"/>
      <c r="E154" s="3" t="s">
        <v>27</v>
      </c>
      <c r="F154" s="3" t="s">
        <v>560</v>
      </c>
      <c r="G154" s="3"/>
      <c r="H154" s="3" t="s">
        <v>561</v>
      </c>
    </row>
    <row r="155" spans="1:8">
      <c r="A155" s="3"/>
      <c r="B155" s="3"/>
      <c r="C155" s="3"/>
      <c r="D155" s="3"/>
      <c r="E155" s="3" t="s">
        <v>33</v>
      </c>
      <c r="F155" s="3" t="s">
        <v>562</v>
      </c>
      <c r="G155" s="3"/>
      <c r="H155" s="3" t="s">
        <v>563</v>
      </c>
    </row>
    <row r="156" spans="1:8">
      <c r="A156" s="3"/>
      <c r="B156" s="3"/>
      <c r="C156" s="3"/>
      <c r="D156" s="3"/>
      <c r="E156" s="3" t="s">
        <v>39</v>
      </c>
      <c r="F156" s="3" t="s">
        <v>564</v>
      </c>
      <c r="G156" s="3"/>
      <c r="H156" s="3" t="s">
        <v>565</v>
      </c>
    </row>
    <row r="157" spans="1:8">
      <c r="A157" s="3"/>
      <c r="B157" s="3"/>
      <c r="C157" s="3"/>
      <c r="D157" s="3"/>
      <c r="E157" s="3" t="s">
        <v>45</v>
      </c>
      <c r="F157" s="3" t="s">
        <v>566</v>
      </c>
      <c r="G157" s="3"/>
      <c r="H157" s="3" t="s">
        <v>567</v>
      </c>
    </row>
    <row r="158" spans="1:8">
      <c r="A158" s="3"/>
      <c r="B158" s="3" t="s">
        <v>127</v>
      </c>
      <c r="C158" s="3" t="s">
        <v>128</v>
      </c>
      <c r="D158" s="3"/>
      <c r="E158" s="3" t="s">
        <v>12</v>
      </c>
      <c r="F158" s="3" t="s">
        <v>188</v>
      </c>
      <c r="G158" s="3"/>
      <c r="H158" s="3" t="s">
        <v>568</v>
      </c>
    </row>
    <row r="159" spans="1:8">
      <c r="A159" s="3"/>
      <c r="B159" s="3"/>
      <c r="C159" s="3"/>
      <c r="D159" s="3"/>
      <c r="E159" s="3" t="s">
        <v>21</v>
      </c>
      <c r="F159" s="3" t="s">
        <v>3</v>
      </c>
      <c r="G159" s="3"/>
      <c r="H159" s="3" t="s">
        <v>569</v>
      </c>
    </row>
    <row r="160" spans="1:8">
      <c r="A160" s="3"/>
      <c r="B160" s="3"/>
      <c r="C160" s="3"/>
      <c r="D160" s="3"/>
      <c r="E160" s="3" t="s">
        <v>27</v>
      </c>
      <c r="F160" s="3" t="s">
        <v>570</v>
      </c>
      <c r="G160" s="3"/>
      <c r="H160" s="3" t="s">
        <v>571</v>
      </c>
    </row>
    <row r="161" spans="1:8">
      <c r="A161" s="3"/>
      <c r="B161" s="3"/>
      <c r="C161" s="3"/>
      <c r="D161" s="3"/>
      <c r="E161" s="3" t="s">
        <v>33</v>
      </c>
      <c r="F161" s="3" t="s">
        <v>572</v>
      </c>
      <c r="G161" s="3"/>
      <c r="H161" s="3" t="s">
        <v>573</v>
      </c>
    </row>
    <row r="162" spans="1:8">
      <c r="A162" s="3"/>
      <c r="B162" s="3"/>
      <c r="C162" s="3"/>
      <c r="D162" s="3"/>
      <c r="E162" s="3" t="s">
        <v>39</v>
      </c>
      <c r="F162" s="3" t="s">
        <v>255</v>
      </c>
      <c r="G162" s="3"/>
      <c r="H162" s="3" t="s">
        <v>574</v>
      </c>
    </row>
    <row r="163" spans="1:8">
      <c r="A163" s="3"/>
      <c r="B163" s="3"/>
      <c r="C163" s="3"/>
      <c r="D163" s="3"/>
      <c r="E163" s="3" t="s">
        <v>45</v>
      </c>
      <c r="F163" s="3" t="s">
        <v>575</v>
      </c>
      <c r="G163" s="3"/>
      <c r="H163" s="3" t="s">
        <v>576</v>
      </c>
    </row>
    <row r="164" spans="1:8">
      <c r="A164" s="3"/>
      <c r="B164" s="3" t="s">
        <v>132</v>
      </c>
      <c r="C164" s="3" t="s">
        <v>133</v>
      </c>
      <c r="D164" s="3" t="s">
        <v>577</v>
      </c>
      <c r="E164" s="3" t="s">
        <v>12</v>
      </c>
      <c r="F164" s="3" t="s">
        <v>578</v>
      </c>
      <c r="G164" s="3"/>
      <c r="H164" s="3" t="s">
        <v>579</v>
      </c>
    </row>
    <row r="165" spans="1:8">
      <c r="A165" s="3"/>
      <c r="B165" s="3"/>
      <c r="C165" s="3"/>
      <c r="D165" s="3"/>
      <c r="E165" s="3" t="s">
        <v>21</v>
      </c>
      <c r="F165" s="3" t="s">
        <v>12</v>
      </c>
      <c r="G165" s="3"/>
      <c r="H165" s="3" t="s">
        <v>580</v>
      </c>
    </row>
    <row r="166" spans="1:8">
      <c r="A166" s="3"/>
      <c r="B166" s="3"/>
      <c r="C166" s="3"/>
      <c r="D166" s="3"/>
      <c r="E166" s="3" t="s">
        <v>27</v>
      </c>
      <c r="F166" s="3" t="s">
        <v>21</v>
      </c>
      <c r="G166" s="3"/>
      <c r="H166" s="3" t="s">
        <v>581</v>
      </c>
    </row>
    <row r="167" spans="1:8">
      <c r="A167" s="3"/>
      <c r="B167" s="3"/>
      <c r="C167" s="3"/>
      <c r="D167" s="3"/>
      <c r="E167" s="3" t="s">
        <v>33</v>
      </c>
      <c r="F167" s="3" t="s">
        <v>27</v>
      </c>
      <c r="G167" s="3"/>
      <c r="H167" s="3" t="s">
        <v>582</v>
      </c>
    </row>
    <row r="168" spans="1:8" hidden="1">
      <c r="A168" s="4" t="s">
        <v>2</v>
      </c>
      <c r="B168" s="4"/>
      <c r="C168" s="4"/>
      <c r="D168" s="4" t="s">
        <v>379</v>
      </c>
      <c r="E168" s="4"/>
      <c r="F168" s="4"/>
      <c r="G168" s="4"/>
      <c r="H168" s="4"/>
    </row>
    <row r="169" spans="1:8" hidden="1">
      <c r="A169" s="4" t="s">
        <v>0</v>
      </c>
      <c r="B169" s="4" t="s">
        <v>2</v>
      </c>
      <c r="C169" s="4" t="s">
        <v>3</v>
      </c>
      <c r="D169" s="4" t="s">
        <v>380</v>
      </c>
      <c r="E169" s="4" t="s">
        <v>1</v>
      </c>
      <c r="F169" s="4" t="s">
        <v>381</v>
      </c>
      <c r="G169" s="4" t="s">
        <v>403</v>
      </c>
      <c r="H169" s="4" t="s">
        <v>404</v>
      </c>
    </row>
    <row r="170" spans="1:8">
      <c r="A170" s="3" t="s">
        <v>137</v>
      </c>
      <c r="B170" s="3" t="s">
        <v>138</v>
      </c>
      <c r="C170" s="3" t="s">
        <v>139</v>
      </c>
      <c r="D170" s="3" t="s">
        <v>583</v>
      </c>
      <c r="E170" s="3" t="s">
        <v>12</v>
      </c>
      <c r="F170" s="3" t="s">
        <v>194</v>
      </c>
      <c r="G170" s="3"/>
      <c r="H170" s="3" t="s">
        <v>411</v>
      </c>
    </row>
    <row r="171" spans="1:8">
      <c r="A171" s="3"/>
      <c r="B171" s="3"/>
      <c r="C171" s="3"/>
      <c r="D171" s="3"/>
      <c r="E171" s="3" t="s">
        <v>21</v>
      </c>
      <c r="F171" s="3" t="s">
        <v>584</v>
      </c>
      <c r="G171" s="3"/>
      <c r="H171" s="3" t="s">
        <v>585</v>
      </c>
    </row>
    <row r="172" spans="1:8">
      <c r="A172" s="3"/>
      <c r="B172" s="3"/>
      <c r="C172" s="3"/>
      <c r="D172" s="3"/>
      <c r="E172" s="3" t="s">
        <v>27</v>
      </c>
      <c r="F172" s="3" t="s">
        <v>412</v>
      </c>
      <c r="G172" s="3"/>
      <c r="H172" s="3" t="s">
        <v>413</v>
      </c>
    </row>
    <row r="173" spans="1:8">
      <c r="A173" s="3"/>
      <c r="B173" s="3"/>
      <c r="C173" s="3"/>
      <c r="D173" s="3"/>
      <c r="E173" s="3" t="s">
        <v>33</v>
      </c>
      <c r="F173" s="3" t="s">
        <v>415</v>
      </c>
      <c r="G173" s="3"/>
      <c r="H173" s="3" t="s">
        <v>586</v>
      </c>
    </row>
    <row r="174" spans="1:8">
      <c r="A174" s="3"/>
      <c r="B174" s="3"/>
      <c r="C174" s="3"/>
      <c r="D174" s="3"/>
      <c r="E174" s="3" t="s">
        <v>39</v>
      </c>
      <c r="F174" s="3" t="s">
        <v>587</v>
      </c>
      <c r="G174" s="3"/>
      <c r="H174" s="3" t="s">
        <v>588</v>
      </c>
    </row>
    <row r="175" spans="1:8">
      <c r="A175" s="3"/>
      <c r="B175" s="3"/>
      <c r="C175" s="3"/>
      <c r="D175" s="3"/>
      <c r="E175" s="3" t="s">
        <v>45</v>
      </c>
      <c r="F175" s="3" t="s">
        <v>589</v>
      </c>
      <c r="G175" s="3"/>
      <c r="H175" s="3" t="s">
        <v>590</v>
      </c>
    </row>
    <row r="176" spans="1:8">
      <c r="A176" s="3"/>
      <c r="B176" s="3"/>
      <c r="C176" s="3"/>
      <c r="D176" s="3"/>
      <c r="E176" s="3" t="s">
        <v>51</v>
      </c>
      <c r="F176" s="3" t="s">
        <v>591</v>
      </c>
      <c r="G176" s="3" t="s">
        <v>592</v>
      </c>
      <c r="H176" s="3" t="s">
        <v>593</v>
      </c>
    </row>
    <row r="177" spans="1:8">
      <c r="A177" s="3"/>
      <c r="B177" s="3"/>
      <c r="C177" s="3"/>
      <c r="D177" s="3"/>
      <c r="E177" s="3" t="s">
        <v>57</v>
      </c>
      <c r="F177" s="3" t="s">
        <v>594</v>
      </c>
      <c r="G177" s="3"/>
      <c r="H177" s="3" t="s">
        <v>595</v>
      </c>
    </row>
    <row r="178" spans="1:8">
      <c r="A178" s="3"/>
      <c r="B178" s="3"/>
      <c r="C178" s="3"/>
      <c r="D178" s="3"/>
      <c r="E178" s="3" t="s">
        <v>63</v>
      </c>
      <c r="F178" s="3" t="s">
        <v>596</v>
      </c>
      <c r="G178" s="3" t="s">
        <v>597</v>
      </c>
      <c r="H178" s="3" t="s">
        <v>598</v>
      </c>
    </row>
    <row r="179" spans="1:8">
      <c r="A179" s="3"/>
      <c r="B179" s="3"/>
      <c r="C179" s="3"/>
      <c r="D179" s="3"/>
      <c r="E179" s="3" t="s">
        <v>69</v>
      </c>
      <c r="F179" s="3" t="s">
        <v>599</v>
      </c>
      <c r="G179" s="3" t="s">
        <v>600</v>
      </c>
      <c r="H179" s="3" t="s">
        <v>598</v>
      </c>
    </row>
    <row r="180" spans="1:8">
      <c r="A180" s="3"/>
      <c r="B180" s="3"/>
      <c r="C180" s="3"/>
      <c r="D180" s="3"/>
      <c r="E180" s="3" t="s">
        <v>75</v>
      </c>
      <c r="F180" s="3" t="s">
        <v>601</v>
      </c>
      <c r="G180" s="3"/>
      <c r="H180" s="3" t="s">
        <v>602</v>
      </c>
    </row>
    <row r="181" spans="1:8">
      <c r="A181" s="3"/>
      <c r="B181" s="3"/>
      <c r="C181" s="3"/>
      <c r="D181" s="3"/>
      <c r="E181" s="3" t="s">
        <v>126</v>
      </c>
      <c r="F181" s="3" t="s">
        <v>603</v>
      </c>
      <c r="G181" s="3"/>
      <c r="H181" s="3" t="s">
        <v>604</v>
      </c>
    </row>
    <row r="182" spans="1:8">
      <c r="A182" s="3"/>
      <c r="B182" s="3"/>
      <c r="C182" s="3"/>
      <c r="D182" s="3"/>
      <c r="E182" s="3" t="s">
        <v>131</v>
      </c>
      <c r="F182" s="3" t="s">
        <v>497</v>
      </c>
      <c r="G182" s="3"/>
      <c r="H182" s="3" t="s">
        <v>498</v>
      </c>
    </row>
    <row r="183" spans="1:8">
      <c r="A183" s="3"/>
      <c r="B183" s="3"/>
      <c r="C183" s="3"/>
      <c r="D183" s="3"/>
      <c r="E183" s="3" t="s">
        <v>219</v>
      </c>
      <c r="F183" s="3" t="s">
        <v>499</v>
      </c>
      <c r="G183" s="3"/>
      <c r="H183" s="3" t="s">
        <v>500</v>
      </c>
    </row>
    <row r="184" spans="1:8">
      <c r="A184" s="3"/>
      <c r="B184" s="3"/>
      <c r="C184" s="3"/>
      <c r="D184" s="3"/>
      <c r="E184" s="3" t="s">
        <v>222</v>
      </c>
      <c r="F184" s="3" t="s">
        <v>605</v>
      </c>
      <c r="G184" s="3"/>
      <c r="H184" s="3" t="s">
        <v>606</v>
      </c>
    </row>
    <row r="185" spans="1:8">
      <c r="A185" s="3"/>
      <c r="B185" s="3"/>
      <c r="C185" s="3"/>
      <c r="D185" s="3"/>
      <c r="E185" s="3" t="s">
        <v>225</v>
      </c>
      <c r="F185" s="3" t="s">
        <v>607</v>
      </c>
      <c r="G185" s="3" t="s">
        <v>592</v>
      </c>
      <c r="H185" s="3" t="s">
        <v>608</v>
      </c>
    </row>
    <row r="186" spans="1:8">
      <c r="A186" s="3"/>
      <c r="B186" s="3"/>
      <c r="C186" s="3"/>
      <c r="D186" s="3"/>
      <c r="E186" s="3" t="s">
        <v>228</v>
      </c>
      <c r="F186" s="3" t="s">
        <v>609</v>
      </c>
      <c r="G186" s="3"/>
      <c r="H186" s="3" t="s">
        <v>610</v>
      </c>
    </row>
    <row r="187" spans="1:8">
      <c r="A187" s="3"/>
      <c r="B187" s="3"/>
      <c r="C187" s="3"/>
      <c r="D187" s="3"/>
      <c r="E187" s="3" t="s">
        <v>231</v>
      </c>
      <c r="F187" s="3" t="s">
        <v>611</v>
      </c>
      <c r="G187" s="3"/>
      <c r="H187" s="3" t="s">
        <v>612</v>
      </c>
    </row>
    <row r="188" spans="1:8">
      <c r="A188" s="3"/>
      <c r="B188" s="3"/>
      <c r="C188" s="3"/>
      <c r="D188" s="3"/>
      <c r="E188" s="3" t="s">
        <v>234</v>
      </c>
      <c r="F188" s="3" t="s">
        <v>613</v>
      </c>
      <c r="G188" s="3"/>
      <c r="H188" s="3" t="s">
        <v>614</v>
      </c>
    </row>
    <row r="189" spans="1:8">
      <c r="A189" s="3"/>
      <c r="B189" s="3"/>
      <c r="C189" s="3"/>
      <c r="D189" s="3"/>
      <c r="E189" s="3" t="s">
        <v>237</v>
      </c>
      <c r="F189" s="3" t="s">
        <v>615</v>
      </c>
      <c r="G189" s="3"/>
      <c r="H189" s="3" t="s">
        <v>616</v>
      </c>
    </row>
    <row r="190" spans="1:8">
      <c r="A190" s="3"/>
      <c r="B190" s="3"/>
      <c r="C190" s="3"/>
      <c r="D190" s="3"/>
      <c r="E190" s="3" t="s">
        <v>246</v>
      </c>
      <c r="F190" s="3" t="s">
        <v>617</v>
      </c>
      <c r="G190" s="3"/>
      <c r="H190" s="3" t="s">
        <v>618</v>
      </c>
    </row>
    <row r="191" spans="1:8">
      <c r="A191" s="3"/>
      <c r="B191" s="3"/>
      <c r="C191" s="3"/>
      <c r="D191" s="3"/>
      <c r="E191" s="3" t="s">
        <v>247</v>
      </c>
      <c r="F191" s="3" t="s">
        <v>619</v>
      </c>
      <c r="G191" s="3" t="s">
        <v>600</v>
      </c>
      <c r="H191" s="3" t="s">
        <v>620</v>
      </c>
    </row>
    <row r="192" spans="1:8">
      <c r="A192" s="3"/>
      <c r="B192" s="3"/>
      <c r="C192" s="3"/>
      <c r="D192" s="3"/>
      <c r="E192" s="3" t="s">
        <v>305</v>
      </c>
      <c r="F192" s="3" t="s">
        <v>621</v>
      </c>
      <c r="G192" s="3" t="s">
        <v>600</v>
      </c>
      <c r="H192" s="3" t="s">
        <v>622</v>
      </c>
    </row>
    <row r="193" spans="1:8">
      <c r="A193" s="3"/>
      <c r="B193" s="3"/>
      <c r="C193" s="3"/>
      <c r="D193" s="3"/>
      <c r="E193" s="3" t="s">
        <v>307</v>
      </c>
      <c r="F193" s="3" t="s">
        <v>623</v>
      </c>
      <c r="G193" s="3" t="s">
        <v>600</v>
      </c>
      <c r="H193" s="3" t="s">
        <v>624</v>
      </c>
    </row>
    <row r="194" spans="1:8">
      <c r="A194" s="3"/>
      <c r="B194" s="3"/>
      <c r="C194" s="3"/>
      <c r="D194" s="3"/>
      <c r="E194" s="3" t="s">
        <v>432</v>
      </c>
      <c r="F194" s="3" t="s">
        <v>625</v>
      </c>
      <c r="G194" s="3" t="s">
        <v>600</v>
      </c>
      <c r="H194" s="3" t="s">
        <v>626</v>
      </c>
    </row>
    <row r="195" spans="1:8">
      <c r="A195" s="3"/>
      <c r="B195" s="3"/>
      <c r="C195" s="3"/>
      <c r="D195" s="3"/>
      <c r="E195" s="3" t="s">
        <v>436</v>
      </c>
      <c r="F195" s="3" t="s">
        <v>627</v>
      </c>
      <c r="G195" s="3"/>
      <c r="H195" s="3" t="s">
        <v>628</v>
      </c>
    </row>
    <row r="196" spans="1:8">
      <c r="A196" s="3"/>
      <c r="B196" s="3"/>
      <c r="C196" s="3"/>
      <c r="D196" s="3"/>
      <c r="E196" s="3" t="s">
        <v>439</v>
      </c>
      <c r="F196" s="3" t="s">
        <v>629</v>
      </c>
      <c r="G196" s="3"/>
      <c r="H196" s="3" t="s">
        <v>630</v>
      </c>
    </row>
    <row r="197" spans="1:8">
      <c r="A197" s="3"/>
      <c r="B197" s="3"/>
      <c r="C197" s="3"/>
      <c r="D197" s="3"/>
      <c r="E197" s="3" t="s">
        <v>442</v>
      </c>
      <c r="F197" s="3" t="s">
        <v>631</v>
      </c>
      <c r="G197" s="3"/>
      <c r="H197" s="3" t="s">
        <v>632</v>
      </c>
    </row>
    <row r="198" spans="1:8">
      <c r="A198" s="3"/>
      <c r="B198" s="3"/>
      <c r="C198" s="3"/>
      <c r="D198" s="3"/>
      <c r="E198" s="3" t="s">
        <v>443</v>
      </c>
      <c r="F198" s="3" t="s">
        <v>633</v>
      </c>
      <c r="G198" s="3"/>
      <c r="H198" s="3" t="s">
        <v>634</v>
      </c>
    </row>
    <row r="199" spans="1:8">
      <c r="A199" s="3"/>
      <c r="B199" s="3"/>
      <c r="C199" s="3"/>
      <c r="D199" s="3"/>
      <c r="E199" s="3" t="s">
        <v>444</v>
      </c>
      <c r="F199" s="3" t="s">
        <v>635</v>
      </c>
      <c r="G199" s="3"/>
      <c r="H199" s="3" t="s">
        <v>636</v>
      </c>
    </row>
    <row r="200" spans="1:8">
      <c r="A200" s="3"/>
      <c r="B200" s="3"/>
      <c r="C200" s="3"/>
      <c r="D200" s="3"/>
      <c r="E200" s="3" t="s">
        <v>637</v>
      </c>
      <c r="F200" s="3" t="s">
        <v>638</v>
      </c>
      <c r="G200" s="3"/>
      <c r="H200" s="3" t="s">
        <v>639</v>
      </c>
    </row>
    <row r="201" spans="1:8">
      <c r="A201" s="3"/>
      <c r="B201" s="3"/>
      <c r="C201" s="3"/>
      <c r="D201" s="3"/>
      <c r="E201" s="3" t="s">
        <v>640</v>
      </c>
      <c r="F201" s="3" t="s">
        <v>641</v>
      </c>
      <c r="G201" s="3"/>
      <c r="H201" s="3" t="s">
        <v>642</v>
      </c>
    </row>
    <row r="202" spans="1:8">
      <c r="A202" s="3"/>
      <c r="B202" s="3"/>
      <c r="C202" s="3"/>
      <c r="D202" s="3"/>
      <c r="E202" s="3" t="s">
        <v>643</v>
      </c>
      <c r="F202" s="3" t="s">
        <v>644</v>
      </c>
      <c r="G202" s="3" t="s">
        <v>597</v>
      </c>
      <c r="H202" s="3" t="s">
        <v>645</v>
      </c>
    </row>
    <row r="203" spans="1:8">
      <c r="A203" s="3"/>
      <c r="B203" s="3"/>
      <c r="C203" s="3"/>
      <c r="D203" s="3"/>
      <c r="E203" s="3" t="s">
        <v>646</v>
      </c>
      <c r="F203" s="3" t="s">
        <v>647</v>
      </c>
      <c r="G203" s="3" t="s">
        <v>597</v>
      </c>
      <c r="H203" s="3" t="s">
        <v>648</v>
      </c>
    </row>
    <row r="204" spans="1:8">
      <c r="A204" s="3"/>
      <c r="B204" s="3"/>
      <c r="C204" s="3"/>
      <c r="D204" s="3"/>
      <c r="E204" s="3" t="s">
        <v>649</v>
      </c>
      <c r="F204" s="3" t="s">
        <v>650</v>
      </c>
      <c r="G204" s="3" t="s">
        <v>597</v>
      </c>
      <c r="H204" s="3" t="s">
        <v>651</v>
      </c>
    </row>
    <row r="205" spans="1:8">
      <c r="A205" s="3"/>
      <c r="B205" s="3"/>
      <c r="C205" s="3"/>
      <c r="D205" s="3"/>
      <c r="E205" s="3" t="s">
        <v>652</v>
      </c>
      <c r="F205" s="3" t="s">
        <v>653</v>
      </c>
      <c r="G205" s="3" t="s">
        <v>600</v>
      </c>
      <c r="H205" s="3" t="s">
        <v>645</v>
      </c>
    </row>
    <row r="206" spans="1:8">
      <c r="A206" s="3"/>
      <c r="B206" s="3"/>
      <c r="C206" s="3"/>
      <c r="D206" s="3"/>
      <c r="E206" s="3" t="s">
        <v>654</v>
      </c>
      <c r="F206" s="3" t="s">
        <v>655</v>
      </c>
      <c r="G206" s="3" t="s">
        <v>600</v>
      </c>
      <c r="H206" s="3" t="s">
        <v>648</v>
      </c>
    </row>
    <row r="207" spans="1:8">
      <c r="A207" s="3"/>
      <c r="B207" s="3"/>
      <c r="C207" s="3"/>
      <c r="D207" s="3"/>
      <c r="E207" s="3" t="s">
        <v>656</v>
      </c>
      <c r="F207" s="3" t="s">
        <v>657</v>
      </c>
      <c r="G207" s="3" t="s">
        <v>600</v>
      </c>
      <c r="H207" s="3" t="s">
        <v>651</v>
      </c>
    </row>
    <row r="208" spans="1:8">
      <c r="A208" s="3"/>
      <c r="B208" s="3"/>
      <c r="C208" s="3"/>
      <c r="D208" s="3"/>
      <c r="E208" s="3" t="s">
        <v>658</v>
      </c>
      <c r="F208" s="3" t="s">
        <v>659</v>
      </c>
      <c r="G208" s="3"/>
      <c r="H208" s="3" t="s">
        <v>660</v>
      </c>
    </row>
    <row r="209" spans="1:8">
      <c r="A209" s="3"/>
      <c r="B209" s="3"/>
      <c r="C209" s="3"/>
      <c r="D209" s="3"/>
      <c r="E209" s="3" t="s">
        <v>661</v>
      </c>
      <c r="F209" s="3" t="s">
        <v>662</v>
      </c>
      <c r="G209" s="3"/>
      <c r="H209" s="3" t="s">
        <v>663</v>
      </c>
    </row>
    <row r="210" spans="1:8">
      <c r="A210" s="3"/>
      <c r="B210" s="3"/>
      <c r="C210" s="3"/>
      <c r="D210" s="3"/>
      <c r="E210" s="3" t="s">
        <v>664</v>
      </c>
      <c r="F210" s="3" t="s">
        <v>665</v>
      </c>
      <c r="G210" s="3"/>
      <c r="H210" s="3" t="s">
        <v>666</v>
      </c>
    </row>
    <row r="211" spans="1:8">
      <c r="A211" s="3"/>
      <c r="B211" s="3"/>
      <c r="C211" s="3"/>
      <c r="D211" s="3"/>
      <c r="E211" s="3" t="s">
        <v>667</v>
      </c>
      <c r="F211" s="3" t="s">
        <v>668</v>
      </c>
      <c r="G211" s="3"/>
      <c r="H211" s="3" t="s">
        <v>669</v>
      </c>
    </row>
    <row r="212" spans="1:8">
      <c r="A212" s="3"/>
      <c r="B212" s="3"/>
      <c r="C212" s="3"/>
      <c r="D212" s="3"/>
      <c r="E212" s="3" t="s">
        <v>670</v>
      </c>
      <c r="F212" s="3" t="s">
        <v>671</v>
      </c>
      <c r="G212" s="3"/>
      <c r="H212" s="3" t="s">
        <v>672</v>
      </c>
    </row>
    <row r="213" spans="1:8">
      <c r="A213" s="3"/>
      <c r="B213" s="3"/>
      <c r="C213" s="3"/>
      <c r="D213" s="3"/>
      <c r="E213" s="3" t="s">
        <v>673</v>
      </c>
      <c r="F213" s="3" t="s">
        <v>674</v>
      </c>
      <c r="G213" s="3"/>
      <c r="H213" s="3" t="s">
        <v>675</v>
      </c>
    </row>
    <row r="214" spans="1:8">
      <c r="A214" s="3"/>
      <c r="B214" s="3"/>
      <c r="C214" s="3"/>
      <c r="D214" s="3"/>
      <c r="E214" s="3" t="s">
        <v>676</v>
      </c>
      <c r="F214" s="3" t="s">
        <v>677</v>
      </c>
      <c r="G214" s="3"/>
      <c r="H214" s="3" t="s">
        <v>678</v>
      </c>
    </row>
    <row r="215" spans="1:8" hidden="1">
      <c r="A215" s="4" t="s">
        <v>2</v>
      </c>
      <c r="B215" s="4"/>
      <c r="C215" s="4"/>
      <c r="D215" s="4" t="s">
        <v>379</v>
      </c>
      <c r="E215" s="4"/>
      <c r="F215" s="4"/>
      <c r="G215" s="4"/>
      <c r="H215" s="4"/>
    </row>
    <row r="216" spans="1:8" hidden="1">
      <c r="A216" s="4" t="s">
        <v>0</v>
      </c>
      <c r="B216" s="4" t="s">
        <v>2</v>
      </c>
      <c r="C216" s="4" t="s">
        <v>3</v>
      </c>
      <c r="D216" s="4" t="s">
        <v>380</v>
      </c>
      <c r="E216" s="4" t="s">
        <v>1</v>
      </c>
      <c r="F216" s="4" t="s">
        <v>381</v>
      </c>
      <c r="G216" s="4" t="s">
        <v>403</v>
      </c>
      <c r="H216" s="4" t="s">
        <v>404</v>
      </c>
    </row>
    <row r="217" spans="1:8">
      <c r="A217" s="3" t="s">
        <v>137</v>
      </c>
      <c r="B217" s="3" t="s">
        <v>138</v>
      </c>
      <c r="C217" s="3" t="s">
        <v>139</v>
      </c>
      <c r="D217" s="3"/>
      <c r="E217" s="3" t="s">
        <v>679</v>
      </c>
      <c r="F217" s="3" t="s">
        <v>680</v>
      </c>
      <c r="G217" s="3"/>
      <c r="H217" s="3" t="s">
        <v>681</v>
      </c>
    </row>
    <row r="218" spans="1:8">
      <c r="A218" s="3"/>
      <c r="B218" s="3"/>
      <c r="C218" s="3"/>
      <c r="D218" s="3"/>
      <c r="E218" s="3" t="s">
        <v>682</v>
      </c>
      <c r="F218" s="3" t="s">
        <v>683</v>
      </c>
      <c r="G218" s="3" t="s">
        <v>597</v>
      </c>
      <c r="H218" s="3" t="s">
        <v>684</v>
      </c>
    </row>
    <row r="219" spans="1:8">
      <c r="A219" s="3"/>
      <c r="B219" s="3"/>
      <c r="C219" s="3"/>
      <c r="D219" s="3"/>
      <c r="E219" s="3" t="s">
        <v>685</v>
      </c>
      <c r="F219" s="3" t="s">
        <v>686</v>
      </c>
      <c r="G219" s="3" t="s">
        <v>597</v>
      </c>
      <c r="H219" s="3" t="s">
        <v>687</v>
      </c>
    </row>
    <row r="220" spans="1:8">
      <c r="A220" s="3"/>
      <c r="B220" s="3"/>
      <c r="C220" s="3"/>
      <c r="D220" s="3"/>
      <c r="E220" s="3" t="s">
        <v>688</v>
      </c>
      <c r="F220" s="3" t="s">
        <v>689</v>
      </c>
      <c r="G220" s="3" t="s">
        <v>597</v>
      </c>
      <c r="H220" s="3" t="s">
        <v>690</v>
      </c>
    </row>
    <row r="221" spans="1:8">
      <c r="A221" s="3"/>
      <c r="B221" s="3"/>
      <c r="C221" s="3"/>
      <c r="D221" s="3"/>
      <c r="E221" s="3" t="s">
        <v>691</v>
      </c>
      <c r="F221" s="3" t="s">
        <v>692</v>
      </c>
      <c r="G221" s="3" t="s">
        <v>597</v>
      </c>
      <c r="H221" s="3" t="s">
        <v>693</v>
      </c>
    </row>
    <row r="222" spans="1:8">
      <c r="A222" s="3"/>
      <c r="B222" s="3"/>
      <c r="C222" s="3"/>
      <c r="D222" s="3"/>
      <c r="E222" s="3" t="s">
        <v>694</v>
      </c>
      <c r="F222" s="3" t="s">
        <v>695</v>
      </c>
      <c r="G222" s="3" t="s">
        <v>597</v>
      </c>
      <c r="H222" s="3" t="s">
        <v>696</v>
      </c>
    </row>
    <row r="223" spans="1:8">
      <c r="A223" s="3"/>
      <c r="B223" s="3"/>
      <c r="C223" s="3"/>
      <c r="D223" s="3"/>
      <c r="E223" s="3" t="s">
        <v>697</v>
      </c>
      <c r="F223" s="3" t="s">
        <v>698</v>
      </c>
      <c r="G223" s="3" t="s">
        <v>597</v>
      </c>
      <c r="H223" s="3" t="s">
        <v>699</v>
      </c>
    </row>
    <row r="224" spans="1:8">
      <c r="A224" s="3"/>
      <c r="B224" s="3"/>
      <c r="C224" s="3"/>
      <c r="D224" s="3"/>
      <c r="E224" s="3" t="s">
        <v>700</v>
      </c>
      <c r="F224" s="3" t="s">
        <v>701</v>
      </c>
      <c r="G224" s="3" t="s">
        <v>597</v>
      </c>
      <c r="H224" s="3" t="s">
        <v>702</v>
      </c>
    </row>
    <row r="225" spans="1:8">
      <c r="A225" s="3"/>
      <c r="B225" s="3"/>
      <c r="C225" s="3"/>
      <c r="D225" s="3"/>
      <c r="E225" s="3" t="s">
        <v>703</v>
      </c>
      <c r="F225" s="3" t="s">
        <v>704</v>
      </c>
      <c r="G225" s="3" t="s">
        <v>597</v>
      </c>
      <c r="H225" s="3" t="s">
        <v>705</v>
      </c>
    </row>
    <row r="226" spans="1:8">
      <c r="A226" s="3"/>
      <c r="B226" s="3"/>
      <c r="C226" s="3"/>
      <c r="D226" s="3"/>
      <c r="E226" s="3" t="s">
        <v>706</v>
      </c>
      <c r="F226" s="3" t="s">
        <v>707</v>
      </c>
      <c r="G226" s="3"/>
      <c r="H226" s="3" t="s">
        <v>708</v>
      </c>
    </row>
    <row r="227" spans="1:8">
      <c r="A227" s="3"/>
      <c r="B227" s="3"/>
      <c r="C227" s="3"/>
      <c r="D227" s="3"/>
      <c r="E227" s="3" t="s">
        <v>709</v>
      </c>
      <c r="F227" s="3" t="s">
        <v>710</v>
      </c>
      <c r="G227" s="3"/>
      <c r="H227" s="3" t="s">
        <v>711</v>
      </c>
    </row>
    <row r="228" spans="1:8">
      <c r="A228" s="3"/>
      <c r="B228" s="3"/>
      <c r="C228" s="3"/>
      <c r="D228" s="3"/>
      <c r="E228" s="3" t="s">
        <v>712</v>
      </c>
      <c r="F228" s="3" t="s">
        <v>713</v>
      </c>
      <c r="G228" s="3"/>
      <c r="H228" s="3" t="s">
        <v>714</v>
      </c>
    </row>
    <row r="229" spans="1:8">
      <c r="A229" s="3"/>
      <c r="B229" s="3"/>
      <c r="C229" s="3"/>
      <c r="D229" s="3"/>
      <c r="E229" s="3" t="s">
        <v>715</v>
      </c>
      <c r="F229" s="3" t="s">
        <v>716</v>
      </c>
      <c r="G229" s="3"/>
      <c r="H229" s="3" t="s">
        <v>717</v>
      </c>
    </row>
    <row r="230" spans="1:8">
      <c r="A230" s="3"/>
      <c r="B230" s="3"/>
      <c r="C230" s="3"/>
      <c r="D230" s="3"/>
      <c r="E230" s="3" t="s">
        <v>718</v>
      </c>
      <c r="F230" s="3" t="s">
        <v>719</v>
      </c>
      <c r="G230" s="3" t="s">
        <v>597</v>
      </c>
      <c r="H230" s="3" t="s">
        <v>720</v>
      </c>
    </row>
    <row r="231" spans="1:8">
      <c r="A231" s="3"/>
      <c r="B231" s="3"/>
      <c r="C231" s="3"/>
      <c r="D231" s="3"/>
      <c r="E231" s="3" t="s">
        <v>721</v>
      </c>
      <c r="F231" s="3" t="s">
        <v>722</v>
      </c>
      <c r="G231" s="3" t="s">
        <v>597</v>
      </c>
      <c r="H231" s="3" t="s">
        <v>723</v>
      </c>
    </row>
    <row r="232" spans="1:8">
      <c r="A232" s="3"/>
      <c r="B232" s="3"/>
      <c r="C232" s="3"/>
      <c r="D232" s="3"/>
      <c r="E232" s="3" t="s">
        <v>724</v>
      </c>
      <c r="F232" s="3" t="s">
        <v>725</v>
      </c>
      <c r="G232" s="3" t="s">
        <v>600</v>
      </c>
      <c r="H232" s="3" t="s">
        <v>720</v>
      </c>
    </row>
    <row r="233" spans="1:8">
      <c r="A233" s="3"/>
      <c r="B233" s="3"/>
      <c r="C233" s="3"/>
      <c r="D233" s="3"/>
      <c r="E233" s="3" t="s">
        <v>726</v>
      </c>
      <c r="F233" s="3" t="s">
        <v>727</v>
      </c>
      <c r="G233" s="3" t="s">
        <v>600</v>
      </c>
      <c r="H233" s="3" t="s">
        <v>723</v>
      </c>
    </row>
    <row r="234" spans="1:8">
      <c r="A234" s="3"/>
      <c r="B234" s="3"/>
      <c r="C234" s="3"/>
      <c r="D234" s="3"/>
      <c r="E234" s="3" t="s">
        <v>728</v>
      </c>
      <c r="F234" s="3" t="s">
        <v>729</v>
      </c>
      <c r="G234" s="3"/>
      <c r="H234" s="3" t="s">
        <v>730</v>
      </c>
    </row>
    <row r="235" spans="1:8">
      <c r="A235" s="3"/>
      <c r="B235" s="3"/>
      <c r="C235" s="3"/>
      <c r="D235" s="3"/>
      <c r="E235" s="3" t="s">
        <v>731</v>
      </c>
      <c r="F235" s="3" t="s">
        <v>732</v>
      </c>
      <c r="G235" s="3"/>
      <c r="H235" s="3" t="s">
        <v>733</v>
      </c>
    </row>
    <row r="236" spans="1:8">
      <c r="A236" s="3"/>
      <c r="B236" s="3"/>
      <c r="C236" s="3"/>
      <c r="D236" s="3"/>
      <c r="E236" s="3" t="s">
        <v>734</v>
      </c>
      <c r="F236" s="3" t="s">
        <v>735</v>
      </c>
      <c r="G236" s="3"/>
      <c r="H236" s="3" t="s">
        <v>736</v>
      </c>
    </row>
    <row r="237" spans="1:8">
      <c r="A237" s="3"/>
      <c r="B237" s="3"/>
      <c r="C237" s="3"/>
      <c r="D237" s="3"/>
      <c r="E237" s="3" t="s">
        <v>737</v>
      </c>
      <c r="F237" s="3" t="s">
        <v>738</v>
      </c>
      <c r="G237" s="3"/>
      <c r="H237" s="3" t="s">
        <v>739</v>
      </c>
    </row>
    <row r="238" spans="1:8">
      <c r="A238" s="3"/>
      <c r="B238" s="3"/>
      <c r="C238" s="3"/>
      <c r="D238" s="3"/>
      <c r="E238" s="3" t="s">
        <v>740</v>
      </c>
      <c r="F238" s="3" t="s">
        <v>741</v>
      </c>
      <c r="G238" s="3" t="s">
        <v>592</v>
      </c>
      <c r="H238" s="3" t="s">
        <v>742</v>
      </c>
    </row>
    <row r="239" spans="1:8">
      <c r="A239" s="3"/>
      <c r="B239" s="3"/>
      <c r="C239" s="3"/>
      <c r="D239" s="3"/>
      <c r="E239" s="3" t="s">
        <v>743</v>
      </c>
      <c r="F239" s="3" t="s">
        <v>744</v>
      </c>
      <c r="G239" s="3"/>
      <c r="H239" s="3" t="s">
        <v>745</v>
      </c>
    </row>
    <row r="240" spans="1:8">
      <c r="A240" s="3"/>
      <c r="B240" s="3"/>
      <c r="C240" s="3"/>
      <c r="D240" s="3"/>
      <c r="E240" s="3" t="s">
        <v>746</v>
      </c>
      <c r="F240" s="3" t="s">
        <v>747</v>
      </c>
      <c r="G240" s="3"/>
      <c r="H240" s="3" t="s">
        <v>748</v>
      </c>
    </row>
    <row r="241" spans="1:8">
      <c r="A241" s="3"/>
      <c r="B241" s="3"/>
      <c r="C241" s="3"/>
      <c r="D241" s="3"/>
      <c r="E241" s="3" t="s">
        <v>749</v>
      </c>
      <c r="F241" s="3" t="s">
        <v>750</v>
      </c>
      <c r="G241" s="3"/>
      <c r="H241" s="3" t="s">
        <v>751</v>
      </c>
    </row>
    <row r="242" spans="1:8">
      <c r="A242" s="3"/>
      <c r="B242" s="3"/>
      <c r="C242" s="3"/>
      <c r="D242" s="3"/>
      <c r="E242" s="3" t="s">
        <v>752</v>
      </c>
      <c r="F242" s="3" t="s">
        <v>753</v>
      </c>
      <c r="G242" s="3"/>
      <c r="H242" s="3" t="s">
        <v>754</v>
      </c>
    </row>
    <row r="243" spans="1:8">
      <c r="A243" s="3"/>
      <c r="B243" s="3"/>
      <c r="C243" s="3"/>
      <c r="D243" s="3"/>
      <c r="E243" s="3" t="s">
        <v>755</v>
      </c>
      <c r="F243" s="3" t="s">
        <v>756</v>
      </c>
      <c r="G243" s="3"/>
      <c r="H243" s="3" t="s">
        <v>757</v>
      </c>
    </row>
    <row r="244" spans="1:8">
      <c r="A244" s="3"/>
      <c r="B244" s="3"/>
      <c r="C244" s="3"/>
      <c r="D244" s="3"/>
      <c r="E244" s="3" t="s">
        <v>758</v>
      </c>
      <c r="F244" s="3" t="s">
        <v>759</v>
      </c>
      <c r="G244" s="3" t="s">
        <v>592</v>
      </c>
      <c r="H244" s="3" t="s">
        <v>760</v>
      </c>
    </row>
    <row r="245" spans="1:8">
      <c r="A245" s="3"/>
      <c r="B245" s="3"/>
      <c r="C245" s="3"/>
      <c r="D245" s="3"/>
      <c r="E245" s="3" t="s">
        <v>761</v>
      </c>
      <c r="F245" s="3" t="s">
        <v>762</v>
      </c>
      <c r="G245" s="3"/>
      <c r="H245" s="3" t="s">
        <v>763</v>
      </c>
    </row>
    <row r="246" spans="1:8">
      <c r="A246" s="3"/>
      <c r="B246" s="3"/>
      <c r="C246" s="3"/>
      <c r="D246" s="3"/>
      <c r="E246" s="3" t="s">
        <v>764</v>
      </c>
      <c r="F246" s="3" t="s">
        <v>765</v>
      </c>
      <c r="G246" s="3"/>
      <c r="H246" s="3" t="s">
        <v>766</v>
      </c>
    </row>
    <row r="247" spans="1:8">
      <c r="A247" s="3"/>
      <c r="B247" s="3"/>
      <c r="C247" s="3"/>
      <c r="D247" s="3"/>
      <c r="E247" s="3" t="s">
        <v>767</v>
      </c>
      <c r="F247" s="3" t="s">
        <v>768</v>
      </c>
      <c r="G247" s="3"/>
      <c r="H247" s="3" t="s">
        <v>769</v>
      </c>
    </row>
    <row r="248" spans="1:8">
      <c r="A248" s="3"/>
      <c r="B248" s="3"/>
      <c r="C248" s="3"/>
      <c r="D248" s="3"/>
      <c r="E248" s="3" t="s">
        <v>770</v>
      </c>
      <c r="F248" s="3" t="s">
        <v>771</v>
      </c>
      <c r="G248" s="3"/>
      <c r="H248" s="3" t="s">
        <v>772</v>
      </c>
    </row>
    <row r="249" spans="1:8">
      <c r="A249" s="3"/>
      <c r="B249" s="3"/>
      <c r="C249" s="3"/>
      <c r="D249" s="3"/>
      <c r="E249" s="3" t="s">
        <v>773</v>
      </c>
      <c r="F249" s="3" t="s">
        <v>774</v>
      </c>
      <c r="G249" s="3"/>
      <c r="H249" s="3" t="s">
        <v>775</v>
      </c>
    </row>
    <row r="250" spans="1:8">
      <c r="A250" s="3"/>
      <c r="B250" s="3"/>
      <c r="C250" s="3"/>
      <c r="D250" s="3"/>
      <c r="E250" s="3" t="s">
        <v>776</v>
      </c>
      <c r="F250" s="3" t="s">
        <v>777</v>
      </c>
      <c r="G250" s="3"/>
      <c r="H250" s="3" t="s">
        <v>778</v>
      </c>
    </row>
    <row r="251" spans="1:8">
      <c r="A251" s="3"/>
      <c r="B251" s="3"/>
      <c r="C251" s="3"/>
      <c r="D251" s="3"/>
      <c r="E251" s="3" t="s">
        <v>779</v>
      </c>
      <c r="F251" s="3" t="s">
        <v>780</v>
      </c>
      <c r="G251" s="3"/>
      <c r="H251" s="3" t="s">
        <v>781</v>
      </c>
    </row>
    <row r="252" spans="1:8">
      <c r="A252" s="3"/>
      <c r="B252" s="3"/>
      <c r="C252" s="3"/>
      <c r="D252" s="3"/>
      <c r="E252" s="3" t="s">
        <v>782</v>
      </c>
      <c r="F252" s="3" t="s">
        <v>783</v>
      </c>
      <c r="G252" s="3"/>
      <c r="H252" s="3" t="s">
        <v>784</v>
      </c>
    </row>
    <row r="253" spans="1:8">
      <c r="A253" s="3"/>
      <c r="B253" s="3"/>
      <c r="C253" s="3"/>
      <c r="D253" s="3"/>
      <c r="E253" s="3" t="s">
        <v>785</v>
      </c>
      <c r="F253" s="3" t="s">
        <v>786</v>
      </c>
      <c r="G253" s="3"/>
      <c r="H253" s="3" t="s">
        <v>787</v>
      </c>
    </row>
    <row r="254" spans="1:8">
      <c r="A254" s="3"/>
      <c r="B254" s="3"/>
      <c r="C254" s="3"/>
      <c r="D254" s="3"/>
      <c r="E254" s="3" t="s">
        <v>788</v>
      </c>
      <c r="F254" s="3" t="s">
        <v>789</v>
      </c>
      <c r="G254" s="3"/>
      <c r="H254" s="3" t="s">
        <v>790</v>
      </c>
    </row>
    <row r="255" spans="1:8">
      <c r="A255" s="3"/>
      <c r="B255" s="3"/>
      <c r="C255" s="3"/>
      <c r="D255" s="3"/>
      <c r="E255" s="3" t="s">
        <v>791</v>
      </c>
      <c r="F255" s="3" t="s">
        <v>792</v>
      </c>
      <c r="G255" s="3"/>
      <c r="H255" s="3" t="s">
        <v>793</v>
      </c>
    </row>
    <row r="256" spans="1:8">
      <c r="A256" s="3"/>
      <c r="B256" s="3"/>
      <c r="C256" s="3"/>
      <c r="D256" s="3"/>
      <c r="E256" s="3" t="s">
        <v>794</v>
      </c>
      <c r="F256" s="3" t="s">
        <v>795</v>
      </c>
      <c r="G256" s="3"/>
      <c r="H256" s="3" t="s">
        <v>796</v>
      </c>
    </row>
    <row r="257" spans="1:10">
      <c r="A257" s="3"/>
      <c r="B257" s="3"/>
      <c r="C257" s="3"/>
      <c r="D257" s="3"/>
      <c r="E257" s="3" t="s">
        <v>797</v>
      </c>
      <c r="F257" s="3" t="s">
        <v>798</v>
      </c>
      <c r="G257" s="3"/>
      <c r="H257" s="3" t="s">
        <v>799</v>
      </c>
      <c r="J257" s="1" t="s">
        <v>1797</v>
      </c>
    </row>
    <row r="258" spans="1:10">
      <c r="A258" s="3"/>
      <c r="B258" s="3"/>
      <c r="C258" s="3"/>
      <c r="D258" s="3"/>
      <c r="E258" s="3" t="s">
        <v>800</v>
      </c>
      <c r="F258" s="3" t="s">
        <v>801</v>
      </c>
      <c r="G258" s="3"/>
      <c r="H258" s="3" t="s">
        <v>802</v>
      </c>
      <c r="J258" s="1" t="s">
        <v>1797</v>
      </c>
    </row>
    <row r="259" spans="1:10">
      <c r="A259" s="3"/>
      <c r="B259" s="3"/>
      <c r="C259" s="3"/>
      <c r="D259" s="3"/>
      <c r="E259" s="3" t="s">
        <v>803</v>
      </c>
      <c r="F259" s="3" t="s">
        <v>804</v>
      </c>
      <c r="G259" s="3"/>
      <c r="H259" s="3" t="s">
        <v>805</v>
      </c>
      <c r="J259" s="1" t="s">
        <v>1797</v>
      </c>
    </row>
    <row r="260" spans="1:10">
      <c r="A260" s="3"/>
      <c r="B260" s="3"/>
      <c r="C260" s="3"/>
      <c r="D260" s="3"/>
      <c r="E260" s="3" t="s">
        <v>806</v>
      </c>
      <c r="F260" s="3" t="s">
        <v>807</v>
      </c>
      <c r="G260" s="3"/>
      <c r="H260" s="3" t="s">
        <v>808</v>
      </c>
      <c r="J260" s="1" t="s">
        <v>1797</v>
      </c>
    </row>
    <row r="261" spans="1:10">
      <c r="A261" s="3"/>
      <c r="B261" s="3"/>
      <c r="C261" s="3"/>
      <c r="D261" s="3"/>
      <c r="E261" s="3" t="s">
        <v>809</v>
      </c>
      <c r="F261" s="3" t="s">
        <v>810</v>
      </c>
      <c r="G261" s="3"/>
      <c r="H261" s="3" t="s">
        <v>811</v>
      </c>
      <c r="J261" s="1" t="s">
        <v>1797</v>
      </c>
    </row>
    <row r="262" spans="1:10">
      <c r="A262" s="3"/>
      <c r="B262" s="3"/>
      <c r="C262" s="3"/>
      <c r="D262" s="3"/>
      <c r="E262" s="3" t="s">
        <v>812</v>
      </c>
      <c r="F262" s="3" t="s">
        <v>813</v>
      </c>
      <c r="G262" s="3"/>
      <c r="H262" s="3" t="s">
        <v>814</v>
      </c>
      <c r="J262" s="1" t="s">
        <v>1797</v>
      </c>
    </row>
    <row r="263" spans="1:10" hidden="1">
      <c r="A263" s="4" t="s">
        <v>2</v>
      </c>
      <c r="B263" s="4"/>
      <c r="C263" s="4"/>
      <c r="D263" s="4" t="s">
        <v>379</v>
      </c>
      <c r="E263" s="4"/>
      <c r="F263" s="4"/>
      <c r="G263" s="4"/>
      <c r="H263" s="4"/>
      <c r="I263" s="1" t="s">
        <v>1798</v>
      </c>
    </row>
    <row r="264" spans="1:10" hidden="1">
      <c r="A264" s="4" t="s">
        <v>0</v>
      </c>
      <c r="B264" s="4" t="s">
        <v>2</v>
      </c>
      <c r="C264" s="4" t="s">
        <v>3</v>
      </c>
      <c r="D264" s="4" t="s">
        <v>380</v>
      </c>
      <c r="E264" s="4" t="s">
        <v>1</v>
      </c>
      <c r="F264" s="4" t="s">
        <v>381</v>
      </c>
      <c r="G264" s="4" t="s">
        <v>403</v>
      </c>
      <c r="H264" s="4" t="s">
        <v>404</v>
      </c>
      <c r="I264" s="1" t="s">
        <v>1798</v>
      </c>
    </row>
    <row r="265" spans="1:10">
      <c r="A265" s="3" t="s">
        <v>137</v>
      </c>
      <c r="B265" s="3" t="s">
        <v>138</v>
      </c>
      <c r="C265" s="3" t="s">
        <v>139</v>
      </c>
      <c r="D265" s="3"/>
      <c r="E265" s="3" t="s">
        <v>815</v>
      </c>
      <c r="F265" s="3" t="s">
        <v>816</v>
      </c>
      <c r="G265" s="3"/>
      <c r="H265" s="3" t="s">
        <v>817</v>
      </c>
      <c r="J265" s="1" t="s">
        <v>1797</v>
      </c>
    </row>
    <row r="266" spans="1:10">
      <c r="A266" s="3"/>
      <c r="B266" s="3"/>
      <c r="C266" s="3"/>
      <c r="D266" s="3"/>
      <c r="E266" s="3" t="s">
        <v>818</v>
      </c>
      <c r="F266" s="3" t="s">
        <v>819</v>
      </c>
      <c r="G266" s="3"/>
      <c r="H266" s="3" t="s">
        <v>820</v>
      </c>
      <c r="J266" s="1" t="s">
        <v>1797</v>
      </c>
    </row>
    <row r="267" spans="1:10">
      <c r="A267" s="3"/>
      <c r="B267" s="3"/>
      <c r="C267" s="3"/>
      <c r="D267" s="3"/>
      <c r="E267" s="3" t="s">
        <v>821</v>
      </c>
      <c r="F267" s="3" t="s">
        <v>822</v>
      </c>
      <c r="G267" s="3"/>
      <c r="H267" s="3" t="s">
        <v>823</v>
      </c>
      <c r="J267" s="1" t="s">
        <v>1797</v>
      </c>
    </row>
    <row r="268" spans="1:10">
      <c r="A268" s="3"/>
      <c r="B268" s="3"/>
      <c r="C268" s="3"/>
      <c r="D268" s="3"/>
      <c r="E268" s="3" t="s">
        <v>824</v>
      </c>
      <c r="F268" s="3" t="s">
        <v>825</v>
      </c>
      <c r="G268" s="3"/>
      <c r="H268" s="3" t="s">
        <v>826</v>
      </c>
      <c r="J268" s="1" t="s">
        <v>1797</v>
      </c>
    </row>
    <row r="269" spans="1:10">
      <c r="A269" s="3"/>
      <c r="B269" s="3"/>
      <c r="C269" s="3"/>
      <c r="D269" s="3"/>
      <c r="E269" s="3" t="s">
        <v>827</v>
      </c>
      <c r="F269" s="3" t="s">
        <v>828</v>
      </c>
      <c r="G269" s="3"/>
      <c r="H269" s="3" t="s">
        <v>829</v>
      </c>
    </row>
    <row r="270" spans="1:10">
      <c r="A270" s="3"/>
      <c r="B270" s="3"/>
      <c r="C270" s="3"/>
      <c r="D270" s="3"/>
      <c r="E270" s="3" t="s">
        <v>830</v>
      </c>
      <c r="F270" s="3" t="s">
        <v>831</v>
      </c>
      <c r="G270" s="3"/>
      <c r="H270" s="3" t="s">
        <v>832</v>
      </c>
    </row>
    <row r="271" spans="1:10">
      <c r="A271" s="3"/>
      <c r="B271" s="3"/>
      <c r="C271" s="3"/>
      <c r="D271" s="3"/>
      <c r="E271" s="3" t="s">
        <v>833</v>
      </c>
      <c r="F271" s="3" t="s">
        <v>834</v>
      </c>
      <c r="G271" s="3"/>
      <c r="H271" s="3" t="s">
        <v>835</v>
      </c>
    </row>
    <row r="272" spans="1:10">
      <c r="A272" s="3"/>
      <c r="B272" s="3"/>
      <c r="C272" s="3"/>
      <c r="D272" s="3"/>
      <c r="E272" s="3" t="s">
        <v>836</v>
      </c>
      <c r="F272" s="3" t="s">
        <v>837</v>
      </c>
      <c r="G272" s="3"/>
      <c r="H272" s="3" t="s">
        <v>838</v>
      </c>
    </row>
    <row r="273" spans="1:8">
      <c r="A273" s="3"/>
      <c r="B273" s="3"/>
      <c r="C273" s="3"/>
      <c r="D273" s="3"/>
      <c r="E273" s="3" t="s">
        <v>839</v>
      </c>
      <c r="F273" s="3" t="s">
        <v>840</v>
      </c>
      <c r="G273" s="3"/>
      <c r="H273" s="3" t="s">
        <v>841</v>
      </c>
    </row>
    <row r="274" spans="1:8">
      <c r="A274" s="3"/>
      <c r="B274" s="3"/>
      <c r="C274" s="3"/>
      <c r="D274" s="3"/>
      <c r="E274" s="3" t="s">
        <v>842</v>
      </c>
      <c r="F274" s="3" t="s">
        <v>843</v>
      </c>
      <c r="G274" s="3"/>
      <c r="H274" s="3" t="s">
        <v>844</v>
      </c>
    </row>
    <row r="275" spans="1:8">
      <c r="A275" s="3"/>
      <c r="B275" s="3"/>
      <c r="C275" s="3"/>
      <c r="D275" s="3"/>
      <c r="E275" s="3" t="s">
        <v>845</v>
      </c>
      <c r="F275" s="3" t="s">
        <v>846</v>
      </c>
      <c r="G275" s="3"/>
      <c r="H275" s="3" t="s">
        <v>847</v>
      </c>
    </row>
    <row r="276" spans="1:8">
      <c r="A276" s="3"/>
      <c r="B276" s="3"/>
      <c r="C276" s="3"/>
      <c r="D276" s="3"/>
      <c r="E276" s="3" t="s">
        <v>848</v>
      </c>
      <c r="F276" s="3" t="s">
        <v>849</v>
      </c>
      <c r="G276" s="3"/>
      <c r="H276" s="3" t="s">
        <v>850</v>
      </c>
    </row>
    <row r="277" spans="1:8">
      <c r="A277" s="3"/>
      <c r="B277" s="3"/>
      <c r="C277" s="3"/>
      <c r="D277" s="3"/>
      <c r="E277" s="3" t="s">
        <v>851</v>
      </c>
      <c r="F277" s="3" t="s">
        <v>852</v>
      </c>
      <c r="G277" s="3"/>
      <c r="H277" s="3" t="s">
        <v>853</v>
      </c>
    </row>
    <row r="278" spans="1:8">
      <c r="A278" s="3"/>
      <c r="B278" s="3"/>
      <c r="C278" s="3"/>
      <c r="D278" s="3"/>
      <c r="E278" s="3" t="s">
        <v>854</v>
      </c>
      <c r="F278" s="3" t="s">
        <v>855</v>
      </c>
      <c r="G278" s="3"/>
      <c r="H278" s="3" t="s">
        <v>856</v>
      </c>
    </row>
    <row r="279" spans="1:8">
      <c r="A279" s="3"/>
      <c r="B279" s="3"/>
      <c r="C279" s="3"/>
      <c r="D279" s="3"/>
      <c r="E279" s="3" t="s">
        <v>857</v>
      </c>
      <c r="F279" s="3" t="s">
        <v>858</v>
      </c>
      <c r="G279" s="3"/>
      <c r="H279" s="3" t="s">
        <v>859</v>
      </c>
    </row>
    <row r="280" spans="1:8">
      <c r="A280" s="3"/>
      <c r="B280" s="3"/>
      <c r="C280" s="3"/>
      <c r="D280" s="3"/>
      <c r="E280" s="3" t="s">
        <v>860</v>
      </c>
      <c r="F280" s="3" t="s">
        <v>861</v>
      </c>
      <c r="G280" s="3"/>
      <c r="H280" s="3" t="s">
        <v>862</v>
      </c>
    </row>
    <row r="281" spans="1:8">
      <c r="A281" s="3"/>
      <c r="B281" s="3"/>
      <c r="C281" s="3"/>
      <c r="D281" s="3"/>
      <c r="E281" s="3" t="s">
        <v>863</v>
      </c>
      <c r="F281" s="3" t="s">
        <v>864</v>
      </c>
      <c r="G281" s="3"/>
      <c r="H281" s="3" t="s">
        <v>865</v>
      </c>
    </row>
    <row r="282" spans="1:8">
      <c r="A282" s="3"/>
      <c r="B282" s="3"/>
      <c r="C282" s="3"/>
      <c r="D282" s="3"/>
      <c r="E282" s="3" t="s">
        <v>866</v>
      </c>
      <c r="F282" s="3" t="s">
        <v>867</v>
      </c>
      <c r="G282" s="3"/>
      <c r="H282" s="3" t="s">
        <v>868</v>
      </c>
    </row>
    <row r="283" spans="1:8">
      <c r="A283" s="3"/>
      <c r="B283" s="3"/>
      <c r="C283" s="3"/>
      <c r="D283" s="3"/>
      <c r="E283" s="3" t="s">
        <v>869</v>
      </c>
      <c r="F283" s="3" t="s">
        <v>870</v>
      </c>
      <c r="G283" s="3"/>
      <c r="H283" s="3" t="s">
        <v>871</v>
      </c>
    </row>
    <row r="284" spans="1:8">
      <c r="A284" s="3"/>
      <c r="B284" s="3"/>
      <c r="C284" s="3"/>
      <c r="D284" s="3"/>
      <c r="E284" s="3" t="s">
        <v>872</v>
      </c>
      <c r="F284" s="3" t="s">
        <v>873</v>
      </c>
      <c r="G284" s="3"/>
      <c r="H284" s="3" t="s">
        <v>874</v>
      </c>
    </row>
    <row r="285" spans="1:8">
      <c r="A285" s="3"/>
      <c r="B285" s="3"/>
      <c r="C285" s="3"/>
      <c r="D285" s="3"/>
      <c r="E285" s="3" t="s">
        <v>875</v>
      </c>
      <c r="F285" s="3" t="s">
        <v>876</v>
      </c>
      <c r="G285" s="3"/>
      <c r="H285" s="3" t="s">
        <v>877</v>
      </c>
    </row>
    <row r="286" spans="1:8">
      <c r="A286" s="3"/>
      <c r="B286" s="3"/>
      <c r="C286" s="3"/>
      <c r="D286" s="3"/>
      <c r="E286" s="3" t="s">
        <v>878</v>
      </c>
      <c r="F286" s="3" t="s">
        <v>879</v>
      </c>
      <c r="G286" s="3"/>
      <c r="H286" s="3" t="s">
        <v>880</v>
      </c>
    </row>
    <row r="287" spans="1:8">
      <c r="A287" s="3"/>
      <c r="B287" s="3"/>
      <c r="C287" s="3"/>
      <c r="D287" s="3"/>
      <c r="E287" s="3" t="s">
        <v>881</v>
      </c>
      <c r="F287" s="3" t="s">
        <v>882</v>
      </c>
      <c r="G287" s="3"/>
      <c r="H287" s="3" t="s">
        <v>883</v>
      </c>
    </row>
    <row r="288" spans="1:8">
      <c r="A288" s="3"/>
      <c r="B288" s="3"/>
      <c r="C288" s="3"/>
      <c r="D288" s="3"/>
      <c r="E288" s="3" t="s">
        <v>884</v>
      </c>
      <c r="F288" s="3" t="s">
        <v>885</v>
      </c>
      <c r="G288" s="3"/>
      <c r="H288" s="3" t="s">
        <v>886</v>
      </c>
    </row>
    <row r="289" spans="1:10">
      <c r="A289" s="3"/>
      <c r="B289" s="3"/>
      <c r="C289" s="3"/>
      <c r="D289" s="3"/>
      <c r="E289" s="3" t="s">
        <v>887</v>
      </c>
      <c r="F289" s="3" t="s">
        <v>888</v>
      </c>
      <c r="G289" s="3"/>
      <c r="H289" s="3" t="s">
        <v>889</v>
      </c>
    </row>
    <row r="290" spans="1:10">
      <c r="A290" s="3"/>
      <c r="B290" s="3"/>
      <c r="C290" s="3"/>
      <c r="D290" s="3"/>
      <c r="E290" s="3" t="s">
        <v>890</v>
      </c>
      <c r="F290" s="3" t="s">
        <v>891</v>
      </c>
      <c r="G290" s="3"/>
      <c r="H290" s="3" t="s">
        <v>892</v>
      </c>
    </row>
    <row r="291" spans="1:10">
      <c r="A291" s="3"/>
      <c r="B291" s="3"/>
      <c r="C291" s="3"/>
      <c r="D291" s="3"/>
      <c r="E291" s="3" t="s">
        <v>893</v>
      </c>
      <c r="F291" s="3" t="s">
        <v>894</v>
      </c>
      <c r="G291" s="3"/>
      <c r="H291" s="3" t="s">
        <v>895</v>
      </c>
    </row>
    <row r="292" spans="1:10">
      <c r="A292" s="3"/>
      <c r="B292" s="3"/>
      <c r="C292" s="3"/>
      <c r="D292" s="3"/>
      <c r="E292" s="3" t="s">
        <v>896</v>
      </c>
      <c r="F292" s="3" t="s">
        <v>897</v>
      </c>
      <c r="G292" s="3"/>
      <c r="H292" s="3" t="s">
        <v>898</v>
      </c>
    </row>
    <row r="293" spans="1:10">
      <c r="A293" s="3"/>
      <c r="B293" s="3"/>
      <c r="C293" s="3"/>
      <c r="D293" s="3"/>
      <c r="E293" s="3" t="s">
        <v>899</v>
      </c>
      <c r="F293" s="3" t="s">
        <v>900</v>
      </c>
      <c r="G293" s="3"/>
      <c r="H293" s="3" t="s">
        <v>901</v>
      </c>
    </row>
    <row r="294" spans="1:10">
      <c r="A294" s="3"/>
      <c r="B294" s="3"/>
      <c r="C294" s="3"/>
      <c r="D294" s="3"/>
      <c r="E294" s="3" t="s">
        <v>902</v>
      </c>
      <c r="F294" s="3" t="s">
        <v>903</v>
      </c>
      <c r="G294" s="3"/>
      <c r="H294" s="3" t="s">
        <v>904</v>
      </c>
    </row>
    <row r="295" spans="1:10">
      <c r="A295" s="3"/>
      <c r="B295" s="3"/>
      <c r="C295" s="3"/>
      <c r="D295" s="3"/>
      <c r="E295" s="3" t="s">
        <v>905</v>
      </c>
      <c r="F295" s="3" t="s">
        <v>906</v>
      </c>
      <c r="G295" s="3"/>
      <c r="H295" s="3" t="s">
        <v>907</v>
      </c>
    </row>
    <row r="296" spans="1:10">
      <c r="A296" s="3"/>
      <c r="B296" s="3"/>
      <c r="C296" s="3"/>
      <c r="D296" s="3"/>
      <c r="E296" s="3" t="s">
        <v>908</v>
      </c>
      <c r="F296" s="3" t="s">
        <v>909</v>
      </c>
      <c r="G296" s="3"/>
      <c r="H296" s="3" t="s">
        <v>910</v>
      </c>
    </row>
    <row r="297" spans="1:10">
      <c r="A297" s="3"/>
      <c r="B297" s="3"/>
      <c r="C297" s="3"/>
      <c r="D297" s="3"/>
      <c r="E297" s="3" t="s">
        <v>911</v>
      </c>
      <c r="F297" s="3" t="s">
        <v>912</v>
      </c>
      <c r="G297" s="3"/>
      <c r="H297" s="3" t="s">
        <v>913</v>
      </c>
    </row>
    <row r="298" spans="1:10">
      <c r="A298" s="3"/>
      <c r="B298" s="3"/>
      <c r="C298" s="3"/>
      <c r="D298" s="3"/>
      <c r="E298" s="3" t="s">
        <v>914</v>
      </c>
      <c r="F298" s="3" t="s">
        <v>915</v>
      </c>
      <c r="G298" s="3"/>
      <c r="H298" s="3" t="s">
        <v>916</v>
      </c>
    </row>
    <row r="299" spans="1:10">
      <c r="A299" s="3"/>
      <c r="B299" s="3"/>
      <c r="C299" s="3"/>
      <c r="D299" s="3"/>
      <c r="E299" s="3" t="s">
        <v>917</v>
      </c>
      <c r="F299" s="3" t="s">
        <v>918</v>
      </c>
      <c r="G299" s="3"/>
      <c r="H299" s="3" t="s">
        <v>919</v>
      </c>
    </row>
    <row r="300" spans="1:10">
      <c r="A300" s="3"/>
      <c r="B300" s="3"/>
      <c r="C300" s="3"/>
      <c r="D300" s="3"/>
      <c r="E300" s="3" t="s">
        <v>920</v>
      </c>
      <c r="F300" s="3" t="s">
        <v>921</v>
      </c>
      <c r="G300" s="3"/>
      <c r="H300" s="3" t="s">
        <v>922</v>
      </c>
    </row>
    <row r="301" spans="1:10">
      <c r="A301" s="3"/>
      <c r="B301" s="3"/>
      <c r="C301" s="3"/>
      <c r="D301" s="3"/>
      <c r="E301" s="3" t="s">
        <v>923</v>
      </c>
      <c r="F301" s="3" t="s">
        <v>924</v>
      </c>
      <c r="G301" s="3"/>
      <c r="H301" s="3" t="s">
        <v>925</v>
      </c>
      <c r="J301" s="1" t="s">
        <v>1799</v>
      </c>
    </row>
    <row r="302" spans="1:10">
      <c r="A302" s="3"/>
      <c r="B302" s="3"/>
      <c r="C302" s="3"/>
      <c r="D302" s="3"/>
      <c r="E302" s="3" t="s">
        <v>926</v>
      </c>
      <c r="F302" s="3" t="s">
        <v>927</v>
      </c>
      <c r="G302" s="3"/>
      <c r="H302" s="3" t="s">
        <v>928</v>
      </c>
      <c r="J302" s="1" t="s">
        <v>1800</v>
      </c>
    </row>
    <row r="303" spans="1:10">
      <c r="A303" s="3"/>
      <c r="B303" s="3"/>
      <c r="C303" s="3"/>
      <c r="D303" s="3"/>
      <c r="E303" s="3" t="s">
        <v>929</v>
      </c>
      <c r="F303" s="3" t="s">
        <v>930</v>
      </c>
      <c r="G303" s="3"/>
      <c r="H303" s="3" t="s">
        <v>931</v>
      </c>
    </row>
    <row r="304" spans="1:10">
      <c r="A304" s="3"/>
      <c r="B304" s="3"/>
      <c r="C304" s="3"/>
      <c r="D304" s="3"/>
      <c r="E304" s="3" t="s">
        <v>932</v>
      </c>
      <c r="F304" s="3" t="s">
        <v>933</v>
      </c>
      <c r="G304" s="3"/>
      <c r="H304" s="3" t="s">
        <v>934</v>
      </c>
    </row>
    <row r="305" spans="1:8">
      <c r="A305" s="3"/>
      <c r="B305" s="3"/>
      <c r="C305" s="3"/>
      <c r="D305" s="3"/>
      <c r="E305" s="3" t="s">
        <v>935</v>
      </c>
      <c r="F305" s="3" t="s">
        <v>936</v>
      </c>
      <c r="G305" s="3" t="s">
        <v>592</v>
      </c>
      <c r="H305" s="3" t="s">
        <v>937</v>
      </c>
    </row>
    <row r="306" spans="1:8">
      <c r="A306" s="3"/>
      <c r="B306" s="3"/>
      <c r="C306" s="3"/>
      <c r="D306" s="3"/>
      <c r="E306" s="3" t="s">
        <v>938</v>
      </c>
      <c r="F306" s="3" t="s">
        <v>939</v>
      </c>
      <c r="G306" s="3" t="s">
        <v>592</v>
      </c>
      <c r="H306" s="3" t="s">
        <v>940</v>
      </c>
    </row>
    <row r="307" spans="1:8">
      <c r="A307" s="3"/>
      <c r="B307" s="3"/>
      <c r="C307" s="3"/>
      <c r="D307" s="3"/>
      <c r="E307" s="3" t="s">
        <v>941</v>
      </c>
      <c r="F307" s="3" t="s">
        <v>942</v>
      </c>
      <c r="G307" s="3" t="s">
        <v>592</v>
      </c>
      <c r="H307" s="3" t="s">
        <v>943</v>
      </c>
    </row>
    <row r="308" spans="1:8">
      <c r="A308" s="3"/>
      <c r="B308" s="3"/>
      <c r="C308" s="3"/>
      <c r="D308" s="3"/>
      <c r="E308" s="3" t="s">
        <v>944</v>
      </c>
      <c r="F308" s="3" t="s">
        <v>945</v>
      </c>
      <c r="G308" s="3" t="s">
        <v>592</v>
      </c>
      <c r="H308" s="3" t="s">
        <v>946</v>
      </c>
    </row>
    <row r="309" spans="1:8">
      <c r="A309" s="3"/>
      <c r="B309" s="3"/>
      <c r="C309" s="3"/>
      <c r="D309" s="3"/>
      <c r="E309" s="3" t="s">
        <v>947</v>
      </c>
      <c r="F309" s="3" t="s">
        <v>513</v>
      </c>
      <c r="G309" s="3"/>
      <c r="H309" s="3" t="s">
        <v>514</v>
      </c>
    </row>
    <row r="310" spans="1:8">
      <c r="A310" s="3"/>
      <c r="B310" s="3"/>
      <c r="C310" s="3"/>
      <c r="D310" s="3"/>
      <c r="E310" s="3" t="s">
        <v>948</v>
      </c>
      <c r="F310" s="3" t="s">
        <v>515</v>
      </c>
      <c r="G310" s="3"/>
      <c r="H310" s="3" t="s">
        <v>516</v>
      </c>
    </row>
    <row r="311" spans="1:8" hidden="1">
      <c r="A311" s="4" t="s">
        <v>2</v>
      </c>
      <c r="B311" s="4"/>
      <c r="C311" s="4"/>
      <c r="D311" s="4" t="s">
        <v>379</v>
      </c>
      <c r="E311" s="4"/>
      <c r="F311" s="4"/>
      <c r="G311" s="4"/>
      <c r="H311" s="4"/>
    </row>
    <row r="312" spans="1:8" hidden="1">
      <c r="A312" s="4" t="s">
        <v>0</v>
      </c>
      <c r="B312" s="4" t="s">
        <v>2</v>
      </c>
      <c r="C312" s="4" t="s">
        <v>3</v>
      </c>
      <c r="D312" s="4" t="s">
        <v>380</v>
      </c>
      <c r="E312" s="4" t="s">
        <v>1</v>
      </c>
      <c r="F312" s="4" t="s">
        <v>381</v>
      </c>
      <c r="G312" s="4" t="s">
        <v>403</v>
      </c>
      <c r="H312" s="4" t="s">
        <v>404</v>
      </c>
    </row>
    <row r="313" spans="1:8">
      <c r="A313" s="3" t="s">
        <v>137</v>
      </c>
      <c r="B313" s="3" t="s">
        <v>138</v>
      </c>
      <c r="C313" s="3" t="s">
        <v>139</v>
      </c>
      <c r="D313" s="3"/>
      <c r="E313" s="3" t="s">
        <v>949</v>
      </c>
      <c r="F313" s="3" t="s">
        <v>950</v>
      </c>
      <c r="G313" s="3"/>
      <c r="H313" s="3" t="s">
        <v>951</v>
      </c>
    </row>
    <row r="314" spans="1:8">
      <c r="A314" s="3"/>
      <c r="B314" s="3"/>
      <c r="C314" s="3"/>
      <c r="D314" s="3"/>
      <c r="E314" s="3" t="s">
        <v>952</v>
      </c>
      <c r="F314" s="3" t="s">
        <v>953</v>
      </c>
      <c r="G314" s="3"/>
      <c r="H314" s="3" t="s">
        <v>954</v>
      </c>
    </row>
    <row r="315" spans="1:8">
      <c r="A315" s="3"/>
      <c r="B315" s="3"/>
      <c r="C315" s="3"/>
      <c r="D315" s="3"/>
      <c r="E315" s="3" t="s">
        <v>955</v>
      </c>
      <c r="F315" s="3" t="s">
        <v>956</v>
      </c>
      <c r="G315" s="3"/>
      <c r="H315" s="3" t="s">
        <v>957</v>
      </c>
    </row>
    <row r="316" spans="1:8">
      <c r="A316" s="3"/>
      <c r="B316" s="3"/>
      <c r="C316" s="3"/>
      <c r="D316" s="3"/>
      <c r="E316" s="3" t="s">
        <v>958</v>
      </c>
      <c r="F316" s="3" t="s">
        <v>959</v>
      </c>
      <c r="G316" s="3" t="s">
        <v>592</v>
      </c>
      <c r="H316" s="3" t="s">
        <v>960</v>
      </c>
    </row>
    <row r="317" spans="1:8">
      <c r="A317" s="3"/>
      <c r="B317" s="3"/>
      <c r="C317" s="3"/>
      <c r="D317" s="3"/>
      <c r="E317" s="3" t="s">
        <v>961</v>
      </c>
      <c r="F317" s="3" t="s">
        <v>962</v>
      </c>
      <c r="G317" s="3" t="s">
        <v>592</v>
      </c>
      <c r="H317" s="3" t="s">
        <v>963</v>
      </c>
    </row>
    <row r="318" spans="1:8">
      <c r="A318" s="3"/>
      <c r="B318" s="3"/>
      <c r="C318" s="3"/>
      <c r="D318" s="3"/>
      <c r="E318" s="3" t="s">
        <v>964</v>
      </c>
      <c r="F318" s="3" t="s">
        <v>965</v>
      </c>
      <c r="G318" s="3"/>
      <c r="H318" s="3" t="s">
        <v>966</v>
      </c>
    </row>
    <row r="319" spans="1:8">
      <c r="A319" s="3"/>
      <c r="B319" s="3"/>
      <c r="C319" s="3"/>
      <c r="D319" s="3"/>
      <c r="E319" s="3" t="s">
        <v>967</v>
      </c>
      <c r="F319" s="3" t="s">
        <v>968</v>
      </c>
      <c r="G319" s="3"/>
      <c r="H319" s="3" t="s">
        <v>969</v>
      </c>
    </row>
    <row r="320" spans="1:8">
      <c r="A320" s="3"/>
      <c r="B320" s="3"/>
      <c r="C320" s="3"/>
      <c r="D320" s="3"/>
      <c r="E320" s="3" t="s">
        <v>970</v>
      </c>
      <c r="F320" s="3" t="s">
        <v>971</v>
      </c>
      <c r="G320" s="3" t="s">
        <v>592</v>
      </c>
      <c r="H320" s="3" t="s">
        <v>972</v>
      </c>
    </row>
    <row r="321" spans="1:8">
      <c r="A321" s="3"/>
      <c r="B321" s="3"/>
      <c r="C321" s="3"/>
      <c r="D321" s="3"/>
      <c r="E321" s="3" t="s">
        <v>973</v>
      </c>
      <c r="F321" s="3" t="s">
        <v>974</v>
      </c>
      <c r="G321" s="3" t="s">
        <v>592</v>
      </c>
      <c r="H321" s="3" t="s">
        <v>975</v>
      </c>
    </row>
    <row r="322" spans="1:8">
      <c r="A322" s="3"/>
      <c r="B322" s="3"/>
      <c r="C322" s="3"/>
      <c r="D322" s="3"/>
      <c r="E322" s="3" t="s">
        <v>976</v>
      </c>
      <c r="F322" s="3" t="s">
        <v>977</v>
      </c>
      <c r="G322" s="3"/>
      <c r="H322" s="3" t="s">
        <v>978</v>
      </c>
    </row>
    <row r="323" spans="1:8">
      <c r="A323" s="3"/>
      <c r="B323" s="3"/>
      <c r="C323" s="3"/>
      <c r="D323" s="3"/>
      <c r="E323" s="3" t="s">
        <v>979</v>
      </c>
      <c r="F323" s="3" t="s">
        <v>980</v>
      </c>
      <c r="G323" s="3" t="s">
        <v>592</v>
      </c>
      <c r="H323" s="3" t="s">
        <v>981</v>
      </c>
    </row>
    <row r="324" spans="1:8">
      <c r="A324" s="3"/>
      <c r="B324" s="3" t="s">
        <v>141</v>
      </c>
      <c r="C324" s="3" t="s">
        <v>142</v>
      </c>
      <c r="D324" s="3" t="s">
        <v>982</v>
      </c>
      <c r="E324" s="3" t="s">
        <v>12</v>
      </c>
      <c r="F324" s="3" t="s">
        <v>194</v>
      </c>
      <c r="G324" s="3"/>
      <c r="H324" s="3" t="s">
        <v>460</v>
      </c>
    </row>
    <row r="325" spans="1:8">
      <c r="A325" s="3"/>
      <c r="B325" s="3"/>
      <c r="C325" s="3"/>
      <c r="D325" s="3"/>
      <c r="E325" s="3" t="s">
        <v>21</v>
      </c>
      <c r="F325" s="3" t="s">
        <v>584</v>
      </c>
      <c r="G325" s="3"/>
      <c r="H325" s="3" t="s">
        <v>983</v>
      </c>
    </row>
    <row r="326" spans="1:8">
      <c r="A326" s="3"/>
      <c r="B326" s="3"/>
      <c r="C326" s="3"/>
      <c r="D326" s="3"/>
      <c r="E326" s="3" t="s">
        <v>27</v>
      </c>
      <c r="F326" s="3" t="s">
        <v>412</v>
      </c>
      <c r="G326" s="3"/>
      <c r="H326" s="3" t="s">
        <v>413</v>
      </c>
    </row>
    <row r="327" spans="1:8">
      <c r="A327" s="3"/>
      <c r="B327" s="3"/>
      <c r="C327" s="3"/>
      <c r="D327" s="3"/>
      <c r="E327" s="3" t="s">
        <v>33</v>
      </c>
      <c r="F327" s="3" t="s">
        <v>373</v>
      </c>
      <c r="G327" s="3" t="s">
        <v>984</v>
      </c>
      <c r="H327" s="3" t="s">
        <v>985</v>
      </c>
    </row>
    <row r="328" spans="1:8">
      <c r="A328" s="3"/>
      <c r="B328" s="3"/>
      <c r="C328" s="3"/>
      <c r="D328" s="3"/>
      <c r="E328" s="3" t="s">
        <v>39</v>
      </c>
      <c r="F328" s="3" t="s">
        <v>986</v>
      </c>
      <c r="G328" s="3"/>
      <c r="H328" s="3" t="s">
        <v>987</v>
      </c>
    </row>
    <row r="329" spans="1:8">
      <c r="A329" s="3"/>
      <c r="B329" s="3"/>
      <c r="C329" s="3"/>
      <c r="D329" s="3"/>
      <c r="E329" s="3" t="s">
        <v>45</v>
      </c>
      <c r="F329" s="3" t="s">
        <v>988</v>
      </c>
      <c r="G329" s="3"/>
      <c r="H329" s="3" t="s">
        <v>989</v>
      </c>
    </row>
    <row r="330" spans="1:8">
      <c r="A330" s="3"/>
      <c r="B330" s="3"/>
      <c r="C330" s="3"/>
      <c r="D330" s="3"/>
      <c r="E330" s="3" t="s">
        <v>51</v>
      </c>
      <c r="F330" s="3" t="s">
        <v>415</v>
      </c>
      <c r="G330" s="3"/>
      <c r="H330" s="3" t="s">
        <v>990</v>
      </c>
    </row>
    <row r="331" spans="1:8">
      <c r="A331" s="3"/>
      <c r="B331" s="3"/>
      <c r="C331" s="3"/>
      <c r="D331" s="3"/>
      <c r="E331" s="3" t="s">
        <v>57</v>
      </c>
      <c r="F331" s="3" t="s">
        <v>591</v>
      </c>
      <c r="G331" s="3" t="s">
        <v>592</v>
      </c>
      <c r="H331" s="3" t="s">
        <v>593</v>
      </c>
    </row>
    <row r="332" spans="1:8">
      <c r="A332" s="3"/>
      <c r="B332" s="3"/>
      <c r="C332" s="3"/>
      <c r="D332" s="3"/>
      <c r="E332" s="3" t="s">
        <v>63</v>
      </c>
      <c r="F332" s="3" t="s">
        <v>594</v>
      </c>
      <c r="G332" s="3"/>
      <c r="H332" s="3" t="s">
        <v>595</v>
      </c>
    </row>
    <row r="333" spans="1:8">
      <c r="A333" s="3"/>
      <c r="B333" s="3"/>
      <c r="C333" s="3"/>
      <c r="D333" s="3"/>
      <c r="E333" s="3" t="s">
        <v>69</v>
      </c>
      <c r="F333" s="3" t="s">
        <v>596</v>
      </c>
      <c r="G333" s="3" t="s">
        <v>597</v>
      </c>
      <c r="H333" s="3" t="s">
        <v>598</v>
      </c>
    </row>
    <row r="334" spans="1:8">
      <c r="A334" s="3"/>
      <c r="B334" s="3"/>
      <c r="C334" s="3"/>
      <c r="D334" s="3"/>
      <c r="E334" s="3" t="s">
        <v>75</v>
      </c>
      <c r="F334" s="3" t="s">
        <v>599</v>
      </c>
      <c r="G334" s="3" t="s">
        <v>600</v>
      </c>
      <c r="H334" s="3" t="s">
        <v>991</v>
      </c>
    </row>
    <row r="335" spans="1:8">
      <c r="A335" s="3"/>
      <c r="B335" s="3"/>
      <c r="C335" s="3"/>
      <c r="D335" s="3"/>
      <c r="E335" s="3" t="s">
        <v>126</v>
      </c>
      <c r="F335" s="3" t="s">
        <v>601</v>
      </c>
      <c r="G335" s="3"/>
      <c r="H335" s="3" t="s">
        <v>602</v>
      </c>
    </row>
    <row r="336" spans="1:8">
      <c r="A336" s="3"/>
      <c r="B336" s="3"/>
      <c r="C336" s="3"/>
      <c r="D336" s="3"/>
      <c r="E336" s="3" t="s">
        <v>131</v>
      </c>
      <c r="F336" s="3" t="s">
        <v>603</v>
      </c>
      <c r="G336" s="3"/>
      <c r="H336" s="3" t="s">
        <v>992</v>
      </c>
    </row>
    <row r="337" spans="1:8">
      <c r="A337" s="3"/>
      <c r="B337" s="3"/>
      <c r="C337" s="3"/>
      <c r="D337" s="3"/>
      <c r="E337" s="3" t="s">
        <v>219</v>
      </c>
      <c r="F337" s="3" t="s">
        <v>497</v>
      </c>
      <c r="G337" s="3"/>
      <c r="H337" s="3" t="s">
        <v>498</v>
      </c>
    </row>
    <row r="338" spans="1:8">
      <c r="A338" s="3"/>
      <c r="B338" s="3"/>
      <c r="C338" s="3"/>
      <c r="D338" s="3"/>
      <c r="E338" s="3" t="s">
        <v>222</v>
      </c>
      <c r="F338" s="3" t="s">
        <v>499</v>
      </c>
      <c r="G338" s="3"/>
      <c r="H338" s="3" t="s">
        <v>500</v>
      </c>
    </row>
    <row r="339" spans="1:8">
      <c r="A339" s="3"/>
      <c r="B339" s="3"/>
      <c r="C339" s="3"/>
      <c r="D339" s="3"/>
      <c r="E339" s="3" t="s">
        <v>225</v>
      </c>
      <c r="F339" s="3" t="s">
        <v>605</v>
      </c>
      <c r="G339" s="3"/>
      <c r="H339" s="3" t="s">
        <v>606</v>
      </c>
    </row>
    <row r="340" spans="1:8">
      <c r="A340" s="3"/>
      <c r="B340" s="3"/>
      <c r="C340" s="3"/>
      <c r="D340" s="3"/>
      <c r="E340" s="3" t="s">
        <v>228</v>
      </c>
      <c r="F340" s="3" t="s">
        <v>607</v>
      </c>
      <c r="G340" s="3" t="s">
        <v>592</v>
      </c>
      <c r="H340" s="3" t="s">
        <v>608</v>
      </c>
    </row>
    <row r="341" spans="1:8">
      <c r="A341" s="3"/>
      <c r="B341" s="3"/>
      <c r="C341" s="3"/>
      <c r="D341" s="3"/>
      <c r="E341" s="3" t="s">
        <v>231</v>
      </c>
      <c r="F341" s="3" t="s">
        <v>609</v>
      </c>
      <c r="G341" s="3"/>
      <c r="H341" s="3" t="s">
        <v>993</v>
      </c>
    </row>
    <row r="342" spans="1:8">
      <c r="A342" s="3"/>
      <c r="B342" s="3"/>
      <c r="C342" s="3"/>
      <c r="D342" s="3"/>
      <c r="E342" s="3" t="s">
        <v>234</v>
      </c>
      <c r="F342" s="3" t="s">
        <v>994</v>
      </c>
      <c r="G342" s="3"/>
      <c r="H342" s="3" t="s">
        <v>995</v>
      </c>
    </row>
    <row r="343" spans="1:8">
      <c r="A343" s="3"/>
      <c r="B343" s="3"/>
      <c r="C343" s="3"/>
      <c r="D343" s="3"/>
      <c r="E343" s="3" t="s">
        <v>237</v>
      </c>
      <c r="F343" s="3" t="s">
        <v>996</v>
      </c>
      <c r="G343" s="3" t="s">
        <v>592</v>
      </c>
      <c r="H343" s="3" t="s">
        <v>997</v>
      </c>
    </row>
    <row r="344" spans="1:8">
      <c r="A344" s="3"/>
      <c r="B344" s="3"/>
      <c r="C344" s="3"/>
      <c r="D344" s="3"/>
      <c r="E344" s="3" t="s">
        <v>246</v>
      </c>
      <c r="F344" s="3" t="s">
        <v>998</v>
      </c>
      <c r="G344" s="3"/>
      <c r="H344" s="3" t="s">
        <v>999</v>
      </c>
    </row>
    <row r="345" spans="1:8">
      <c r="A345" s="3"/>
      <c r="B345" s="3"/>
      <c r="C345" s="3"/>
      <c r="D345" s="3"/>
      <c r="E345" s="3" t="s">
        <v>247</v>
      </c>
      <c r="F345" s="3" t="s">
        <v>611</v>
      </c>
      <c r="G345" s="3" t="s">
        <v>600</v>
      </c>
      <c r="H345" s="3" t="s">
        <v>612</v>
      </c>
    </row>
    <row r="346" spans="1:8">
      <c r="A346" s="3"/>
      <c r="B346" s="3"/>
      <c r="C346" s="3"/>
      <c r="D346" s="3"/>
      <c r="E346" s="3" t="s">
        <v>305</v>
      </c>
      <c r="F346" s="3" t="s">
        <v>613</v>
      </c>
      <c r="G346" s="3" t="s">
        <v>600</v>
      </c>
      <c r="H346" s="3" t="s">
        <v>614</v>
      </c>
    </row>
    <row r="347" spans="1:8">
      <c r="A347" s="3"/>
      <c r="B347" s="3"/>
      <c r="C347" s="3"/>
      <c r="D347" s="3"/>
      <c r="E347" s="3" t="s">
        <v>307</v>
      </c>
      <c r="F347" s="3" t="s">
        <v>615</v>
      </c>
      <c r="G347" s="3" t="s">
        <v>600</v>
      </c>
      <c r="H347" s="3" t="s">
        <v>616</v>
      </c>
    </row>
    <row r="348" spans="1:8">
      <c r="A348" s="3"/>
      <c r="B348" s="3"/>
      <c r="C348" s="3"/>
      <c r="D348" s="3"/>
      <c r="E348" s="3" t="s">
        <v>432</v>
      </c>
      <c r="F348" s="3" t="s">
        <v>617</v>
      </c>
      <c r="G348" s="3" t="s">
        <v>600</v>
      </c>
      <c r="H348" s="3" t="s">
        <v>618</v>
      </c>
    </row>
    <row r="349" spans="1:8">
      <c r="A349" s="3"/>
      <c r="B349" s="3"/>
      <c r="C349" s="3"/>
      <c r="D349" s="3"/>
      <c r="E349" s="3" t="s">
        <v>436</v>
      </c>
      <c r="F349" s="3" t="s">
        <v>1000</v>
      </c>
      <c r="G349" s="3" t="s">
        <v>597</v>
      </c>
      <c r="H349" s="3" t="s">
        <v>620</v>
      </c>
    </row>
    <row r="350" spans="1:8">
      <c r="A350" s="3"/>
      <c r="B350" s="3"/>
      <c r="C350" s="3"/>
      <c r="D350" s="3"/>
      <c r="E350" s="3" t="s">
        <v>439</v>
      </c>
      <c r="F350" s="3" t="s">
        <v>1001</v>
      </c>
      <c r="G350" s="3" t="s">
        <v>597</v>
      </c>
      <c r="H350" s="3" t="s">
        <v>622</v>
      </c>
    </row>
    <row r="351" spans="1:8">
      <c r="A351" s="3"/>
      <c r="B351" s="3"/>
      <c r="C351" s="3"/>
      <c r="D351" s="3"/>
      <c r="E351" s="3" t="s">
        <v>442</v>
      </c>
      <c r="F351" s="3" t="s">
        <v>1002</v>
      </c>
      <c r="G351" s="3" t="s">
        <v>597</v>
      </c>
      <c r="H351" s="3" t="s">
        <v>624</v>
      </c>
    </row>
    <row r="352" spans="1:8">
      <c r="A352" s="3"/>
      <c r="B352" s="3"/>
      <c r="C352" s="3"/>
      <c r="D352" s="3"/>
      <c r="E352" s="3" t="s">
        <v>443</v>
      </c>
      <c r="F352" s="3" t="s">
        <v>1003</v>
      </c>
      <c r="G352" s="3" t="s">
        <v>597</v>
      </c>
      <c r="H352" s="3" t="s">
        <v>626</v>
      </c>
    </row>
    <row r="353" spans="1:8">
      <c r="A353" s="3"/>
      <c r="B353" s="3"/>
      <c r="C353" s="3"/>
      <c r="D353" s="3"/>
      <c r="E353" s="3" t="s">
        <v>444</v>
      </c>
      <c r="F353" s="3" t="s">
        <v>619</v>
      </c>
      <c r="G353" s="3" t="s">
        <v>600</v>
      </c>
      <c r="H353" s="3" t="s">
        <v>1004</v>
      </c>
    </row>
    <row r="354" spans="1:8">
      <c r="A354" s="3"/>
      <c r="B354" s="3"/>
      <c r="C354" s="3"/>
      <c r="D354" s="3"/>
      <c r="E354" s="3" t="s">
        <v>637</v>
      </c>
      <c r="F354" s="3" t="s">
        <v>621</v>
      </c>
      <c r="G354" s="3" t="s">
        <v>600</v>
      </c>
      <c r="H354" s="3" t="s">
        <v>1005</v>
      </c>
    </row>
    <row r="355" spans="1:8">
      <c r="A355" s="3"/>
      <c r="B355" s="3"/>
      <c r="C355" s="3"/>
      <c r="D355" s="3"/>
      <c r="E355" s="3" t="s">
        <v>640</v>
      </c>
      <c r="F355" s="3" t="s">
        <v>623</v>
      </c>
      <c r="G355" s="3" t="s">
        <v>600</v>
      </c>
      <c r="H355" s="3" t="s">
        <v>1006</v>
      </c>
    </row>
    <row r="356" spans="1:8">
      <c r="A356" s="3"/>
      <c r="B356" s="3"/>
      <c r="C356" s="3"/>
      <c r="D356" s="3"/>
      <c r="E356" s="3" t="s">
        <v>643</v>
      </c>
      <c r="F356" s="3" t="s">
        <v>625</v>
      </c>
      <c r="G356" s="3" t="s">
        <v>600</v>
      </c>
      <c r="H356" s="3" t="s">
        <v>1007</v>
      </c>
    </row>
    <row r="357" spans="1:8">
      <c r="A357" s="3"/>
      <c r="B357" s="3"/>
      <c r="C357" s="3"/>
      <c r="D357" s="3"/>
      <c r="E357" s="3" t="s">
        <v>646</v>
      </c>
      <c r="F357" s="3" t="s">
        <v>627</v>
      </c>
      <c r="G357" s="3"/>
      <c r="H357" s="3" t="s">
        <v>628</v>
      </c>
    </row>
    <row r="358" spans="1:8">
      <c r="A358" s="3"/>
      <c r="B358" s="3"/>
      <c r="C358" s="3"/>
      <c r="D358" s="3"/>
      <c r="E358" s="3" t="s">
        <v>649</v>
      </c>
      <c r="F358" s="3" t="s">
        <v>629</v>
      </c>
      <c r="G358" s="3"/>
      <c r="H358" s="3" t="s">
        <v>1008</v>
      </c>
    </row>
    <row r="359" spans="1:8" hidden="1">
      <c r="A359" s="4" t="s">
        <v>2</v>
      </c>
      <c r="B359" s="4"/>
      <c r="C359" s="4"/>
      <c r="D359" s="4" t="s">
        <v>379</v>
      </c>
      <c r="E359" s="4"/>
      <c r="F359" s="4"/>
      <c r="G359" s="4"/>
      <c r="H359" s="4"/>
    </row>
    <row r="360" spans="1:8" hidden="1">
      <c r="A360" s="4" t="s">
        <v>0</v>
      </c>
      <c r="B360" s="4" t="s">
        <v>2</v>
      </c>
      <c r="C360" s="4" t="s">
        <v>3</v>
      </c>
      <c r="D360" s="4" t="s">
        <v>380</v>
      </c>
      <c r="E360" s="4" t="s">
        <v>1</v>
      </c>
      <c r="F360" s="4" t="s">
        <v>381</v>
      </c>
      <c r="G360" s="4" t="s">
        <v>403</v>
      </c>
      <c r="H360" s="4" t="s">
        <v>404</v>
      </c>
    </row>
    <row r="361" spans="1:8">
      <c r="A361" s="3" t="s">
        <v>137</v>
      </c>
      <c r="B361" s="3" t="s">
        <v>141</v>
      </c>
      <c r="C361" s="3" t="s">
        <v>142</v>
      </c>
      <c r="D361" s="3"/>
      <c r="E361" s="3" t="s">
        <v>652</v>
      </c>
      <c r="F361" s="3" t="s">
        <v>631</v>
      </c>
      <c r="G361" s="3"/>
      <c r="H361" s="3" t="s">
        <v>1009</v>
      </c>
    </row>
    <row r="362" spans="1:8">
      <c r="A362" s="3"/>
      <c r="B362" s="3"/>
      <c r="C362" s="3"/>
      <c r="D362" s="3"/>
      <c r="E362" s="3" t="s">
        <v>654</v>
      </c>
      <c r="F362" s="3" t="s">
        <v>1010</v>
      </c>
      <c r="G362" s="3"/>
      <c r="H362" s="3" t="s">
        <v>1011</v>
      </c>
    </row>
    <row r="363" spans="1:8">
      <c r="A363" s="3"/>
      <c r="B363" s="3"/>
      <c r="C363" s="3"/>
      <c r="D363" s="3"/>
      <c r="E363" s="3" t="s">
        <v>656</v>
      </c>
      <c r="F363" s="3" t="s">
        <v>1012</v>
      </c>
      <c r="G363" s="3"/>
      <c r="H363" s="3" t="s">
        <v>1013</v>
      </c>
    </row>
    <row r="364" spans="1:8">
      <c r="A364" s="3"/>
      <c r="B364" s="3"/>
      <c r="C364" s="3"/>
      <c r="D364" s="3"/>
      <c r="E364" s="3" t="s">
        <v>658</v>
      </c>
      <c r="F364" s="3" t="s">
        <v>1014</v>
      </c>
      <c r="G364" s="3"/>
      <c r="H364" s="3" t="s">
        <v>1015</v>
      </c>
    </row>
    <row r="365" spans="1:8">
      <c r="A365" s="3"/>
      <c r="B365" s="3"/>
      <c r="C365" s="3"/>
      <c r="D365" s="3"/>
      <c r="E365" s="3" t="s">
        <v>661</v>
      </c>
      <c r="F365" s="3" t="s">
        <v>1016</v>
      </c>
      <c r="G365" s="3"/>
      <c r="H365" s="3" t="s">
        <v>1017</v>
      </c>
    </row>
    <row r="366" spans="1:8">
      <c r="A366" s="3"/>
      <c r="B366" s="3"/>
      <c r="C366" s="3"/>
      <c r="D366" s="3"/>
      <c r="E366" s="3" t="s">
        <v>664</v>
      </c>
      <c r="F366" s="3" t="s">
        <v>1018</v>
      </c>
      <c r="G366" s="3"/>
      <c r="H366" s="3" t="s">
        <v>1019</v>
      </c>
    </row>
    <row r="367" spans="1:8">
      <c r="A367" s="3"/>
      <c r="B367" s="3"/>
      <c r="C367" s="3"/>
      <c r="D367" s="3"/>
      <c r="E367" s="3" t="s">
        <v>667</v>
      </c>
      <c r="F367" s="3" t="s">
        <v>1020</v>
      </c>
      <c r="G367" s="3"/>
      <c r="H367" s="3" t="s">
        <v>1021</v>
      </c>
    </row>
    <row r="368" spans="1:8">
      <c r="A368" s="3"/>
      <c r="B368" s="3"/>
      <c r="C368" s="3"/>
      <c r="D368" s="3"/>
      <c r="E368" s="3" t="s">
        <v>670</v>
      </c>
      <c r="F368" s="3" t="s">
        <v>635</v>
      </c>
      <c r="G368" s="3"/>
      <c r="H368" s="3" t="s">
        <v>636</v>
      </c>
    </row>
    <row r="369" spans="1:8">
      <c r="A369" s="3"/>
      <c r="B369" s="3"/>
      <c r="C369" s="3"/>
      <c r="D369" s="3"/>
      <c r="E369" s="3" t="s">
        <v>673</v>
      </c>
      <c r="F369" s="3" t="s">
        <v>638</v>
      </c>
      <c r="G369" s="3"/>
      <c r="H369" s="3" t="s">
        <v>639</v>
      </c>
    </row>
    <row r="370" spans="1:8">
      <c r="A370" s="3"/>
      <c r="B370" s="3"/>
      <c r="C370" s="3"/>
      <c r="D370" s="3"/>
      <c r="E370" s="3" t="s">
        <v>676</v>
      </c>
      <c r="F370" s="3" t="s">
        <v>641</v>
      </c>
      <c r="G370" s="3"/>
      <c r="H370" s="3" t="s">
        <v>642</v>
      </c>
    </row>
    <row r="371" spans="1:8">
      <c r="A371" s="3"/>
      <c r="B371" s="3"/>
      <c r="C371" s="3"/>
      <c r="D371" s="3"/>
      <c r="E371" s="3" t="s">
        <v>679</v>
      </c>
      <c r="F371" s="3" t="s">
        <v>644</v>
      </c>
      <c r="G371" s="3" t="s">
        <v>597</v>
      </c>
      <c r="H371" s="3" t="s">
        <v>645</v>
      </c>
    </row>
    <row r="372" spans="1:8">
      <c r="A372" s="3"/>
      <c r="B372" s="3"/>
      <c r="C372" s="3"/>
      <c r="D372" s="3"/>
      <c r="E372" s="3" t="s">
        <v>682</v>
      </c>
      <c r="F372" s="3" t="s">
        <v>647</v>
      </c>
      <c r="G372" s="3" t="s">
        <v>597</v>
      </c>
      <c r="H372" s="3" t="s">
        <v>648</v>
      </c>
    </row>
    <row r="373" spans="1:8">
      <c r="A373" s="3"/>
      <c r="B373" s="3"/>
      <c r="C373" s="3"/>
      <c r="D373" s="3"/>
      <c r="E373" s="3" t="s">
        <v>685</v>
      </c>
      <c r="F373" s="3" t="s">
        <v>650</v>
      </c>
      <c r="G373" s="3" t="s">
        <v>597</v>
      </c>
      <c r="H373" s="3" t="s">
        <v>651</v>
      </c>
    </row>
    <row r="374" spans="1:8">
      <c r="A374" s="3"/>
      <c r="B374" s="3"/>
      <c r="C374" s="3"/>
      <c r="D374" s="3"/>
      <c r="E374" s="3" t="s">
        <v>688</v>
      </c>
      <c r="F374" s="3" t="s">
        <v>653</v>
      </c>
      <c r="G374" s="3" t="s">
        <v>600</v>
      </c>
      <c r="H374" s="3" t="s">
        <v>1022</v>
      </c>
    </row>
    <row r="375" spans="1:8">
      <c r="A375" s="3"/>
      <c r="B375" s="3"/>
      <c r="C375" s="3"/>
      <c r="D375" s="3"/>
      <c r="E375" s="3" t="s">
        <v>691</v>
      </c>
      <c r="F375" s="3" t="s">
        <v>655</v>
      </c>
      <c r="G375" s="3" t="s">
        <v>600</v>
      </c>
      <c r="H375" s="3" t="s">
        <v>1023</v>
      </c>
    </row>
    <row r="376" spans="1:8">
      <c r="A376" s="3"/>
      <c r="B376" s="3"/>
      <c r="C376" s="3"/>
      <c r="D376" s="3"/>
      <c r="E376" s="3" t="s">
        <v>694</v>
      </c>
      <c r="F376" s="3" t="s">
        <v>657</v>
      </c>
      <c r="G376" s="3" t="s">
        <v>600</v>
      </c>
      <c r="H376" s="3" t="s">
        <v>1024</v>
      </c>
    </row>
    <row r="377" spans="1:8">
      <c r="A377" s="3"/>
      <c r="B377" s="3"/>
      <c r="C377" s="3"/>
      <c r="D377" s="3"/>
      <c r="E377" s="3" t="s">
        <v>697</v>
      </c>
      <c r="F377" s="3" t="s">
        <v>1025</v>
      </c>
      <c r="G377" s="3"/>
      <c r="H377" s="3" t="s">
        <v>1026</v>
      </c>
    </row>
    <row r="378" spans="1:8">
      <c r="A378" s="3"/>
      <c r="B378" s="3"/>
      <c r="C378" s="3"/>
      <c r="D378" s="3"/>
      <c r="E378" s="3" t="s">
        <v>700</v>
      </c>
      <c r="F378" s="3" t="s">
        <v>1027</v>
      </c>
      <c r="G378" s="3"/>
      <c r="H378" s="3" t="s">
        <v>1028</v>
      </c>
    </row>
    <row r="379" spans="1:8">
      <c r="A379" s="3"/>
      <c r="B379" s="3"/>
      <c r="C379" s="3"/>
      <c r="D379" s="3"/>
      <c r="E379" s="3" t="s">
        <v>703</v>
      </c>
      <c r="F379" s="3" t="s">
        <v>1029</v>
      </c>
      <c r="G379" s="3"/>
      <c r="H379" s="3" t="s">
        <v>1030</v>
      </c>
    </row>
    <row r="380" spans="1:8">
      <c r="A380" s="3"/>
      <c r="B380" s="3"/>
      <c r="C380" s="3"/>
      <c r="D380" s="3"/>
      <c r="E380" s="3" t="s">
        <v>706</v>
      </c>
      <c r="F380" s="3" t="s">
        <v>1031</v>
      </c>
      <c r="G380" s="3" t="s">
        <v>597</v>
      </c>
      <c r="H380" s="3" t="s">
        <v>1032</v>
      </c>
    </row>
    <row r="381" spans="1:8">
      <c r="A381" s="3"/>
      <c r="B381" s="3"/>
      <c r="C381" s="3"/>
      <c r="D381" s="3"/>
      <c r="E381" s="3" t="s">
        <v>709</v>
      </c>
      <c r="F381" s="3" t="s">
        <v>1033</v>
      </c>
      <c r="G381" s="3" t="s">
        <v>597</v>
      </c>
      <c r="H381" s="3" t="s">
        <v>1034</v>
      </c>
    </row>
    <row r="382" spans="1:8">
      <c r="A382" s="3"/>
      <c r="B382" s="3"/>
      <c r="C382" s="3"/>
      <c r="D382" s="3"/>
      <c r="E382" s="3" t="s">
        <v>712</v>
      </c>
      <c r="F382" s="3" t="s">
        <v>1035</v>
      </c>
      <c r="G382" s="3" t="s">
        <v>597</v>
      </c>
      <c r="H382" s="3" t="s">
        <v>1036</v>
      </c>
    </row>
    <row r="383" spans="1:8">
      <c r="A383" s="3"/>
      <c r="B383" s="3"/>
      <c r="C383" s="3"/>
      <c r="D383" s="3"/>
      <c r="E383" s="3" t="s">
        <v>715</v>
      </c>
      <c r="F383" s="3" t="s">
        <v>1037</v>
      </c>
      <c r="G383" s="3"/>
      <c r="H383" s="3" t="s">
        <v>1038</v>
      </c>
    </row>
    <row r="384" spans="1:8">
      <c r="A384" s="3"/>
      <c r="B384" s="3"/>
      <c r="C384" s="3"/>
      <c r="D384" s="3"/>
      <c r="E384" s="3" t="s">
        <v>718</v>
      </c>
      <c r="F384" s="3" t="s">
        <v>1039</v>
      </c>
      <c r="G384" s="3"/>
      <c r="H384" s="3" t="s">
        <v>1040</v>
      </c>
    </row>
    <row r="385" spans="1:9">
      <c r="A385" s="3"/>
      <c r="B385" s="3"/>
      <c r="C385" s="3"/>
      <c r="D385" s="3"/>
      <c r="E385" s="3" t="s">
        <v>721</v>
      </c>
      <c r="F385" s="3" t="s">
        <v>1041</v>
      </c>
      <c r="G385" s="3"/>
      <c r="H385" s="3" t="s">
        <v>1042</v>
      </c>
    </row>
    <row r="386" spans="1:9">
      <c r="A386" s="3"/>
      <c r="B386" s="3"/>
      <c r="C386" s="3"/>
      <c r="D386" s="3"/>
      <c r="E386" s="3" t="s">
        <v>724</v>
      </c>
      <c r="F386" s="3" t="s">
        <v>1043</v>
      </c>
      <c r="G386" s="3"/>
      <c r="H386" s="3" t="s">
        <v>1044</v>
      </c>
    </row>
    <row r="387" spans="1:9">
      <c r="A387" s="3"/>
      <c r="B387" s="3"/>
      <c r="C387" s="3"/>
      <c r="D387" s="3"/>
      <c r="E387" s="3" t="s">
        <v>726</v>
      </c>
      <c r="F387" s="3" t="s">
        <v>1045</v>
      </c>
      <c r="G387" s="3"/>
      <c r="H387" s="3" t="s">
        <v>1046</v>
      </c>
    </row>
    <row r="388" spans="1:9">
      <c r="A388" s="3"/>
      <c r="B388" s="3"/>
      <c r="C388" s="3"/>
      <c r="D388" s="3"/>
      <c r="E388" s="3" t="s">
        <v>728</v>
      </c>
      <c r="F388" s="3" t="s">
        <v>1047</v>
      </c>
      <c r="G388" s="3" t="s">
        <v>597</v>
      </c>
      <c r="H388" s="3" t="s">
        <v>1048</v>
      </c>
    </row>
    <row r="389" spans="1:9">
      <c r="A389" s="3"/>
      <c r="B389" s="3"/>
      <c r="C389" s="3"/>
      <c r="D389" s="3"/>
      <c r="E389" s="3" t="s">
        <v>731</v>
      </c>
      <c r="F389" s="3" t="s">
        <v>1049</v>
      </c>
      <c r="G389" s="3" t="s">
        <v>597</v>
      </c>
      <c r="H389" s="3" t="s">
        <v>1050</v>
      </c>
    </row>
    <row r="390" spans="1:9">
      <c r="A390" s="3"/>
      <c r="B390" s="3"/>
      <c r="C390" s="3"/>
      <c r="D390" s="3"/>
      <c r="E390" s="3" t="s">
        <v>734</v>
      </c>
      <c r="F390" s="3" t="s">
        <v>1051</v>
      </c>
      <c r="G390" s="3" t="s">
        <v>597</v>
      </c>
      <c r="H390" s="3" t="s">
        <v>1052</v>
      </c>
    </row>
    <row r="391" spans="1:9">
      <c r="A391" s="3"/>
      <c r="B391" s="3"/>
      <c r="C391" s="3"/>
      <c r="D391" s="3"/>
      <c r="E391" s="3" t="s">
        <v>737</v>
      </c>
      <c r="F391" s="3" t="s">
        <v>1053</v>
      </c>
      <c r="G391" s="3" t="s">
        <v>597</v>
      </c>
      <c r="H391" s="3" t="s">
        <v>1054</v>
      </c>
    </row>
    <row r="392" spans="1:9">
      <c r="A392" s="3"/>
      <c r="B392" s="3"/>
      <c r="C392" s="3"/>
      <c r="D392" s="3"/>
      <c r="E392" s="3" t="s">
        <v>740</v>
      </c>
      <c r="F392" s="3" t="s">
        <v>1055</v>
      </c>
      <c r="G392" s="3" t="s">
        <v>597</v>
      </c>
      <c r="H392" s="3" t="s">
        <v>1056</v>
      </c>
    </row>
    <row r="393" spans="1:9">
      <c r="A393" s="3"/>
      <c r="B393" s="3"/>
      <c r="C393" s="3"/>
      <c r="D393" s="3"/>
      <c r="E393" s="3" t="s">
        <v>743</v>
      </c>
      <c r="F393" s="3" t="s">
        <v>798</v>
      </c>
      <c r="G393" s="3"/>
      <c r="H393" s="3" t="s">
        <v>1057</v>
      </c>
      <c r="I393" s="1" t="s">
        <v>1797</v>
      </c>
    </row>
    <row r="394" spans="1:9">
      <c r="A394" s="3"/>
      <c r="B394" s="3"/>
      <c r="C394" s="3"/>
      <c r="D394" s="3"/>
      <c r="E394" s="3" t="s">
        <v>746</v>
      </c>
      <c r="F394" s="3" t="s">
        <v>801</v>
      </c>
      <c r="G394" s="3"/>
      <c r="H394" s="3" t="s">
        <v>1058</v>
      </c>
    </row>
    <row r="395" spans="1:9">
      <c r="A395" s="3"/>
      <c r="B395" s="3"/>
      <c r="C395" s="3"/>
      <c r="D395" s="3"/>
      <c r="E395" s="3" t="s">
        <v>749</v>
      </c>
      <c r="F395" s="3" t="s">
        <v>804</v>
      </c>
      <c r="G395" s="3"/>
      <c r="H395" s="3" t="s">
        <v>1059</v>
      </c>
    </row>
    <row r="396" spans="1:9">
      <c r="A396" s="3"/>
      <c r="B396" s="3"/>
      <c r="C396" s="3"/>
      <c r="D396" s="3"/>
      <c r="E396" s="3" t="s">
        <v>752</v>
      </c>
      <c r="F396" s="3" t="s">
        <v>807</v>
      </c>
      <c r="G396" s="3"/>
      <c r="H396" s="3" t="s">
        <v>1060</v>
      </c>
    </row>
    <row r="397" spans="1:9">
      <c r="A397" s="3"/>
      <c r="B397" s="3"/>
      <c r="C397" s="3"/>
      <c r="D397" s="3"/>
      <c r="E397" s="3" t="s">
        <v>755</v>
      </c>
      <c r="F397" s="3" t="s">
        <v>810</v>
      </c>
      <c r="G397" s="3"/>
      <c r="H397" s="3" t="s">
        <v>1061</v>
      </c>
    </row>
    <row r="398" spans="1:9">
      <c r="A398" s="3"/>
      <c r="B398" s="3"/>
      <c r="C398" s="3"/>
      <c r="D398" s="3"/>
      <c r="E398" s="3" t="s">
        <v>758</v>
      </c>
      <c r="F398" s="3" t="s">
        <v>813</v>
      </c>
      <c r="G398" s="3"/>
      <c r="H398" s="3" t="s">
        <v>1062</v>
      </c>
    </row>
    <row r="399" spans="1:9">
      <c r="A399" s="3"/>
      <c r="B399" s="3"/>
      <c r="C399" s="3"/>
      <c r="D399" s="3"/>
      <c r="E399" s="3" t="s">
        <v>761</v>
      </c>
      <c r="F399" s="3" t="s">
        <v>816</v>
      </c>
      <c r="G399" s="3"/>
      <c r="H399" s="3" t="s">
        <v>1063</v>
      </c>
    </row>
    <row r="400" spans="1:9">
      <c r="A400" s="3"/>
      <c r="B400" s="3"/>
      <c r="C400" s="3"/>
      <c r="D400" s="3"/>
      <c r="E400" s="3" t="s">
        <v>764</v>
      </c>
      <c r="F400" s="3" t="s">
        <v>819</v>
      </c>
      <c r="G400" s="3"/>
      <c r="H400" s="3" t="s">
        <v>1064</v>
      </c>
    </row>
    <row r="401" spans="1:8">
      <c r="A401" s="3"/>
      <c r="B401" s="3"/>
      <c r="C401" s="3"/>
      <c r="D401" s="3"/>
      <c r="E401" s="3" t="s">
        <v>767</v>
      </c>
      <c r="F401" s="3" t="s">
        <v>822</v>
      </c>
      <c r="G401" s="3"/>
      <c r="H401" s="3" t="s">
        <v>1065</v>
      </c>
    </row>
    <row r="402" spans="1:8">
      <c r="A402" s="3"/>
      <c r="B402" s="3"/>
      <c r="C402" s="3"/>
      <c r="D402" s="3"/>
      <c r="E402" s="3" t="s">
        <v>770</v>
      </c>
      <c r="F402" s="3" t="s">
        <v>825</v>
      </c>
      <c r="G402" s="3"/>
      <c r="H402" s="3" t="s">
        <v>1066</v>
      </c>
    </row>
    <row r="403" spans="1:8">
      <c r="A403" s="3"/>
      <c r="B403" s="3"/>
      <c r="C403" s="3"/>
      <c r="D403" s="3"/>
      <c r="E403" s="3" t="s">
        <v>773</v>
      </c>
      <c r="F403" s="3" t="s">
        <v>828</v>
      </c>
      <c r="G403" s="3"/>
      <c r="H403" s="3" t="s">
        <v>1067</v>
      </c>
    </row>
    <row r="404" spans="1:8">
      <c r="A404" s="3"/>
      <c r="B404" s="3"/>
      <c r="C404" s="3"/>
      <c r="D404" s="3"/>
      <c r="E404" s="3" t="s">
        <v>776</v>
      </c>
      <c r="F404" s="3" t="s">
        <v>831</v>
      </c>
      <c r="G404" s="3"/>
      <c r="H404" s="3" t="s">
        <v>1068</v>
      </c>
    </row>
    <row r="405" spans="1:8">
      <c r="A405" s="3"/>
      <c r="B405" s="3"/>
      <c r="C405" s="3"/>
      <c r="D405" s="3"/>
      <c r="E405" s="3" t="s">
        <v>779</v>
      </c>
      <c r="F405" s="3" t="s">
        <v>834</v>
      </c>
      <c r="G405" s="3"/>
      <c r="H405" s="3" t="s">
        <v>1069</v>
      </c>
    </row>
    <row r="406" spans="1:8">
      <c r="A406" s="3"/>
      <c r="B406" s="3"/>
      <c r="C406" s="3"/>
      <c r="D406" s="3"/>
      <c r="E406" s="3" t="s">
        <v>782</v>
      </c>
      <c r="F406" s="3" t="s">
        <v>837</v>
      </c>
      <c r="G406" s="3"/>
      <c r="H406" s="3" t="s">
        <v>1070</v>
      </c>
    </row>
    <row r="407" spans="1:8" hidden="1">
      <c r="A407" s="4" t="s">
        <v>2</v>
      </c>
      <c r="B407" s="4"/>
      <c r="C407" s="4"/>
      <c r="D407" s="4" t="s">
        <v>379</v>
      </c>
      <c r="E407" s="4"/>
      <c r="F407" s="4"/>
      <c r="G407" s="4"/>
      <c r="H407" s="4"/>
    </row>
    <row r="408" spans="1:8" hidden="1">
      <c r="A408" s="4" t="s">
        <v>0</v>
      </c>
      <c r="B408" s="4" t="s">
        <v>2</v>
      </c>
      <c r="C408" s="4" t="s">
        <v>3</v>
      </c>
      <c r="D408" s="4" t="s">
        <v>380</v>
      </c>
      <c r="E408" s="4" t="s">
        <v>1</v>
      </c>
      <c r="F408" s="4" t="s">
        <v>381</v>
      </c>
      <c r="G408" s="4" t="s">
        <v>403</v>
      </c>
      <c r="H408" s="4" t="s">
        <v>404</v>
      </c>
    </row>
    <row r="409" spans="1:8">
      <c r="A409" s="3" t="s">
        <v>137</v>
      </c>
      <c r="B409" s="3" t="s">
        <v>141</v>
      </c>
      <c r="C409" s="3" t="s">
        <v>142</v>
      </c>
      <c r="D409" s="3"/>
      <c r="E409" s="3" t="s">
        <v>785</v>
      </c>
      <c r="F409" s="3" t="s">
        <v>840</v>
      </c>
      <c r="G409" s="3"/>
      <c r="H409" s="3" t="s">
        <v>1071</v>
      </c>
    </row>
    <row r="410" spans="1:8">
      <c r="A410" s="3"/>
      <c r="B410" s="3"/>
      <c r="C410" s="3"/>
      <c r="D410" s="3"/>
      <c r="E410" s="3" t="s">
        <v>788</v>
      </c>
      <c r="F410" s="3" t="s">
        <v>843</v>
      </c>
      <c r="G410" s="3"/>
      <c r="H410" s="3" t="s">
        <v>1072</v>
      </c>
    </row>
    <row r="411" spans="1:8">
      <c r="A411" s="3"/>
      <c r="B411" s="3"/>
      <c r="C411" s="3"/>
      <c r="D411" s="3"/>
      <c r="E411" s="3" t="s">
        <v>791</v>
      </c>
      <c r="F411" s="3" t="s">
        <v>846</v>
      </c>
      <c r="G411" s="3"/>
      <c r="H411" s="3" t="s">
        <v>1073</v>
      </c>
    </row>
    <row r="412" spans="1:8">
      <c r="A412" s="3"/>
      <c r="B412" s="3"/>
      <c r="C412" s="3"/>
      <c r="D412" s="3"/>
      <c r="E412" s="3" t="s">
        <v>794</v>
      </c>
      <c r="F412" s="3" t="s">
        <v>849</v>
      </c>
      <c r="G412" s="3"/>
      <c r="H412" s="3" t="s">
        <v>1074</v>
      </c>
    </row>
    <row r="413" spans="1:8">
      <c r="A413" s="3"/>
      <c r="B413" s="3"/>
      <c r="C413" s="3"/>
      <c r="D413" s="3"/>
      <c r="E413" s="3" t="s">
        <v>797</v>
      </c>
      <c r="F413" s="3" t="s">
        <v>852</v>
      </c>
      <c r="G413" s="3"/>
      <c r="H413" s="3" t="s">
        <v>1075</v>
      </c>
    </row>
    <row r="414" spans="1:8">
      <c r="A414" s="3"/>
      <c r="B414" s="3"/>
      <c r="C414" s="3"/>
      <c r="D414" s="3"/>
      <c r="E414" s="3" t="s">
        <v>800</v>
      </c>
      <c r="F414" s="3" t="s">
        <v>855</v>
      </c>
      <c r="G414" s="3"/>
      <c r="H414" s="3" t="s">
        <v>1076</v>
      </c>
    </row>
    <row r="415" spans="1:8">
      <c r="A415" s="3"/>
      <c r="B415" s="3"/>
      <c r="C415" s="3"/>
      <c r="D415" s="3"/>
      <c r="E415" s="3" t="s">
        <v>803</v>
      </c>
      <c r="F415" s="3" t="s">
        <v>858</v>
      </c>
      <c r="G415" s="3"/>
      <c r="H415" s="3" t="s">
        <v>1077</v>
      </c>
    </row>
    <row r="416" spans="1:8">
      <c r="A416" s="3"/>
      <c r="B416" s="3"/>
      <c r="C416" s="3"/>
      <c r="D416" s="3"/>
      <c r="E416" s="3" t="s">
        <v>806</v>
      </c>
      <c r="F416" s="3" t="s">
        <v>861</v>
      </c>
      <c r="G416" s="3"/>
      <c r="H416" s="3" t="s">
        <v>1078</v>
      </c>
    </row>
    <row r="417" spans="1:8">
      <c r="A417" s="3"/>
      <c r="B417" s="3"/>
      <c r="C417" s="3"/>
      <c r="D417" s="3"/>
      <c r="E417" s="3" t="s">
        <v>809</v>
      </c>
      <c r="F417" s="3" t="s">
        <v>864</v>
      </c>
      <c r="G417" s="3"/>
      <c r="H417" s="3" t="s">
        <v>1079</v>
      </c>
    </row>
    <row r="418" spans="1:8">
      <c r="A418" s="3"/>
      <c r="B418" s="3"/>
      <c r="C418" s="3"/>
      <c r="D418" s="3"/>
      <c r="E418" s="3" t="s">
        <v>812</v>
      </c>
      <c r="F418" s="3" t="s">
        <v>867</v>
      </c>
      <c r="G418" s="3"/>
      <c r="H418" s="3" t="s">
        <v>1080</v>
      </c>
    </row>
    <row r="419" spans="1:8">
      <c r="A419" s="3"/>
      <c r="B419" s="3"/>
      <c r="C419" s="3"/>
      <c r="D419" s="3"/>
      <c r="E419" s="3" t="s">
        <v>815</v>
      </c>
      <c r="F419" s="3" t="s">
        <v>870</v>
      </c>
      <c r="G419" s="3"/>
      <c r="H419" s="3" t="s">
        <v>1081</v>
      </c>
    </row>
    <row r="420" spans="1:8">
      <c r="A420" s="3"/>
      <c r="B420" s="3"/>
      <c r="C420" s="3"/>
      <c r="D420" s="3"/>
      <c r="E420" s="3" t="s">
        <v>818</v>
      </c>
      <c r="F420" s="3" t="s">
        <v>873</v>
      </c>
      <c r="G420" s="3"/>
      <c r="H420" s="3" t="s">
        <v>1082</v>
      </c>
    </row>
    <row r="421" spans="1:8">
      <c r="A421" s="3"/>
      <c r="B421" s="3"/>
      <c r="C421" s="3"/>
      <c r="D421" s="3"/>
      <c r="E421" s="3" t="s">
        <v>821</v>
      </c>
      <c r="F421" s="3" t="s">
        <v>876</v>
      </c>
      <c r="G421" s="3"/>
      <c r="H421" s="3" t="s">
        <v>1083</v>
      </c>
    </row>
    <row r="422" spans="1:8">
      <c r="A422" s="3"/>
      <c r="B422" s="3"/>
      <c r="C422" s="3"/>
      <c r="D422" s="3"/>
      <c r="E422" s="3" t="s">
        <v>824</v>
      </c>
      <c r="F422" s="3" t="s">
        <v>879</v>
      </c>
      <c r="G422" s="3"/>
      <c r="H422" s="3" t="s">
        <v>1084</v>
      </c>
    </row>
    <row r="423" spans="1:8">
      <c r="A423" s="3"/>
      <c r="B423" s="3"/>
      <c r="C423" s="3"/>
      <c r="D423" s="3"/>
      <c r="E423" s="3" t="s">
        <v>827</v>
      </c>
      <c r="F423" s="3" t="s">
        <v>882</v>
      </c>
      <c r="G423" s="3"/>
      <c r="H423" s="3" t="s">
        <v>1085</v>
      </c>
    </row>
    <row r="424" spans="1:8">
      <c r="A424" s="3"/>
      <c r="B424" s="3"/>
      <c r="C424" s="3"/>
      <c r="D424" s="3"/>
      <c r="E424" s="3" t="s">
        <v>830</v>
      </c>
      <c r="F424" s="3" t="s">
        <v>885</v>
      </c>
      <c r="G424" s="3"/>
      <c r="H424" s="3" t="s">
        <v>1086</v>
      </c>
    </row>
    <row r="425" spans="1:8">
      <c r="A425" s="3"/>
      <c r="B425" s="3"/>
      <c r="C425" s="3"/>
      <c r="D425" s="3"/>
      <c r="E425" s="3" t="s">
        <v>833</v>
      </c>
      <c r="F425" s="3" t="s">
        <v>888</v>
      </c>
      <c r="G425" s="3"/>
      <c r="H425" s="3" t="s">
        <v>1087</v>
      </c>
    </row>
    <row r="426" spans="1:8">
      <c r="A426" s="3"/>
      <c r="B426" s="3"/>
      <c r="C426" s="3"/>
      <c r="D426" s="3"/>
      <c r="E426" s="3" t="s">
        <v>836</v>
      </c>
      <c r="F426" s="3" t="s">
        <v>891</v>
      </c>
      <c r="G426" s="3"/>
      <c r="H426" s="3" t="s">
        <v>1088</v>
      </c>
    </row>
    <row r="427" spans="1:8">
      <c r="A427" s="3"/>
      <c r="B427" s="3"/>
      <c r="C427" s="3"/>
      <c r="D427" s="3"/>
      <c r="E427" s="3" t="s">
        <v>839</v>
      </c>
      <c r="F427" s="3" t="s">
        <v>894</v>
      </c>
      <c r="G427" s="3"/>
      <c r="H427" s="3" t="s">
        <v>1089</v>
      </c>
    </row>
    <row r="428" spans="1:8">
      <c r="A428" s="3"/>
      <c r="B428" s="3"/>
      <c r="C428" s="3"/>
      <c r="D428" s="3"/>
      <c r="E428" s="3" t="s">
        <v>842</v>
      </c>
      <c r="F428" s="3" t="s">
        <v>897</v>
      </c>
      <c r="G428" s="3"/>
      <c r="H428" s="3" t="s">
        <v>1090</v>
      </c>
    </row>
    <row r="429" spans="1:8">
      <c r="A429" s="3"/>
      <c r="B429" s="3"/>
      <c r="C429" s="3"/>
      <c r="D429" s="3"/>
      <c r="E429" s="3" t="s">
        <v>845</v>
      </c>
      <c r="F429" s="3" t="s">
        <v>900</v>
      </c>
      <c r="G429" s="3"/>
      <c r="H429" s="3" t="s">
        <v>1091</v>
      </c>
    </row>
    <row r="430" spans="1:8">
      <c r="A430" s="3"/>
      <c r="B430" s="3"/>
      <c r="C430" s="3"/>
      <c r="D430" s="3"/>
      <c r="E430" s="3" t="s">
        <v>848</v>
      </c>
      <c r="F430" s="3" t="s">
        <v>903</v>
      </c>
      <c r="G430" s="3"/>
      <c r="H430" s="3" t="s">
        <v>1092</v>
      </c>
    </row>
    <row r="431" spans="1:8">
      <c r="A431" s="3"/>
      <c r="B431" s="3"/>
      <c r="C431" s="3"/>
      <c r="D431" s="3"/>
      <c r="E431" s="3" t="s">
        <v>851</v>
      </c>
      <c r="F431" s="3" t="s">
        <v>906</v>
      </c>
      <c r="G431" s="3"/>
      <c r="H431" s="3" t="s">
        <v>1093</v>
      </c>
    </row>
    <row r="432" spans="1:8">
      <c r="A432" s="3"/>
      <c r="B432" s="3"/>
      <c r="C432" s="3"/>
      <c r="D432" s="3"/>
      <c r="E432" s="3" t="s">
        <v>854</v>
      </c>
      <c r="F432" s="3" t="s">
        <v>909</v>
      </c>
      <c r="G432" s="3"/>
      <c r="H432" s="3" t="s">
        <v>1094</v>
      </c>
    </row>
    <row r="433" spans="1:8">
      <c r="A433" s="3"/>
      <c r="B433" s="3"/>
      <c r="C433" s="3"/>
      <c r="D433" s="3"/>
      <c r="E433" s="3" t="s">
        <v>857</v>
      </c>
      <c r="F433" s="3" t="s">
        <v>912</v>
      </c>
      <c r="G433" s="3"/>
      <c r="H433" s="3" t="s">
        <v>1095</v>
      </c>
    </row>
    <row r="434" spans="1:8">
      <c r="A434" s="3"/>
      <c r="B434" s="3"/>
      <c r="C434" s="3"/>
      <c r="D434" s="3"/>
      <c r="E434" s="3" t="s">
        <v>860</v>
      </c>
      <c r="F434" s="3" t="s">
        <v>915</v>
      </c>
      <c r="G434" s="3"/>
      <c r="H434" s="3" t="s">
        <v>1096</v>
      </c>
    </row>
    <row r="435" spans="1:8">
      <c r="A435" s="3"/>
      <c r="B435" s="3"/>
      <c r="C435" s="3"/>
      <c r="D435" s="3"/>
      <c r="E435" s="3" t="s">
        <v>863</v>
      </c>
      <c r="F435" s="3" t="s">
        <v>1097</v>
      </c>
      <c r="G435" s="3" t="s">
        <v>592</v>
      </c>
      <c r="H435" s="3" t="s">
        <v>1098</v>
      </c>
    </row>
    <row r="436" spans="1:8">
      <c r="A436" s="3"/>
      <c r="B436" s="3"/>
      <c r="C436" s="3"/>
      <c r="D436" s="3"/>
      <c r="E436" s="3" t="s">
        <v>866</v>
      </c>
      <c r="F436" s="3" t="s">
        <v>1099</v>
      </c>
      <c r="G436" s="3"/>
      <c r="H436" s="3" t="s">
        <v>1100</v>
      </c>
    </row>
    <row r="437" spans="1:8">
      <c r="A437" s="3"/>
      <c r="B437" s="3"/>
      <c r="C437" s="3"/>
      <c r="D437" s="3"/>
      <c r="E437" s="3" t="s">
        <v>869</v>
      </c>
      <c r="F437" s="3" t="s">
        <v>1101</v>
      </c>
      <c r="G437" s="3" t="s">
        <v>592</v>
      </c>
      <c r="H437" s="3" t="s">
        <v>1102</v>
      </c>
    </row>
    <row r="438" spans="1:8">
      <c r="A438" s="3"/>
      <c r="B438" s="3"/>
      <c r="C438" s="3"/>
      <c r="D438" s="3"/>
      <c r="E438" s="3" t="s">
        <v>872</v>
      </c>
      <c r="F438" s="3" t="s">
        <v>1103</v>
      </c>
      <c r="G438" s="3"/>
      <c r="H438" s="3" t="s">
        <v>1104</v>
      </c>
    </row>
    <row r="439" spans="1:8">
      <c r="A439" s="3"/>
      <c r="B439" s="3"/>
      <c r="C439" s="3"/>
      <c r="D439" s="3"/>
      <c r="E439" s="3" t="s">
        <v>875</v>
      </c>
      <c r="F439" s="3" t="s">
        <v>1105</v>
      </c>
      <c r="G439" s="3"/>
      <c r="H439" s="3" t="s">
        <v>1106</v>
      </c>
    </row>
    <row r="440" spans="1:8">
      <c r="A440" s="3"/>
      <c r="B440" s="3"/>
      <c r="C440" s="3"/>
      <c r="D440" s="3"/>
      <c r="E440" s="3" t="s">
        <v>878</v>
      </c>
      <c r="F440" s="3" t="s">
        <v>1107</v>
      </c>
      <c r="G440" s="3"/>
      <c r="H440" s="3" t="s">
        <v>1108</v>
      </c>
    </row>
    <row r="441" spans="1:8">
      <c r="A441" s="3"/>
      <c r="B441" s="3"/>
      <c r="C441" s="3"/>
      <c r="D441" s="3"/>
      <c r="E441" s="3" t="s">
        <v>881</v>
      </c>
      <c r="F441" s="3" t="s">
        <v>1109</v>
      </c>
      <c r="G441" s="3"/>
      <c r="H441" s="3" t="s">
        <v>1110</v>
      </c>
    </row>
    <row r="442" spans="1:8">
      <c r="A442" s="3"/>
      <c r="B442" s="3"/>
      <c r="C442" s="3"/>
      <c r="D442" s="3"/>
      <c r="E442" s="3" t="s">
        <v>884</v>
      </c>
      <c r="F442" s="3" t="s">
        <v>1111</v>
      </c>
      <c r="G442" s="3"/>
      <c r="H442" s="3" t="s">
        <v>1112</v>
      </c>
    </row>
    <row r="443" spans="1:8">
      <c r="A443" s="3"/>
      <c r="B443" s="3"/>
      <c r="C443" s="3"/>
      <c r="D443" s="3"/>
      <c r="E443" s="3" t="s">
        <v>887</v>
      </c>
      <c r="F443" s="3" t="s">
        <v>1113</v>
      </c>
      <c r="G443" s="3" t="s">
        <v>592</v>
      </c>
      <c r="H443" s="3" t="s">
        <v>1114</v>
      </c>
    </row>
    <row r="444" spans="1:8">
      <c r="A444" s="3"/>
      <c r="B444" s="3"/>
      <c r="C444" s="3"/>
      <c r="D444" s="3"/>
      <c r="E444" s="3" t="s">
        <v>890</v>
      </c>
      <c r="F444" s="3" t="s">
        <v>1115</v>
      </c>
      <c r="G444" s="3" t="s">
        <v>592</v>
      </c>
      <c r="H444" s="3" t="s">
        <v>1116</v>
      </c>
    </row>
    <row r="445" spans="1:8">
      <c r="A445" s="3"/>
      <c r="B445" s="3"/>
      <c r="C445" s="3"/>
      <c r="D445" s="3"/>
      <c r="E445" s="3" t="s">
        <v>893</v>
      </c>
      <c r="F445" s="3" t="s">
        <v>1117</v>
      </c>
      <c r="G445" s="3"/>
      <c r="H445" s="3" t="s">
        <v>1118</v>
      </c>
    </row>
    <row r="446" spans="1:8">
      <c r="A446" s="3"/>
      <c r="B446" s="3" t="s">
        <v>144</v>
      </c>
      <c r="C446" s="3" t="s">
        <v>145</v>
      </c>
      <c r="D446" s="3" t="s">
        <v>982</v>
      </c>
      <c r="E446" s="3" t="s">
        <v>12</v>
      </c>
      <c r="F446" s="3" t="s">
        <v>341</v>
      </c>
      <c r="G446" s="3"/>
      <c r="H446" s="3" t="s">
        <v>1119</v>
      </c>
    </row>
    <row r="447" spans="1:8">
      <c r="A447" s="3"/>
      <c r="B447" s="3"/>
      <c r="C447" s="3"/>
      <c r="D447" s="3"/>
      <c r="E447" s="3" t="s">
        <v>21</v>
      </c>
      <c r="F447" s="3" t="s">
        <v>1120</v>
      </c>
      <c r="G447" s="3"/>
      <c r="H447" s="3" t="s">
        <v>1121</v>
      </c>
    </row>
    <row r="448" spans="1:8">
      <c r="A448" s="3"/>
      <c r="B448" s="3"/>
      <c r="C448" s="3"/>
      <c r="D448" s="3"/>
      <c r="E448" s="3" t="s">
        <v>27</v>
      </c>
      <c r="F448" s="3" t="s">
        <v>591</v>
      </c>
      <c r="G448" s="3" t="s">
        <v>592</v>
      </c>
      <c r="H448" s="3" t="s">
        <v>593</v>
      </c>
    </row>
    <row r="449" spans="1:8">
      <c r="A449" s="3"/>
      <c r="B449" s="3"/>
      <c r="C449" s="3"/>
      <c r="D449" s="3"/>
      <c r="E449" s="3" t="s">
        <v>33</v>
      </c>
      <c r="F449" s="3" t="s">
        <v>1122</v>
      </c>
      <c r="G449" s="3" t="s">
        <v>597</v>
      </c>
      <c r="H449" s="3" t="s">
        <v>1123</v>
      </c>
    </row>
    <row r="450" spans="1:8">
      <c r="A450" s="3"/>
      <c r="B450" s="3"/>
      <c r="C450" s="3"/>
      <c r="D450" s="3"/>
      <c r="E450" s="3" t="s">
        <v>39</v>
      </c>
      <c r="F450" s="3" t="s">
        <v>594</v>
      </c>
      <c r="G450" s="3"/>
      <c r="H450" s="3" t="s">
        <v>595</v>
      </c>
    </row>
    <row r="451" spans="1:8">
      <c r="A451" s="3"/>
      <c r="B451" s="3"/>
      <c r="C451" s="3"/>
      <c r="D451" s="3"/>
      <c r="E451" s="3" t="s">
        <v>45</v>
      </c>
      <c r="F451" s="3" t="s">
        <v>601</v>
      </c>
      <c r="G451" s="3" t="s">
        <v>1124</v>
      </c>
      <c r="H451" s="3" t="s">
        <v>1125</v>
      </c>
    </row>
    <row r="452" spans="1:8">
      <c r="A452" s="3"/>
      <c r="B452" s="3"/>
      <c r="C452" s="3"/>
      <c r="D452" s="3"/>
      <c r="E452" s="3" t="s">
        <v>51</v>
      </c>
      <c r="F452" s="3" t="s">
        <v>497</v>
      </c>
      <c r="G452" s="3"/>
      <c r="H452" s="3" t="s">
        <v>498</v>
      </c>
    </row>
    <row r="453" spans="1:8">
      <c r="A453" s="3"/>
      <c r="B453" s="3"/>
      <c r="C453" s="3"/>
      <c r="D453" s="3"/>
      <c r="E453" s="3" t="s">
        <v>57</v>
      </c>
      <c r="F453" s="3" t="s">
        <v>499</v>
      </c>
      <c r="G453" s="3"/>
      <c r="H453" s="3" t="s">
        <v>500</v>
      </c>
    </row>
    <row r="454" spans="1:8">
      <c r="A454" s="3"/>
      <c r="B454" s="3"/>
      <c r="C454" s="3"/>
      <c r="D454" s="3"/>
      <c r="E454" s="3" t="s">
        <v>63</v>
      </c>
      <c r="F454" s="3" t="s">
        <v>605</v>
      </c>
      <c r="G454" s="3"/>
      <c r="H454" s="3" t="s">
        <v>606</v>
      </c>
    </row>
    <row r="455" spans="1:8" hidden="1">
      <c r="A455" s="4" t="s">
        <v>2</v>
      </c>
      <c r="B455" s="4"/>
      <c r="C455" s="4"/>
      <c r="D455" s="4" t="s">
        <v>379</v>
      </c>
      <c r="E455" s="4"/>
      <c r="F455" s="4"/>
      <c r="G455" s="4"/>
      <c r="H455" s="4"/>
    </row>
    <row r="456" spans="1:8" hidden="1">
      <c r="A456" s="4" t="s">
        <v>0</v>
      </c>
      <c r="B456" s="4" t="s">
        <v>2</v>
      </c>
      <c r="C456" s="4" t="s">
        <v>3</v>
      </c>
      <c r="D456" s="4" t="s">
        <v>380</v>
      </c>
      <c r="E456" s="4" t="s">
        <v>1</v>
      </c>
      <c r="F456" s="4" t="s">
        <v>381</v>
      </c>
      <c r="G456" s="4" t="s">
        <v>403</v>
      </c>
      <c r="H456" s="4" t="s">
        <v>404</v>
      </c>
    </row>
    <row r="457" spans="1:8">
      <c r="A457" s="3" t="s">
        <v>137</v>
      </c>
      <c r="B457" s="3" t="s">
        <v>144</v>
      </c>
      <c r="C457" s="3" t="s">
        <v>145</v>
      </c>
      <c r="D457" s="3"/>
      <c r="E457" s="3" t="s">
        <v>69</v>
      </c>
      <c r="F457" s="3" t="s">
        <v>607</v>
      </c>
      <c r="G457" s="3" t="s">
        <v>592</v>
      </c>
      <c r="H457" s="3" t="s">
        <v>608</v>
      </c>
    </row>
    <row r="458" spans="1:8">
      <c r="A458" s="3"/>
      <c r="B458" s="3"/>
      <c r="C458" s="3"/>
      <c r="D458" s="3"/>
      <c r="E458" s="3" t="s">
        <v>75</v>
      </c>
      <c r="F458" s="3" t="s">
        <v>635</v>
      </c>
      <c r="G458" s="3"/>
      <c r="H458" s="3" t="s">
        <v>636</v>
      </c>
    </row>
    <row r="459" spans="1:8">
      <c r="A459" s="3"/>
      <c r="B459" s="3"/>
      <c r="C459" s="3"/>
      <c r="D459" s="3"/>
      <c r="E459" s="3" t="s">
        <v>126</v>
      </c>
      <c r="F459" s="3" t="s">
        <v>638</v>
      </c>
      <c r="G459" s="3"/>
      <c r="H459" s="3" t="s">
        <v>639</v>
      </c>
    </row>
    <row r="460" spans="1:8">
      <c r="A460" s="3"/>
      <c r="B460" s="3"/>
      <c r="C460" s="3"/>
      <c r="D460" s="3"/>
      <c r="E460" s="3" t="s">
        <v>131</v>
      </c>
      <c r="F460" s="3" t="s">
        <v>641</v>
      </c>
      <c r="G460" s="3"/>
      <c r="H460" s="3" t="s">
        <v>642</v>
      </c>
    </row>
    <row r="461" spans="1:8">
      <c r="A461" s="3"/>
      <c r="B461" s="3"/>
      <c r="C461" s="3"/>
      <c r="D461" s="3"/>
      <c r="E461" s="3" t="s">
        <v>219</v>
      </c>
      <c r="F461" s="3" t="s">
        <v>644</v>
      </c>
      <c r="G461" s="3" t="s">
        <v>597</v>
      </c>
      <c r="H461" s="3" t="s">
        <v>1126</v>
      </c>
    </row>
    <row r="462" spans="1:8">
      <c r="A462" s="3"/>
      <c r="B462" s="3"/>
      <c r="C462" s="3"/>
      <c r="D462" s="3"/>
      <c r="E462" s="3" t="s">
        <v>222</v>
      </c>
      <c r="F462" s="3" t="s">
        <v>647</v>
      </c>
      <c r="G462" s="3" t="s">
        <v>597</v>
      </c>
      <c r="H462" s="3" t="s">
        <v>1127</v>
      </c>
    </row>
    <row r="463" spans="1:8">
      <c r="A463" s="3"/>
      <c r="B463" s="3"/>
      <c r="C463" s="3"/>
      <c r="D463" s="3"/>
      <c r="E463" s="3" t="s">
        <v>225</v>
      </c>
      <c r="F463" s="3" t="s">
        <v>650</v>
      </c>
      <c r="G463" s="3" t="s">
        <v>597</v>
      </c>
      <c r="H463" s="3" t="s">
        <v>1128</v>
      </c>
    </row>
    <row r="464" spans="1:8">
      <c r="A464" s="3"/>
      <c r="B464" s="3"/>
      <c r="C464" s="3"/>
      <c r="D464" s="3"/>
      <c r="E464" s="3" t="s">
        <v>228</v>
      </c>
      <c r="F464" s="3" t="s">
        <v>627</v>
      </c>
      <c r="G464" s="3"/>
      <c r="H464" s="3" t="s">
        <v>1129</v>
      </c>
    </row>
    <row r="465" spans="1:8">
      <c r="A465" s="3"/>
      <c r="B465" s="3"/>
      <c r="C465" s="3"/>
      <c r="D465" s="3"/>
      <c r="E465" s="3" t="s">
        <v>231</v>
      </c>
      <c r="F465" s="3" t="s">
        <v>629</v>
      </c>
      <c r="G465" s="3"/>
      <c r="H465" s="3" t="s">
        <v>1130</v>
      </c>
    </row>
    <row r="466" spans="1:8">
      <c r="A466" s="3"/>
      <c r="B466" s="3"/>
      <c r="C466" s="3"/>
      <c r="D466" s="3"/>
      <c r="E466" s="3" t="s">
        <v>234</v>
      </c>
      <c r="F466" s="3" t="s">
        <v>1131</v>
      </c>
      <c r="G466" s="3"/>
      <c r="H466" s="3" t="s">
        <v>1132</v>
      </c>
    </row>
    <row r="467" spans="1:8">
      <c r="A467" s="3"/>
      <c r="B467" s="3"/>
      <c r="C467" s="3"/>
      <c r="D467" s="3"/>
      <c r="E467" s="3" t="s">
        <v>237</v>
      </c>
      <c r="F467" s="3" t="s">
        <v>1133</v>
      </c>
      <c r="G467" s="3"/>
      <c r="H467" s="3" t="s">
        <v>1134</v>
      </c>
    </row>
    <row r="468" spans="1:8">
      <c r="A468" s="3"/>
      <c r="B468" s="3"/>
      <c r="C468" s="3"/>
      <c r="D468" s="3"/>
      <c r="E468" s="3" t="s">
        <v>246</v>
      </c>
      <c r="F468" s="3" t="s">
        <v>1135</v>
      </c>
      <c r="G468" s="3"/>
      <c r="H468" s="3" t="s">
        <v>1136</v>
      </c>
    </row>
    <row r="469" spans="1:8">
      <c r="A469" s="3"/>
      <c r="B469" s="3"/>
      <c r="C469" s="3"/>
      <c r="D469" s="3"/>
      <c r="E469" s="3" t="s">
        <v>247</v>
      </c>
      <c r="F469" s="3" t="s">
        <v>953</v>
      </c>
      <c r="G469" s="3"/>
      <c r="H469" s="3" t="s">
        <v>954</v>
      </c>
    </row>
    <row r="470" spans="1:8">
      <c r="A470" s="3"/>
      <c r="B470" s="3"/>
      <c r="C470" s="3"/>
      <c r="D470" s="3"/>
      <c r="E470" s="3" t="s">
        <v>305</v>
      </c>
      <c r="F470" s="3" t="s">
        <v>956</v>
      </c>
      <c r="G470" s="3"/>
      <c r="H470" s="3" t="s">
        <v>957</v>
      </c>
    </row>
    <row r="471" spans="1:8">
      <c r="A471" s="3"/>
      <c r="B471" s="3"/>
      <c r="C471" s="3"/>
      <c r="D471" s="3"/>
      <c r="E471" s="3" t="s">
        <v>307</v>
      </c>
      <c r="F471" s="3" t="s">
        <v>965</v>
      </c>
      <c r="G471" s="3"/>
      <c r="H471" s="3" t="s">
        <v>966</v>
      </c>
    </row>
    <row r="472" spans="1:8">
      <c r="A472" s="3"/>
      <c r="B472" s="3"/>
      <c r="C472" s="3"/>
      <c r="D472" s="3"/>
      <c r="E472" s="3" t="s">
        <v>432</v>
      </c>
      <c r="F472" s="3" t="s">
        <v>968</v>
      </c>
      <c r="G472" s="3"/>
      <c r="H472" s="3" t="s">
        <v>969</v>
      </c>
    </row>
    <row r="473" spans="1:8">
      <c r="A473" s="3"/>
      <c r="B473" s="3"/>
      <c r="C473" s="3"/>
      <c r="D473" s="3"/>
      <c r="E473" s="3" t="s">
        <v>436</v>
      </c>
      <c r="F473" s="3" t="s">
        <v>971</v>
      </c>
      <c r="G473" s="3" t="s">
        <v>592</v>
      </c>
      <c r="H473" s="3" t="s">
        <v>972</v>
      </c>
    </row>
    <row r="474" spans="1:8">
      <c r="A474" s="3"/>
      <c r="B474" s="3"/>
      <c r="C474" s="3"/>
      <c r="D474" s="3"/>
      <c r="E474" s="3" t="s">
        <v>439</v>
      </c>
      <c r="F474" s="3" t="s">
        <v>974</v>
      </c>
      <c r="G474" s="3" t="s">
        <v>592</v>
      </c>
      <c r="H474" s="3" t="s">
        <v>975</v>
      </c>
    </row>
    <row r="475" spans="1:8">
      <c r="A475" s="3"/>
      <c r="B475" s="3" t="s">
        <v>147</v>
      </c>
      <c r="C475" s="3" t="s">
        <v>148</v>
      </c>
      <c r="D475" s="3" t="s">
        <v>982</v>
      </c>
      <c r="E475" s="3" t="s">
        <v>12</v>
      </c>
      <c r="F475" s="3" t="s">
        <v>1137</v>
      </c>
      <c r="G475" s="3"/>
      <c r="H475" s="3" t="s">
        <v>1138</v>
      </c>
    </row>
    <row r="476" spans="1:8">
      <c r="A476" s="3"/>
      <c r="B476" s="3"/>
      <c r="C476" s="3"/>
      <c r="D476" s="3"/>
      <c r="E476" s="3" t="s">
        <v>21</v>
      </c>
      <c r="F476" s="3" t="s">
        <v>1139</v>
      </c>
      <c r="G476" s="3"/>
      <c r="H476" s="3" t="s">
        <v>1138</v>
      </c>
    </row>
    <row r="477" spans="1:8">
      <c r="A477" s="3"/>
      <c r="B477" s="3"/>
      <c r="C477" s="3"/>
      <c r="D477" s="3"/>
      <c r="E477" s="3" t="s">
        <v>27</v>
      </c>
      <c r="F477" s="3" t="s">
        <v>1140</v>
      </c>
      <c r="G477" s="3"/>
      <c r="H477" s="3" t="s">
        <v>1141</v>
      </c>
    </row>
    <row r="478" spans="1:8">
      <c r="A478" s="3"/>
      <c r="B478" s="3"/>
      <c r="C478" s="3"/>
      <c r="D478" s="3"/>
      <c r="E478" s="3" t="s">
        <v>33</v>
      </c>
      <c r="F478" s="3" t="s">
        <v>1142</v>
      </c>
      <c r="G478" s="3"/>
      <c r="H478" s="3" t="s">
        <v>1141</v>
      </c>
    </row>
    <row r="479" spans="1:8">
      <c r="A479" s="3"/>
      <c r="B479" s="3"/>
      <c r="C479" s="3"/>
      <c r="D479" s="3"/>
      <c r="E479" s="3" t="s">
        <v>39</v>
      </c>
      <c r="F479" s="3" t="s">
        <v>1143</v>
      </c>
      <c r="G479" s="3"/>
      <c r="H479" s="3" t="s">
        <v>1144</v>
      </c>
    </row>
    <row r="480" spans="1:8">
      <c r="A480" s="3"/>
      <c r="B480" s="3"/>
      <c r="C480" s="3"/>
      <c r="D480" s="3"/>
      <c r="E480" s="3" t="s">
        <v>45</v>
      </c>
      <c r="F480" s="3" t="s">
        <v>1145</v>
      </c>
      <c r="G480" s="3"/>
      <c r="H480" s="3" t="s">
        <v>1146</v>
      </c>
    </row>
    <row r="481" spans="1:8">
      <c r="A481" s="3"/>
      <c r="B481" s="3"/>
      <c r="C481" s="3"/>
      <c r="D481" s="3"/>
      <c r="E481" s="3" t="s">
        <v>51</v>
      </c>
      <c r="F481" s="3" t="s">
        <v>1147</v>
      </c>
      <c r="G481" s="3" t="s">
        <v>1148</v>
      </c>
      <c r="H481" s="3" t="s">
        <v>598</v>
      </c>
    </row>
    <row r="482" spans="1:8">
      <c r="A482" s="3"/>
      <c r="B482" s="3"/>
      <c r="C482" s="3"/>
      <c r="D482" s="3"/>
      <c r="E482" s="3" t="s">
        <v>57</v>
      </c>
      <c r="F482" s="3" t="s">
        <v>1149</v>
      </c>
      <c r="G482" s="3"/>
      <c r="H482" s="3" t="s">
        <v>1150</v>
      </c>
    </row>
    <row r="483" spans="1:8">
      <c r="A483" s="3"/>
      <c r="B483" s="3"/>
      <c r="C483" s="3"/>
      <c r="D483" s="3"/>
      <c r="E483" s="3" t="s">
        <v>63</v>
      </c>
      <c r="F483" s="3" t="s">
        <v>1151</v>
      </c>
      <c r="G483" s="3"/>
      <c r="H483" s="3" t="s">
        <v>1152</v>
      </c>
    </row>
    <row r="484" spans="1:8">
      <c r="A484" s="3"/>
      <c r="B484" s="3"/>
      <c r="C484" s="3"/>
      <c r="D484" s="3"/>
      <c r="E484" s="3" t="s">
        <v>69</v>
      </c>
      <c r="F484" s="3" t="s">
        <v>1153</v>
      </c>
      <c r="G484" s="3"/>
      <c r="H484" s="3" t="s">
        <v>1154</v>
      </c>
    </row>
    <row r="485" spans="1:8">
      <c r="A485" s="3"/>
      <c r="B485" s="3"/>
      <c r="C485" s="3"/>
      <c r="D485" s="3"/>
      <c r="E485" s="3" t="s">
        <v>75</v>
      </c>
      <c r="F485" s="3" t="s">
        <v>1155</v>
      </c>
      <c r="G485" s="3"/>
      <c r="H485" s="3" t="s">
        <v>1156</v>
      </c>
    </row>
    <row r="486" spans="1:8">
      <c r="A486" s="3"/>
      <c r="B486" s="3"/>
      <c r="C486" s="3"/>
      <c r="D486" s="3"/>
      <c r="E486" s="3" t="s">
        <v>126</v>
      </c>
      <c r="F486" s="3" t="s">
        <v>1157</v>
      </c>
      <c r="G486" s="3" t="s">
        <v>597</v>
      </c>
      <c r="H486" s="3" t="s">
        <v>1158</v>
      </c>
    </row>
    <row r="487" spans="1:8">
      <c r="A487" s="3"/>
      <c r="B487" s="3"/>
      <c r="C487" s="3"/>
      <c r="D487" s="3"/>
      <c r="E487" s="3" t="s">
        <v>131</v>
      </c>
      <c r="F487" s="3" t="s">
        <v>1159</v>
      </c>
      <c r="G487" s="3"/>
      <c r="H487" s="3" t="s">
        <v>1160</v>
      </c>
    </row>
    <row r="488" spans="1:8">
      <c r="A488" s="3"/>
      <c r="B488" s="3"/>
      <c r="C488" s="3"/>
      <c r="D488" s="3"/>
      <c r="E488" s="3" t="s">
        <v>219</v>
      </c>
      <c r="F488" s="3" t="s">
        <v>1161</v>
      </c>
      <c r="G488" s="3" t="s">
        <v>597</v>
      </c>
      <c r="H488" s="3" t="s">
        <v>1162</v>
      </c>
    </row>
    <row r="489" spans="1:8">
      <c r="A489" s="3"/>
      <c r="B489" s="3"/>
      <c r="C489" s="3"/>
      <c r="D489" s="3"/>
      <c r="E489" s="3" t="s">
        <v>222</v>
      </c>
      <c r="F489" s="3" t="s">
        <v>1163</v>
      </c>
      <c r="G489" s="3"/>
      <c r="H489" s="3" t="s">
        <v>1164</v>
      </c>
    </row>
    <row r="490" spans="1:8">
      <c r="A490" s="3"/>
      <c r="B490" s="3"/>
      <c r="C490" s="3"/>
      <c r="D490" s="3"/>
      <c r="E490" s="3" t="s">
        <v>225</v>
      </c>
      <c r="F490" s="3" t="s">
        <v>1165</v>
      </c>
      <c r="G490" s="3"/>
      <c r="H490" s="3" t="s">
        <v>1166</v>
      </c>
    </row>
    <row r="491" spans="1:8">
      <c r="A491" s="3"/>
      <c r="B491" s="3"/>
      <c r="C491" s="3"/>
      <c r="D491" s="3"/>
      <c r="E491" s="3" t="s">
        <v>228</v>
      </c>
      <c r="F491" s="3" t="s">
        <v>1167</v>
      </c>
      <c r="G491" s="3"/>
      <c r="H491" s="3" t="s">
        <v>1168</v>
      </c>
    </row>
    <row r="492" spans="1:8">
      <c r="A492" s="3"/>
      <c r="B492" s="3"/>
      <c r="C492" s="3"/>
      <c r="D492" s="3"/>
      <c r="E492" s="3" t="s">
        <v>231</v>
      </c>
      <c r="F492" s="3" t="s">
        <v>1169</v>
      </c>
      <c r="G492" s="3"/>
      <c r="H492" s="3" t="s">
        <v>1170</v>
      </c>
    </row>
    <row r="493" spans="1:8">
      <c r="A493" s="3"/>
      <c r="B493" s="3"/>
      <c r="C493" s="3"/>
      <c r="D493" s="3"/>
      <c r="E493" s="3" t="s">
        <v>234</v>
      </c>
      <c r="F493" s="3" t="s">
        <v>1171</v>
      </c>
      <c r="G493" s="3" t="s">
        <v>597</v>
      </c>
      <c r="H493" s="3" t="s">
        <v>1172</v>
      </c>
    </row>
    <row r="494" spans="1:8">
      <c r="A494" s="3"/>
      <c r="B494" s="3"/>
      <c r="C494" s="3"/>
      <c r="D494" s="3"/>
      <c r="E494" s="3" t="s">
        <v>237</v>
      </c>
      <c r="F494" s="3" t="s">
        <v>1173</v>
      </c>
      <c r="G494" s="3"/>
      <c r="H494" s="3" t="s">
        <v>1174</v>
      </c>
    </row>
    <row r="495" spans="1:8">
      <c r="A495" s="3"/>
      <c r="B495" s="3"/>
      <c r="C495" s="3"/>
      <c r="D495" s="3"/>
      <c r="E495" s="3" t="s">
        <v>246</v>
      </c>
      <c r="F495" s="3" t="s">
        <v>1175</v>
      </c>
      <c r="G495" s="3" t="s">
        <v>597</v>
      </c>
      <c r="H495" s="3" t="s">
        <v>1176</v>
      </c>
    </row>
    <row r="496" spans="1:8" hidden="1">
      <c r="A496" s="4" t="s">
        <v>2</v>
      </c>
      <c r="B496" s="4"/>
      <c r="C496" s="4"/>
      <c r="D496" s="4" t="s">
        <v>379</v>
      </c>
      <c r="E496" s="4"/>
      <c r="F496" s="4"/>
      <c r="G496" s="4"/>
      <c r="H496" s="4"/>
    </row>
    <row r="497" spans="1:8" hidden="1">
      <c r="A497" s="4" t="s">
        <v>0</v>
      </c>
      <c r="B497" s="4" t="s">
        <v>2</v>
      </c>
      <c r="C497" s="4" t="s">
        <v>3</v>
      </c>
      <c r="D497" s="4" t="s">
        <v>380</v>
      </c>
      <c r="E497" s="4" t="s">
        <v>1</v>
      </c>
      <c r="F497" s="4" t="s">
        <v>381</v>
      </c>
      <c r="G497" s="4" t="s">
        <v>403</v>
      </c>
      <c r="H497" s="4" t="s">
        <v>404</v>
      </c>
    </row>
    <row r="498" spans="1:8">
      <c r="A498" s="3" t="s">
        <v>137</v>
      </c>
      <c r="B498" s="3" t="s">
        <v>150</v>
      </c>
      <c r="C498" s="3" t="s">
        <v>151</v>
      </c>
      <c r="D498" s="3" t="s">
        <v>1177</v>
      </c>
      <c r="E498" s="3" t="s">
        <v>12</v>
      </c>
      <c r="F498" s="3" t="s">
        <v>1178</v>
      </c>
      <c r="G498" s="3"/>
      <c r="H498" s="3" t="s">
        <v>1179</v>
      </c>
    </row>
    <row r="499" spans="1:8">
      <c r="A499" s="3"/>
      <c r="B499" s="3" t="s">
        <v>153</v>
      </c>
      <c r="C499" s="3" t="s">
        <v>154</v>
      </c>
      <c r="D499" s="3" t="s">
        <v>1180</v>
      </c>
      <c r="E499" s="3" t="s">
        <v>12</v>
      </c>
      <c r="F499" s="3" t="s">
        <v>1181</v>
      </c>
      <c r="G499" s="3" t="s">
        <v>600</v>
      </c>
      <c r="H499" s="3" t="s">
        <v>1182</v>
      </c>
    </row>
    <row r="500" spans="1:8">
      <c r="A500" s="3"/>
      <c r="B500" s="3"/>
      <c r="C500" s="3"/>
      <c r="D500" s="3"/>
      <c r="E500" s="3" t="s">
        <v>21</v>
      </c>
      <c r="F500" s="3" t="s">
        <v>627</v>
      </c>
      <c r="G500" s="3"/>
      <c r="H500" s="3" t="s">
        <v>1183</v>
      </c>
    </row>
    <row r="501" spans="1:8">
      <c r="A501" s="3"/>
      <c r="B501" s="3"/>
      <c r="C501" s="3"/>
      <c r="D501" s="3"/>
      <c r="E501" s="3" t="s">
        <v>27</v>
      </c>
      <c r="F501" s="3" t="s">
        <v>1184</v>
      </c>
      <c r="G501" s="3"/>
      <c r="H501" s="3" t="s">
        <v>1185</v>
      </c>
    </row>
    <row r="502" spans="1:8">
      <c r="A502" s="3"/>
      <c r="B502" s="3" t="s">
        <v>156</v>
      </c>
      <c r="C502" s="3" t="s">
        <v>157</v>
      </c>
      <c r="D502" s="3" t="s">
        <v>1186</v>
      </c>
      <c r="E502" s="3" t="s">
        <v>12</v>
      </c>
      <c r="F502" s="3" t="s">
        <v>1187</v>
      </c>
      <c r="G502" s="3"/>
      <c r="H502" s="3" t="s">
        <v>1188</v>
      </c>
    </row>
    <row r="503" spans="1:8">
      <c r="A503" s="3"/>
      <c r="B503" s="3"/>
      <c r="C503" s="3"/>
      <c r="D503" s="3"/>
      <c r="E503" s="3" t="s">
        <v>21</v>
      </c>
      <c r="F503" s="3" t="s">
        <v>1189</v>
      </c>
      <c r="G503" s="3"/>
      <c r="H503" s="3" t="s">
        <v>1190</v>
      </c>
    </row>
    <row r="504" spans="1:8">
      <c r="A504" s="3"/>
      <c r="B504" s="3"/>
      <c r="C504" s="3"/>
      <c r="D504" s="3"/>
      <c r="E504" s="3" t="s">
        <v>27</v>
      </c>
      <c r="F504" s="3" t="s">
        <v>1191</v>
      </c>
      <c r="G504" s="3" t="s">
        <v>592</v>
      </c>
      <c r="H504" s="3" t="s">
        <v>1192</v>
      </c>
    </row>
    <row r="505" spans="1:8">
      <c r="A505" s="3"/>
      <c r="B505" s="3"/>
      <c r="C505" s="3"/>
      <c r="D505" s="3"/>
      <c r="E505" s="3" t="s">
        <v>33</v>
      </c>
      <c r="F505" s="3" t="s">
        <v>1193</v>
      </c>
      <c r="G505" s="3"/>
      <c r="H505" s="3" t="s">
        <v>1194</v>
      </c>
    </row>
    <row r="506" spans="1:8">
      <c r="A506" s="3"/>
      <c r="B506" s="3"/>
      <c r="C506" s="3"/>
      <c r="D506" s="3"/>
      <c r="E506" s="3" t="s">
        <v>39</v>
      </c>
      <c r="F506" s="3" t="s">
        <v>1195</v>
      </c>
      <c r="G506" s="3"/>
      <c r="H506" s="3" t="s">
        <v>1196</v>
      </c>
    </row>
    <row r="507" spans="1:8">
      <c r="A507" s="3"/>
      <c r="B507" s="3"/>
      <c r="C507" s="3"/>
      <c r="D507" s="3"/>
      <c r="E507" s="3" t="s">
        <v>45</v>
      </c>
      <c r="F507" s="3" t="s">
        <v>1197</v>
      </c>
      <c r="G507" s="3"/>
      <c r="H507" s="3" t="s">
        <v>1198</v>
      </c>
    </row>
    <row r="508" spans="1:8">
      <c r="A508" s="3"/>
      <c r="B508" s="3"/>
      <c r="C508" s="3"/>
      <c r="D508" s="3"/>
      <c r="E508" s="3" t="s">
        <v>51</v>
      </c>
      <c r="F508" s="3" t="s">
        <v>1199</v>
      </c>
      <c r="G508" s="3"/>
      <c r="H508" s="3" t="s">
        <v>1200</v>
      </c>
    </row>
    <row r="509" spans="1:8">
      <c r="A509" s="3"/>
      <c r="B509" s="3"/>
      <c r="C509" s="3"/>
      <c r="D509" s="3"/>
      <c r="E509" s="3" t="s">
        <v>57</v>
      </c>
      <c r="F509" s="3" t="s">
        <v>1201</v>
      </c>
      <c r="G509" s="3"/>
      <c r="H509" s="3" t="s">
        <v>1202</v>
      </c>
    </row>
    <row r="510" spans="1:8">
      <c r="A510" s="3"/>
      <c r="B510" s="3"/>
      <c r="C510" s="3"/>
      <c r="D510" s="3"/>
      <c r="E510" s="3" t="s">
        <v>63</v>
      </c>
      <c r="F510" s="3" t="s">
        <v>1203</v>
      </c>
      <c r="G510" s="3"/>
      <c r="H510" s="3" t="s">
        <v>1204</v>
      </c>
    </row>
    <row r="511" spans="1:8">
      <c r="A511" s="3"/>
      <c r="B511" s="3"/>
      <c r="C511" s="3"/>
      <c r="D511" s="3"/>
      <c r="E511" s="3" t="s">
        <v>69</v>
      </c>
      <c r="F511" s="3" t="s">
        <v>1205</v>
      </c>
      <c r="G511" s="3"/>
      <c r="H511" s="3" t="s">
        <v>1206</v>
      </c>
    </row>
    <row r="512" spans="1:8">
      <c r="A512" s="3"/>
      <c r="B512" s="3"/>
      <c r="C512" s="3"/>
      <c r="D512" s="3"/>
      <c r="E512" s="3" t="s">
        <v>75</v>
      </c>
      <c r="F512" s="3" t="s">
        <v>1207</v>
      </c>
      <c r="G512" s="3"/>
      <c r="H512" s="3" t="s">
        <v>1208</v>
      </c>
    </row>
    <row r="513" spans="1:8">
      <c r="A513" s="3"/>
      <c r="B513" s="3"/>
      <c r="C513" s="3"/>
      <c r="D513" s="3"/>
      <c r="E513" s="3" t="s">
        <v>126</v>
      </c>
      <c r="F513" s="3" t="s">
        <v>1209</v>
      </c>
      <c r="G513" s="3"/>
      <c r="H513" s="3" t="s">
        <v>1210</v>
      </c>
    </row>
    <row r="514" spans="1:8">
      <c r="A514" s="3"/>
      <c r="B514" s="3"/>
      <c r="C514" s="3"/>
      <c r="D514" s="3"/>
      <c r="E514" s="3" t="s">
        <v>131</v>
      </c>
      <c r="F514" s="3" t="s">
        <v>1211</v>
      </c>
      <c r="G514" s="3" t="s">
        <v>592</v>
      </c>
      <c r="H514" s="3" t="s">
        <v>1212</v>
      </c>
    </row>
    <row r="515" spans="1:8">
      <c r="A515" s="3"/>
      <c r="B515" s="3" t="s">
        <v>159</v>
      </c>
      <c r="C515" s="3" t="s">
        <v>160</v>
      </c>
      <c r="D515" s="3" t="s">
        <v>1213</v>
      </c>
      <c r="E515" s="3" t="s">
        <v>12</v>
      </c>
      <c r="F515" s="3" t="s">
        <v>344</v>
      </c>
      <c r="G515" s="3"/>
      <c r="H515" s="3" t="s">
        <v>1214</v>
      </c>
    </row>
    <row r="516" spans="1:8">
      <c r="A516" s="3"/>
      <c r="B516" s="3"/>
      <c r="C516" s="3"/>
      <c r="D516" s="3"/>
      <c r="E516" s="3" t="s">
        <v>21</v>
      </c>
      <c r="F516" s="3" t="s">
        <v>1215</v>
      </c>
      <c r="G516" s="3"/>
      <c r="H516" s="3" t="s">
        <v>1216</v>
      </c>
    </row>
    <row r="517" spans="1:8">
      <c r="A517" s="3"/>
      <c r="B517" s="3"/>
      <c r="C517" s="3"/>
      <c r="D517" s="3"/>
      <c r="E517" s="3" t="s">
        <v>27</v>
      </c>
      <c r="F517" s="3" t="s">
        <v>1217</v>
      </c>
      <c r="G517" s="3"/>
      <c r="H517" s="3" t="s">
        <v>1218</v>
      </c>
    </row>
    <row r="518" spans="1:8">
      <c r="A518" s="3"/>
      <c r="B518" s="3"/>
      <c r="C518" s="3"/>
      <c r="D518" s="3"/>
      <c r="E518" s="3" t="s">
        <v>33</v>
      </c>
      <c r="F518" s="3" t="s">
        <v>1219</v>
      </c>
      <c r="G518" s="3"/>
      <c r="H518" s="3" t="s">
        <v>1220</v>
      </c>
    </row>
    <row r="519" spans="1:8" hidden="1">
      <c r="A519" s="4" t="s">
        <v>2</v>
      </c>
      <c r="B519" s="4"/>
      <c r="C519" s="4"/>
      <c r="D519" s="4" t="s">
        <v>379</v>
      </c>
      <c r="E519" s="4"/>
      <c r="F519" s="4"/>
      <c r="G519" s="4"/>
      <c r="H519" s="4"/>
    </row>
    <row r="520" spans="1:8" hidden="1">
      <c r="A520" s="4" t="s">
        <v>0</v>
      </c>
      <c r="B520" s="4" t="s">
        <v>2</v>
      </c>
      <c r="C520" s="4" t="s">
        <v>3</v>
      </c>
      <c r="D520" s="4" t="s">
        <v>380</v>
      </c>
      <c r="E520" s="4" t="s">
        <v>1</v>
      </c>
      <c r="F520" s="4" t="s">
        <v>381</v>
      </c>
      <c r="G520" s="4" t="s">
        <v>403</v>
      </c>
      <c r="H520" s="4" t="s">
        <v>404</v>
      </c>
    </row>
    <row r="521" spans="1:8">
      <c r="A521" s="3" t="s">
        <v>168</v>
      </c>
      <c r="B521" s="3" t="s">
        <v>169</v>
      </c>
      <c r="C521" s="3" t="s">
        <v>170</v>
      </c>
      <c r="D521" s="3" t="s">
        <v>1221</v>
      </c>
      <c r="E521" s="3" t="s">
        <v>12</v>
      </c>
      <c r="F521" s="3" t="s">
        <v>412</v>
      </c>
      <c r="G521" s="3"/>
      <c r="H521" s="3" t="s">
        <v>413</v>
      </c>
    </row>
    <row r="522" spans="1:8">
      <c r="A522" s="3"/>
      <c r="B522" s="3"/>
      <c r="C522" s="3"/>
      <c r="D522" s="3"/>
      <c r="E522" s="3" t="s">
        <v>21</v>
      </c>
      <c r="F522" s="3" t="s">
        <v>415</v>
      </c>
      <c r="G522" s="3"/>
      <c r="H522" s="3" t="s">
        <v>1222</v>
      </c>
    </row>
    <row r="523" spans="1:8">
      <c r="A523" s="3"/>
      <c r="B523" s="3"/>
      <c r="C523" s="3"/>
      <c r="D523" s="3"/>
      <c r="E523" s="3" t="s">
        <v>27</v>
      </c>
      <c r="F523" s="3" t="s">
        <v>353</v>
      </c>
      <c r="G523" s="3"/>
      <c r="H523" s="3" t="s">
        <v>1223</v>
      </c>
    </row>
    <row r="524" spans="1:8">
      <c r="A524" s="3"/>
      <c r="B524" s="3"/>
      <c r="C524" s="3"/>
      <c r="D524" s="3"/>
      <c r="E524" s="3" t="s">
        <v>33</v>
      </c>
      <c r="F524" s="3" t="s">
        <v>1224</v>
      </c>
      <c r="G524" s="3" t="s">
        <v>592</v>
      </c>
      <c r="H524" s="3" t="s">
        <v>1225</v>
      </c>
    </row>
    <row r="525" spans="1:8">
      <c r="A525" s="3"/>
      <c r="B525" s="3"/>
      <c r="C525" s="3"/>
      <c r="D525" s="3"/>
      <c r="E525" s="3" t="s">
        <v>39</v>
      </c>
      <c r="F525" s="3" t="s">
        <v>1181</v>
      </c>
      <c r="G525" s="3" t="s">
        <v>1226</v>
      </c>
      <c r="H525" s="3" t="s">
        <v>1227</v>
      </c>
    </row>
    <row r="526" spans="1:8">
      <c r="A526" s="3"/>
      <c r="B526" s="3"/>
      <c r="C526" s="3"/>
      <c r="D526" s="3"/>
      <c r="E526" s="3" t="s">
        <v>45</v>
      </c>
      <c r="F526" s="3" t="s">
        <v>635</v>
      </c>
      <c r="G526" s="3"/>
      <c r="H526" s="3" t="s">
        <v>1228</v>
      </c>
    </row>
    <row r="527" spans="1:8">
      <c r="A527" s="3"/>
      <c r="B527" s="3"/>
      <c r="C527" s="3"/>
      <c r="D527" s="3"/>
      <c r="E527" s="3" t="s">
        <v>51</v>
      </c>
      <c r="F527" s="3" t="s">
        <v>638</v>
      </c>
      <c r="G527" s="3"/>
      <c r="H527" s="3" t="s">
        <v>1229</v>
      </c>
    </row>
    <row r="528" spans="1:8">
      <c r="A528" s="3"/>
      <c r="B528" s="3"/>
      <c r="C528" s="3"/>
      <c r="D528" s="3"/>
      <c r="E528" s="3" t="s">
        <v>57</v>
      </c>
      <c r="F528" s="3" t="s">
        <v>641</v>
      </c>
      <c r="G528" s="3"/>
      <c r="H528" s="3" t="s">
        <v>1230</v>
      </c>
    </row>
    <row r="529" spans="1:8">
      <c r="A529" s="3"/>
      <c r="B529" s="3"/>
      <c r="C529" s="3"/>
      <c r="D529" s="3"/>
      <c r="E529" s="3" t="s">
        <v>63</v>
      </c>
      <c r="F529" s="3" t="s">
        <v>1231</v>
      </c>
      <c r="G529" s="3"/>
      <c r="H529" s="3" t="s">
        <v>1232</v>
      </c>
    </row>
    <row r="530" spans="1:8">
      <c r="A530" s="3"/>
      <c r="B530" s="3"/>
      <c r="C530" s="3"/>
      <c r="D530" s="3"/>
      <c r="E530" s="3" t="s">
        <v>69</v>
      </c>
      <c r="F530" s="3" t="s">
        <v>627</v>
      </c>
      <c r="G530" s="3"/>
      <c r="H530" s="3" t="s">
        <v>1233</v>
      </c>
    </row>
    <row r="531" spans="1:8">
      <c r="A531" s="3"/>
      <c r="B531" s="3" t="s">
        <v>172</v>
      </c>
      <c r="C531" s="3" t="s">
        <v>173</v>
      </c>
      <c r="D531" s="3"/>
      <c r="E531" s="3" t="s">
        <v>12</v>
      </c>
      <c r="F531" s="3" t="s">
        <v>412</v>
      </c>
      <c r="G531" s="3"/>
      <c r="H531" s="3" t="s">
        <v>413</v>
      </c>
    </row>
    <row r="532" spans="1:8">
      <c r="A532" s="3"/>
      <c r="B532" s="3"/>
      <c r="C532" s="3"/>
      <c r="D532" s="3"/>
      <c r="E532" s="3" t="s">
        <v>21</v>
      </c>
      <c r="F532" s="3" t="s">
        <v>415</v>
      </c>
      <c r="G532" s="3"/>
      <c r="H532" s="3" t="s">
        <v>1222</v>
      </c>
    </row>
    <row r="533" spans="1:8">
      <c r="A533" s="3"/>
      <c r="B533" s="3"/>
      <c r="C533" s="3"/>
      <c r="D533" s="3"/>
      <c r="E533" s="3" t="s">
        <v>27</v>
      </c>
      <c r="F533" s="3" t="s">
        <v>353</v>
      </c>
      <c r="G533" s="3"/>
      <c r="H533" s="3" t="s">
        <v>1234</v>
      </c>
    </row>
    <row r="534" spans="1:8">
      <c r="A534" s="3"/>
      <c r="B534" s="3"/>
      <c r="C534" s="3"/>
      <c r="D534" s="3"/>
      <c r="E534" s="3" t="s">
        <v>33</v>
      </c>
      <c r="F534" s="3" t="s">
        <v>1224</v>
      </c>
      <c r="G534" s="3" t="s">
        <v>592</v>
      </c>
      <c r="H534" s="3" t="s">
        <v>1225</v>
      </c>
    </row>
    <row r="535" spans="1:8">
      <c r="A535" s="3"/>
      <c r="B535" s="3"/>
      <c r="C535" s="3"/>
      <c r="D535" s="3"/>
      <c r="E535" s="3" t="s">
        <v>39</v>
      </c>
      <c r="F535" s="3" t="s">
        <v>1181</v>
      </c>
      <c r="G535" s="3"/>
      <c r="H535" s="3" t="s">
        <v>1235</v>
      </c>
    </row>
    <row r="536" spans="1:8">
      <c r="A536" s="3"/>
      <c r="B536" s="3"/>
      <c r="C536" s="3"/>
      <c r="D536" s="3"/>
      <c r="E536" s="3" t="s">
        <v>45</v>
      </c>
      <c r="F536" s="3" t="s">
        <v>635</v>
      </c>
      <c r="G536" s="3"/>
      <c r="H536" s="3" t="s">
        <v>1228</v>
      </c>
    </row>
    <row r="537" spans="1:8">
      <c r="A537" s="3"/>
      <c r="B537" s="3"/>
      <c r="C537" s="3"/>
      <c r="D537" s="3"/>
      <c r="E537" s="3" t="s">
        <v>51</v>
      </c>
      <c r="F537" s="3" t="s">
        <v>638</v>
      </c>
      <c r="G537" s="3"/>
      <c r="H537" s="3" t="s">
        <v>1229</v>
      </c>
    </row>
    <row r="538" spans="1:8">
      <c r="A538" s="3"/>
      <c r="B538" s="3"/>
      <c r="C538" s="3"/>
      <c r="D538" s="3"/>
      <c r="E538" s="3" t="s">
        <v>57</v>
      </c>
      <c r="F538" s="3" t="s">
        <v>641</v>
      </c>
      <c r="G538" s="3"/>
      <c r="H538" s="3" t="s">
        <v>1230</v>
      </c>
    </row>
    <row r="539" spans="1:8">
      <c r="A539" s="3"/>
      <c r="B539" s="3"/>
      <c r="C539" s="3"/>
      <c r="D539" s="3"/>
      <c r="E539" s="3" t="s">
        <v>63</v>
      </c>
      <c r="F539" s="3" t="s">
        <v>1231</v>
      </c>
      <c r="G539" s="3"/>
      <c r="H539" s="3" t="s">
        <v>1232</v>
      </c>
    </row>
    <row r="540" spans="1:8">
      <c r="A540" s="3"/>
      <c r="B540" s="3"/>
      <c r="C540" s="3"/>
      <c r="D540" s="3"/>
      <c r="E540" s="3" t="s">
        <v>69</v>
      </c>
      <c r="F540" s="3" t="s">
        <v>627</v>
      </c>
      <c r="G540" s="3"/>
      <c r="H540" s="3" t="s">
        <v>1233</v>
      </c>
    </row>
    <row r="541" spans="1:8">
      <c r="A541" s="3"/>
      <c r="B541" s="3" t="s">
        <v>175</v>
      </c>
      <c r="C541" s="3" t="s">
        <v>176</v>
      </c>
      <c r="D541" s="3"/>
      <c r="E541" s="3" t="s">
        <v>12</v>
      </c>
      <c r="F541" s="3" t="s">
        <v>412</v>
      </c>
      <c r="G541" s="3"/>
      <c r="H541" s="3" t="s">
        <v>413</v>
      </c>
    </row>
    <row r="542" spans="1:8">
      <c r="A542" s="3"/>
      <c r="B542" s="3"/>
      <c r="C542" s="3"/>
      <c r="D542" s="3"/>
      <c r="E542" s="3" t="s">
        <v>21</v>
      </c>
      <c r="F542" s="3" t="s">
        <v>415</v>
      </c>
      <c r="G542" s="3"/>
      <c r="H542" s="3" t="s">
        <v>1222</v>
      </c>
    </row>
    <row r="543" spans="1:8">
      <c r="A543" s="3"/>
      <c r="B543" s="3"/>
      <c r="C543" s="3"/>
      <c r="D543" s="3"/>
      <c r="E543" s="3" t="s">
        <v>27</v>
      </c>
      <c r="F543" s="3" t="s">
        <v>353</v>
      </c>
      <c r="G543" s="3"/>
      <c r="H543" s="3" t="s">
        <v>1223</v>
      </c>
    </row>
    <row r="544" spans="1:8">
      <c r="A544" s="3"/>
      <c r="B544" s="3"/>
      <c r="C544" s="3"/>
      <c r="D544" s="3"/>
      <c r="E544" s="3" t="s">
        <v>33</v>
      </c>
      <c r="F544" s="3" t="s">
        <v>1224</v>
      </c>
      <c r="G544" s="3" t="s">
        <v>592</v>
      </c>
      <c r="H544" s="3" t="s">
        <v>1225</v>
      </c>
    </row>
    <row r="545" spans="1:8">
      <c r="A545" s="3"/>
      <c r="B545" s="3"/>
      <c r="C545" s="3"/>
      <c r="D545" s="3"/>
      <c r="E545" s="3" t="s">
        <v>39</v>
      </c>
      <c r="F545" s="3" t="s">
        <v>1181</v>
      </c>
      <c r="G545" s="3" t="s">
        <v>597</v>
      </c>
      <c r="H545" s="3" t="s">
        <v>1236</v>
      </c>
    </row>
    <row r="546" spans="1:8">
      <c r="A546" s="3"/>
      <c r="B546" s="3"/>
      <c r="C546" s="3"/>
      <c r="D546" s="3"/>
      <c r="E546" s="3" t="s">
        <v>45</v>
      </c>
      <c r="F546" s="3" t="s">
        <v>1237</v>
      </c>
      <c r="G546" s="3"/>
      <c r="H546" s="3" t="s">
        <v>1238</v>
      </c>
    </row>
    <row r="547" spans="1:8">
      <c r="A547" s="3"/>
      <c r="B547" s="3"/>
      <c r="C547" s="3"/>
      <c r="D547" s="3"/>
      <c r="E547" s="3" t="s">
        <v>51</v>
      </c>
      <c r="F547" s="3" t="s">
        <v>1239</v>
      </c>
      <c r="G547" s="3"/>
      <c r="H547" s="3" t="s">
        <v>1240</v>
      </c>
    </row>
    <row r="548" spans="1:8">
      <c r="A548" s="3"/>
      <c r="B548" s="3"/>
      <c r="C548" s="3"/>
      <c r="D548" s="3"/>
      <c r="E548" s="3" t="s">
        <v>57</v>
      </c>
      <c r="F548" s="3" t="s">
        <v>1241</v>
      </c>
      <c r="G548" s="3"/>
      <c r="H548" s="3" t="s">
        <v>1242</v>
      </c>
    </row>
    <row r="549" spans="1:8">
      <c r="A549" s="3"/>
      <c r="B549" s="3"/>
      <c r="C549" s="3"/>
      <c r="D549" s="3"/>
      <c r="E549" s="3" t="s">
        <v>63</v>
      </c>
      <c r="F549" s="3" t="s">
        <v>1243</v>
      </c>
      <c r="G549" s="3"/>
      <c r="H549" s="3" t="s">
        <v>1244</v>
      </c>
    </row>
    <row r="550" spans="1:8">
      <c r="A550" s="3"/>
      <c r="B550" s="3"/>
      <c r="C550" s="3"/>
      <c r="D550" s="3"/>
      <c r="E550" s="3" t="s">
        <v>69</v>
      </c>
      <c r="F550" s="3" t="s">
        <v>1245</v>
      </c>
      <c r="G550" s="3"/>
      <c r="H550" s="3" t="s">
        <v>1246</v>
      </c>
    </row>
    <row r="551" spans="1:8">
      <c r="A551" s="3"/>
      <c r="B551" s="3"/>
      <c r="C551" s="3"/>
      <c r="D551" s="3"/>
      <c r="E551" s="3" t="s">
        <v>75</v>
      </c>
      <c r="F551" s="3" t="s">
        <v>1247</v>
      </c>
      <c r="G551" s="3"/>
      <c r="H551" s="3" t="s">
        <v>1248</v>
      </c>
    </row>
    <row r="552" spans="1:8">
      <c r="A552" s="3"/>
      <c r="B552" s="3"/>
      <c r="C552" s="3"/>
      <c r="D552" s="3"/>
      <c r="E552" s="3" t="s">
        <v>126</v>
      </c>
      <c r="F552" s="3" t="s">
        <v>1249</v>
      </c>
      <c r="G552" s="3"/>
      <c r="H552" s="3" t="s">
        <v>1250</v>
      </c>
    </row>
    <row r="553" spans="1:8">
      <c r="A553" s="3" t="s">
        <v>178</v>
      </c>
      <c r="B553" s="3" t="s">
        <v>179</v>
      </c>
      <c r="C553" s="3" t="s">
        <v>180</v>
      </c>
      <c r="D553" s="3" t="s">
        <v>1251</v>
      </c>
      <c r="E553" s="3" t="s">
        <v>12</v>
      </c>
      <c r="F553" s="3" t="s">
        <v>398</v>
      </c>
      <c r="G553" s="3"/>
      <c r="H553" s="3" t="s">
        <v>1252</v>
      </c>
    </row>
    <row r="554" spans="1:8">
      <c r="A554" s="3"/>
      <c r="B554" s="3"/>
      <c r="C554" s="3"/>
      <c r="D554" s="3"/>
      <c r="E554" s="3" t="s">
        <v>21</v>
      </c>
      <c r="F554" s="3" t="s">
        <v>1253</v>
      </c>
      <c r="G554" s="3"/>
      <c r="H554" s="3" t="s">
        <v>1254</v>
      </c>
    </row>
  </sheetData>
  <autoFilter ref="A1:K554" xr:uid="{16326B8D-5A06-4BAF-9F6F-C15920A3CEC4}">
    <filterColumn colId="0">
      <filters blank="1">
        <filter val="チャート関数"/>
        <filter val="注文約定関数"/>
        <filter val="投資情報関数"/>
        <filter val="補助関数"/>
      </filters>
    </filterColumn>
  </autoFilter>
  <phoneticPr fontId="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DDC12-F796-4D5A-A7CA-7D16DAE083CD}">
  <dimension ref="A1:D217"/>
  <sheetViews>
    <sheetView workbookViewId="0">
      <selection activeCell="C35" sqref="C35"/>
    </sheetView>
  </sheetViews>
  <sheetFormatPr defaultRowHeight="15"/>
  <cols>
    <col min="1" max="1" width="13.54296875" style="1" bestFit="1" customWidth="1"/>
    <col min="2" max="2" width="24.1796875" style="1" bestFit="1" customWidth="1"/>
    <col min="3" max="3" width="39.6328125" style="1" bestFit="1" customWidth="1"/>
    <col min="4" max="4" width="55.36328125" style="1" customWidth="1"/>
    <col min="5" max="5" width="106" style="1" bestFit="1" customWidth="1"/>
    <col min="6" max="6" width="255.6328125" style="1" bestFit="1" customWidth="1"/>
    <col min="7" max="7" width="97.08984375" style="1" bestFit="1" customWidth="1"/>
    <col min="8" max="8" width="177.90625" style="1" bestFit="1" customWidth="1"/>
    <col min="9" max="10" width="9.26953125" style="1" bestFit="1" customWidth="1"/>
    <col min="11" max="11" width="133.54296875" style="1" bestFit="1" customWidth="1"/>
    <col min="12" max="16384" width="8.7265625" style="1"/>
  </cols>
  <sheetData>
    <row r="1" spans="1:4">
      <c r="A1" s="1" t="s">
        <v>1255</v>
      </c>
      <c r="B1" s="1" t="s">
        <v>341</v>
      </c>
      <c r="C1" s="1" t="s">
        <v>1256</v>
      </c>
      <c r="D1" s="1" t="s">
        <v>1257</v>
      </c>
    </row>
    <row r="2" spans="1:4">
      <c r="A2" s="1" t="s">
        <v>12</v>
      </c>
      <c r="B2" s="1" t="s">
        <v>1258</v>
      </c>
      <c r="C2" s="1" t="s">
        <v>1259</v>
      </c>
      <c r="D2" s="1" t="s">
        <v>1260</v>
      </c>
    </row>
    <row r="3" spans="1:4">
      <c r="A3" s="1" t="s">
        <v>21</v>
      </c>
      <c r="B3" s="1" t="s">
        <v>1261</v>
      </c>
      <c r="C3" s="1" t="s">
        <v>1262</v>
      </c>
      <c r="D3" s="1" t="s">
        <v>1260</v>
      </c>
    </row>
    <row r="4" spans="1:4">
      <c r="A4" s="1" t="s">
        <v>27</v>
      </c>
      <c r="B4" s="1" t="s">
        <v>1263</v>
      </c>
      <c r="C4" s="1" t="s">
        <v>1264</v>
      </c>
      <c r="D4" s="1" t="s">
        <v>1260</v>
      </c>
    </row>
    <row r="5" spans="1:4">
      <c r="A5" s="1" t="s">
        <v>33</v>
      </c>
      <c r="B5" s="1" t="s">
        <v>1265</v>
      </c>
      <c r="C5" s="1" t="s">
        <v>1266</v>
      </c>
      <c r="D5" s="1" t="s">
        <v>1260</v>
      </c>
    </row>
    <row r="6" spans="1:4">
      <c r="A6" s="1" t="s">
        <v>39</v>
      </c>
      <c r="B6" s="1" t="s">
        <v>1267</v>
      </c>
      <c r="C6" s="1" t="s">
        <v>1268</v>
      </c>
      <c r="D6" s="1" t="s">
        <v>1260</v>
      </c>
    </row>
    <row r="7" spans="1:4">
      <c r="A7" s="1" t="s">
        <v>45</v>
      </c>
      <c r="B7" s="1" t="s">
        <v>1269</v>
      </c>
      <c r="C7" s="1" t="s">
        <v>1270</v>
      </c>
      <c r="D7" s="1" t="s">
        <v>1260</v>
      </c>
    </row>
    <row r="8" spans="1:4">
      <c r="A8" s="1" t="s">
        <v>51</v>
      </c>
      <c r="B8" s="1" t="s">
        <v>1271</v>
      </c>
      <c r="C8" s="1" t="s">
        <v>1272</v>
      </c>
      <c r="D8" s="1" t="s">
        <v>1260</v>
      </c>
    </row>
    <row r="9" spans="1:4">
      <c r="A9" s="1" t="s">
        <v>57</v>
      </c>
      <c r="B9" s="1" t="s">
        <v>1273</v>
      </c>
      <c r="C9" s="1" t="s">
        <v>1274</v>
      </c>
      <c r="D9" s="1" t="s">
        <v>1260</v>
      </c>
    </row>
    <row r="10" spans="1:4">
      <c r="A10" s="1" t="s">
        <v>63</v>
      </c>
      <c r="B10" s="1" t="s">
        <v>1275</v>
      </c>
      <c r="C10" s="1" t="s">
        <v>1276</v>
      </c>
      <c r="D10" s="1" t="s">
        <v>1260</v>
      </c>
    </row>
    <row r="11" spans="1:4">
      <c r="A11" s="1" t="s">
        <v>69</v>
      </c>
      <c r="B11" s="1" t="s">
        <v>1277</v>
      </c>
      <c r="C11" s="1" t="s">
        <v>1278</v>
      </c>
      <c r="D11" s="1" t="s">
        <v>1260</v>
      </c>
    </row>
    <row r="12" spans="1:4">
      <c r="A12" s="1" t="s">
        <v>75</v>
      </c>
      <c r="B12" s="1" t="s">
        <v>1279</v>
      </c>
      <c r="C12" s="1" t="s">
        <v>1280</v>
      </c>
      <c r="D12" s="1" t="s">
        <v>1260</v>
      </c>
    </row>
    <row r="13" spans="1:4">
      <c r="A13" s="1" t="s">
        <v>126</v>
      </c>
      <c r="B13" s="1" t="s">
        <v>1281</v>
      </c>
      <c r="C13" s="1" t="s">
        <v>1282</v>
      </c>
      <c r="D13" s="1" t="s">
        <v>1260</v>
      </c>
    </row>
    <row r="14" spans="1:4">
      <c r="A14" s="1" t="s">
        <v>131</v>
      </c>
      <c r="B14" s="1" t="s">
        <v>1283</v>
      </c>
      <c r="C14" s="1" t="s">
        <v>1284</v>
      </c>
      <c r="D14" s="1" t="s">
        <v>1260</v>
      </c>
    </row>
    <row r="15" spans="1:4">
      <c r="A15" s="1" t="s">
        <v>219</v>
      </c>
      <c r="B15" s="1" t="s">
        <v>1285</v>
      </c>
      <c r="C15" s="1" t="s">
        <v>1286</v>
      </c>
      <c r="D15" s="1" t="s">
        <v>1260</v>
      </c>
    </row>
    <row r="16" spans="1:4">
      <c r="A16" s="1" t="s">
        <v>222</v>
      </c>
      <c r="B16" s="1" t="s">
        <v>1287</v>
      </c>
      <c r="C16" s="1" t="s">
        <v>1288</v>
      </c>
      <c r="D16" s="1" t="s">
        <v>1260</v>
      </c>
    </row>
    <row r="17" spans="1:4">
      <c r="A17" s="1" t="s">
        <v>225</v>
      </c>
      <c r="B17" s="1" t="s">
        <v>1289</v>
      </c>
      <c r="C17" s="1" t="s">
        <v>1290</v>
      </c>
      <c r="D17" s="1" t="s">
        <v>1260</v>
      </c>
    </row>
    <row r="18" spans="1:4">
      <c r="A18" s="1" t="s">
        <v>228</v>
      </c>
      <c r="B18" s="1" t="s">
        <v>1291</v>
      </c>
      <c r="C18" s="1" t="s">
        <v>1292</v>
      </c>
      <c r="D18" s="1" t="s">
        <v>1260</v>
      </c>
    </row>
    <row r="19" spans="1:4">
      <c r="A19" s="1" t="s">
        <v>231</v>
      </c>
      <c r="B19" s="1" t="s">
        <v>1293</v>
      </c>
      <c r="C19" s="1" t="s">
        <v>1294</v>
      </c>
      <c r="D19" s="1" t="s">
        <v>1260</v>
      </c>
    </row>
    <row r="20" spans="1:4">
      <c r="A20" s="1" t="s">
        <v>234</v>
      </c>
      <c r="B20" s="1" t="s">
        <v>1295</v>
      </c>
      <c r="C20" s="1" t="s">
        <v>1296</v>
      </c>
      <c r="D20" s="1" t="s">
        <v>1297</v>
      </c>
    </row>
    <row r="21" spans="1:4">
      <c r="A21" s="1" t="s">
        <v>237</v>
      </c>
      <c r="B21" s="1" t="s">
        <v>1298</v>
      </c>
      <c r="C21" s="1" t="s">
        <v>1299</v>
      </c>
      <c r="D21" s="1" t="s">
        <v>1297</v>
      </c>
    </row>
    <row r="22" spans="1:4">
      <c r="A22" s="1" t="s">
        <v>246</v>
      </c>
      <c r="B22" s="1" t="s">
        <v>1300</v>
      </c>
      <c r="C22" s="1" t="s">
        <v>1301</v>
      </c>
      <c r="D22" s="1" t="s">
        <v>1297</v>
      </c>
    </row>
    <row r="23" spans="1:4">
      <c r="A23" s="1" t="s">
        <v>247</v>
      </c>
      <c r="B23" s="1" t="s">
        <v>1302</v>
      </c>
      <c r="C23" s="1" t="s">
        <v>1303</v>
      </c>
      <c r="D23" s="1" t="s">
        <v>1297</v>
      </c>
    </row>
    <row r="24" spans="1:4">
      <c r="A24" s="1" t="s">
        <v>305</v>
      </c>
      <c r="B24" s="1" t="s">
        <v>1304</v>
      </c>
      <c r="C24" s="1" t="s">
        <v>1305</v>
      </c>
      <c r="D24" s="1" t="s">
        <v>1297</v>
      </c>
    </row>
    <row r="25" spans="1:4">
      <c r="A25" s="1" t="s">
        <v>307</v>
      </c>
      <c r="B25" s="1" t="s">
        <v>1306</v>
      </c>
      <c r="C25" s="1" t="s">
        <v>1307</v>
      </c>
      <c r="D25" s="1" t="s">
        <v>1297</v>
      </c>
    </row>
    <row r="26" spans="1:4">
      <c r="A26" s="1" t="s">
        <v>432</v>
      </c>
      <c r="B26" s="1" t="s">
        <v>1308</v>
      </c>
      <c r="C26" s="1" t="s">
        <v>1309</v>
      </c>
      <c r="D26" s="1" t="s">
        <v>1297</v>
      </c>
    </row>
    <row r="27" spans="1:4">
      <c r="A27" s="1" t="s">
        <v>436</v>
      </c>
      <c r="B27" s="1" t="s">
        <v>1310</v>
      </c>
      <c r="C27" s="1" t="s">
        <v>1311</v>
      </c>
      <c r="D27" s="1" t="s">
        <v>1297</v>
      </c>
    </row>
    <row r="28" spans="1:4">
      <c r="A28" s="1" t="s">
        <v>439</v>
      </c>
      <c r="B28" s="1" t="s">
        <v>1312</v>
      </c>
      <c r="C28" s="1" t="s">
        <v>1313</v>
      </c>
      <c r="D28" s="1" t="s">
        <v>1297</v>
      </c>
    </row>
    <row r="29" spans="1:4">
      <c r="A29" s="1" t="s">
        <v>442</v>
      </c>
      <c r="B29" s="1" t="s">
        <v>1314</v>
      </c>
      <c r="C29" s="1" t="s">
        <v>1315</v>
      </c>
      <c r="D29" s="1" t="s">
        <v>1297</v>
      </c>
    </row>
    <row r="30" spans="1:4">
      <c r="A30" s="1" t="s">
        <v>443</v>
      </c>
      <c r="B30" s="1" t="s">
        <v>1316</v>
      </c>
      <c r="C30" s="1" t="s">
        <v>1317</v>
      </c>
      <c r="D30" s="1" t="s">
        <v>1297</v>
      </c>
    </row>
    <row r="31" spans="1:4">
      <c r="A31" s="1" t="s">
        <v>444</v>
      </c>
      <c r="B31" s="1" t="s">
        <v>1318</v>
      </c>
      <c r="C31" s="1" t="s">
        <v>1319</v>
      </c>
      <c r="D31" s="1" t="s">
        <v>1297</v>
      </c>
    </row>
    <row r="32" spans="1:4">
      <c r="A32" s="1" t="s">
        <v>637</v>
      </c>
      <c r="B32" s="1" t="s">
        <v>1320</v>
      </c>
      <c r="C32" s="1" t="s">
        <v>1321</v>
      </c>
      <c r="D32" s="1" t="s">
        <v>1297</v>
      </c>
    </row>
    <row r="33" spans="1:4">
      <c r="A33" s="1" t="s">
        <v>640</v>
      </c>
      <c r="B33" s="1" t="s">
        <v>1322</v>
      </c>
      <c r="C33" s="1" t="s">
        <v>1323</v>
      </c>
      <c r="D33" s="1" t="s">
        <v>1297</v>
      </c>
    </row>
    <row r="34" spans="1:4">
      <c r="A34" s="1" t="s">
        <v>643</v>
      </c>
      <c r="B34" s="1" t="s">
        <v>1324</v>
      </c>
      <c r="C34" s="1" t="s">
        <v>1325</v>
      </c>
      <c r="D34" s="1" t="s">
        <v>1297</v>
      </c>
    </row>
    <row r="35" spans="1:4">
      <c r="A35" s="1" t="s">
        <v>646</v>
      </c>
      <c r="B35" s="1" t="s">
        <v>1326</v>
      </c>
      <c r="C35" s="1" t="s">
        <v>1327</v>
      </c>
      <c r="D35" s="1" t="s">
        <v>1297</v>
      </c>
    </row>
    <row r="36" spans="1:4">
      <c r="A36" s="1" t="s">
        <v>649</v>
      </c>
      <c r="B36" s="1" t="s">
        <v>1328</v>
      </c>
      <c r="C36" s="1" t="s">
        <v>1329</v>
      </c>
      <c r="D36" s="1" t="s">
        <v>1297</v>
      </c>
    </row>
    <row r="37" spans="1:4">
      <c r="A37" s="1" t="s">
        <v>652</v>
      </c>
      <c r="B37" s="1" t="s">
        <v>1330</v>
      </c>
      <c r="C37" s="1" t="s">
        <v>1331</v>
      </c>
      <c r="D37" s="1" t="s">
        <v>1297</v>
      </c>
    </row>
    <row r="38" spans="1:4">
      <c r="A38" s="1" t="s">
        <v>654</v>
      </c>
      <c r="B38" s="1" t="s">
        <v>1332</v>
      </c>
      <c r="C38" s="1" t="s">
        <v>1333</v>
      </c>
      <c r="D38" s="1" t="s">
        <v>1297</v>
      </c>
    </row>
    <row r="39" spans="1:4">
      <c r="A39" s="1" t="s">
        <v>656</v>
      </c>
      <c r="B39" s="1" t="s">
        <v>1334</v>
      </c>
      <c r="C39" s="1" t="s">
        <v>1335</v>
      </c>
      <c r="D39" s="1" t="s">
        <v>1297</v>
      </c>
    </row>
    <row r="40" spans="1:4">
      <c r="A40" s="1" t="s">
        <v>658</v>
      </c>
      <c r="B40" s="1" t="s">
        <v>1336</v>
      </c>
      <c r="C40" s="1" t="s">
        <v>1337</v>
      </c>
      <c r="D40" s="1" t="s">
        <v>1297</v>
      </c>
    </row>
    <row r="41" spans="1:4">
      <c r="A41" s="1" t="s">
        <v>661</v>
      </c>
      <c r="B41" s="1" t="s">
        <v>1338</v>
      </c>
      <c r="C41" s="1" t="s">
        <v>1339</v>
      </c>
      <c r="D41" s="1" t="s">
        <v>1297</v>
      </c>
    </row>
    <row r="42" spans="1:4">
      <c r="A42" s="1" t="s">
        <v>664</v>
      </c>
      <c r="B42" s="1" t="s">
        <v>1340</v>
      </c>
      <c r="C42" s="1" t="s">
        <v>1341</v>
      </c>
      <c r="D42" s="1" t="s">
        <v>1297</v>
      </c>
    </row>
    <row r="43" spans="1:4">
      <c r="A43" s="1" t="s">
        <v>667</v>
      </c>
      <c r="B43" s="1" t="s">
        <v>1342</v>
      </c>
      <c r="C43" s="1" t="s">
        <v>1343</v>
      </c>
      <c r="D43" s="1" t="s">
        <v>1297</v>
      </c>
    </row>
    <row r="44" spans="1:4">
      <c r="A44" s="1" t="s">
        <v>670</v>
      </c>
      <c r="B44" s="1" t="s">
        <v>1344</v>
      </c>
      <c r="C44" s="1" t="s">
        <v>1345</v>
      </c>
      <c r="D44" s="1" t="s">
        <v>1297</v>
      </c>
    </row>
    <row r="45" spans="1:4">
      <c r="A45" s="1" t="s">
        <v>673</v>
      </c>
      <c r="B45" s="1" t="s">
        <v>1346</v>
      </c>
      <c r="C45" s="1" t="s">
        <v>1347</v>
      </c>
      <c r="D45" s="1" t="s">
        <v>1297</v>
      </c>
    </row>
    <row r="46" spans="1:4">
      <c r="A46" s="1" t="s">
        <v>676</v>
      </c>
      <c r="B46" s="1" t="s">
        <v>1348</v>
      </c>
      <c r="C46" s="1" t="s">
        <v>1349</v>
      </c>
      <c r="D46" s="1" t="s">
        <v>1297</v>
      </c>
    </row>
    <row r="47" spans="1:4">
      <c r="A47" s="1" t="s">
        <v>679</v>
      </c>
      <c r="B47" s="1" t="s">
        <v>1350</v>
      </c>
      <c r="C47" s="1" t="s">
        <v>1351</v>
      </c>
      <c r="D47" s="1" t="s">
        <v>1297</v>
      </c>
    </row>
    <row r="48" spans="1:4">
      <c r="A48" s="1" t="s">
        <v>682</v>
      </c>
      <c r="B48" s="1" t="s">
        <v>1352</v>
      </c>
      <c r="C48" s="1" t="s">
        <v>1353</v>
      </c>
      <c r="D48" s="1" t="s">
        <v>1297</v>
      </c>
    </row>
    <row r="49" spans="1:4">
      <c r="A49" s="1" t="s">
        <v>685</v>
      </c>
      <c r="B49" s="1" t="s">
        <v>1354</v>
      </c>
      <c r="C49" s="1" t="s">
        <v>1355</v>
      </c>
      <c r="D49" s="1" t="s">
        <v>1297</v>
      </c>
    </row>
    <row r="50" spans="1:4">
      <c r="A50" s="1" t="s">
        <v>688</v>
      </c>
      <c r="B50" s="1" t="s">
        <v>1356</v>
      </c>
      <c r="C50" s="1" t="s">
        <v>1357</v>
      </c>
      <c r="D50" s="1" t="s">
        <v>1297</v>
      </c>
    </row>
    <row r="51" spans="1:4">
      <c r="A51" s="1" t="s">
        <v>691</v>
      </c>
      <c r="B51" s="1" t="s">
        <v>1358</v>
      </c>
      <c r="C51" s="1" t="s">
        <v>1359</v>
      </c>
      <c r="D51" s="1" t="s">
        <v>1297</v>
      </c>
    </row>
    <row r="52" spans="1:4">
      <c r="A52" s="1" t="s">
        <v>694</v>
      </c>
      <c r="B52" s="1" t="s">
        <v>1360</v>
      </c>
      <c r="C52" s="1" t="s">
        <v>1361</v>
      </c>
      <c r="D52" s="1" t="s">
        <v>1297</v>
      </c>
    </row>
    <row r="53" spans="1:4">
      <c r="A53" s="1" t="s">
        <v>697</v>
      </c>
      <c r="B53" s="1" t="s">
        <v>1362</v>
      </c>
      <c r="C53" s="1" t="s">
        <v>1363</v>
      </c>
      <c r="D53" s="1" t="s">
        <v>1297</v>
      </c>
    </row>
    <row r="54" spans="1:4">
      <c r="A54" s="1" t="s">
        <v>700</v>
      </c>
      <c r="B54" s="1" t="s">
        <v>1364</v>
      </c>
      <c r="C54" s="1" t="s">
        <v>1365</v>
      </c>
      <c r="D54" s="1" t="s">
        <v>1297</v>
      </c>
    </row>
    <row r="55" spans="1:4">
      <c r="A55" s="1" t="s">
        <v>703</v>
      </c>
      <c r="B55" s="1" t="s">
        <v>1366</v>
      </c>
      <c r="C55" s="1" t="s">
        <v>1367</v>
      </c>
      <c r="D55" s="1" t="s">
        <v>1297</v>
      </c>
    </row>
    <row r="56" spans="1:4">
      <c r="A56" s="1" t="s">
        <v>706</v>
      </c>
      <c r="B56" s="1" t="s">
        <v>1368</v>
      </c>
      <c r="C56" s="1" t="s">
        <v>1369</v>
      </c>
      <c r="D56" s="1" t="s">
        <v>1297</v>
      </c>
    </row>
    <row r="57" spans="1:4">
      <c r="A57" s="1" t="s">
        <v>709</v>
      </c>
      <c r="B57" s="1" t="s">
        <v>1370</v>
      </c>
      <c r="C57" s="1" t="s">
        <v>1371</v>
      </c>
      <c r="D57" s="1" t="s">
        <v>1297</v>
      </c>
    </row>
    <row r="58" spans="1:4">
      <c r="A58" s="1" t="s">
        <v>712</v>
      </c>
      <c r="B58" s="1" t="s">
        <v>1372</v>
      </c>
      <c r="C58" s="1" t="s">
        <v>1373</v>
      </c>
      <c r="D58" s="1" t="s">
        <v>1297</v>
      </c>
    </row>
    <row r="59" spans="1:4">
      <c r="A59" s="1" t="s">
        <v>1255</v>
      </c>
      <c r="B59" s="1" t="s">
        <v>341</v>
      </c>
      <c r="C59" s="1" t="s">
        <v>1256</v>
      </c>
      <c r="D59" s="1" t="s">
        <v>1257</v>
      </c>
    </row>
    <row r="60" spans="1:4">
      <c r="A60" s="1" t="s">
        <v>715</v>
      </c>
      <c r="B60" s="1" t="s">
        <v>1374</v>
      </c>
      <c r="C60" s="1" t="s">
        <v>1375</v>
      </c>
      <c r="D60" s="1" t="s">
        <v>1297</v>
      </c>
    </row>
    <row r="61" spans="1:4">
      <c r="A61" s="1" t="s">
        <v>718</v>
      </c>
      <c r="B61" s="1" t="s">
        <v>1376</v>
      </c>
      <c r="C61" s="1" t="s">
        <v>1377</v>
      </c>
      <c r="D61" s="1" t="s">
        <v>1297</v>
      </c>
    </row>
    <row r="62" spans="1:4">
      <c r="A62" s="1" t="s">
        <v>721</v>
      </c>
      <c r="B62" s="1" t="s">
        <v>1378</v>
      </c>
      <c r="C62" s="1" t="s">
        <v>1379</v>
      </c>
      <c r="D62" s="1" t="s">
        <v>1297</v>
      </c>
    </row>
    <row r="63" spans="1:4">
      <c r="A63" s="1" t="s">
        <v>724</v>
      </c>
      <c r="B63" s="1" t="s">
        <v>1380</v>
      </c>
      <c r="C63" s="1" t="s">
        <v>1381</v>
      </c>
      <c r="D63" s="1" t="s">
        <v>1297</v>
      </c>
    </row>
    <row r="64" spans="1:4">
      <c r="A64" s="1" t="s">
        <v>726</v>
      </c>
      <c r="B64" s="1" t="s">
        <v>1382</v>
      </c>
      <c r="C64" s="1" t="s">
        <v>1383</v>
      </c>
      <c r="D64" s="1" t="s">
        <v>1297</v>
      </c>
    </row>
    <row r="65" spans="1:4">
      <c r="A65" s="1" t="s">
        <v>728</v>
      </c>
      <c r="B65" s="1" t="s">
        <v>1384</v>
      </c>
      <c r="C65" s="1" t="s">
        <v>1385</v>
      </c>
      <c r="D65" s="1" t="s">
        <v>1297</v>
      </c>
    </row>
    <row r="66" spans="1:4">
      <c r="A66" s="1" t="s">
        <v>731</v>
      </c>
      <c r="B66" s="1" t="s">
        <v>1386</v>
      </c>
      <c r="C66" s="1" t="s">
        <v>1387</v>
      </c>
      <c r="D66" s="1" t="s">
        <v>1388</v>
      </c>
    </row>
    <row r="67" spans="1:4">
      <c r="A67" s="1" t="s">
        <v>734</v>
      </c>
      <c r="B67" s="1" t="s">
        <v>1389</v>
      </c>
      <c r="C67" s="1" t="s">
        <v>1390</v>
      </c>
      <c r="D67" s="1" t="s">
        <v>1388</v>
      </c>
    </row>
    <row r="68" spans="1:4">
      <c r="A68" s="1" t="s">
        <v>737</v>
      </c>
      <c r="B68" s="1" t="s">
        <v>1391</v>
      </c>
      <c r="C68" s="1" t="s">
        <v>1392</v>
      </c>
      <c r="D68" s="1" t="s">
        <v>1388</v>
      </c>
    </row>
    <row r="69" spans="1:4">
      <c r="A69" s="1" t="s">
        <v>740</v>
      </c>
      <c r="B69" s="1" t="s">
        <v>1393</v>
      </c>
      <c r="C69" s="1" t="s">
        <v>1394</v>
      </c>
      <c r="D69" s="1" t="s">
        <v>1388</v>
      </c>
    </row>
    <row r="70" spans="1:4">
      <c r="A70" s="1" t="s">
        <v>743</v>
      </c>
      <c r="B70" s="1" t="s">
        <v>1395</v>
      </c>
      <c r="C70" s="1" t="s">
        <v>1396</v>
      </c>
      <c r="D70" s="1" t="s">
        <v>1388</v>
      </c>
    </row>
    <row r="71" spans="1:4">
      <c r="A71" s="1" t="s">
        <v>746</v>
      </c>
      <c r="B71" s="1" t="s">
        <v>1397</v>
      </c>
      <c r="C71" s="1" t="s">
        <v>1398</v>
      </c>
      <c r="D71" s="1" t="s">
        <v>1388</v>
      </c>
    </row>
    <row r="72" spans="1:4">
      <c r="A72" s="1" t="s">
        <v>749</v>
      </c>
      <c r="B72" s="1" t="s">
        <v>1399</v>
      </c>
      <c r="C72" s="1" t="s">
        <v>1399</v>
      </c>
      <c r="D72" s="1" t="s">
        <v>1388</v>
      </c>
    </row>
    <row r="73" spans="1:4">
      <c r="A73" s="1" t="s">
        <v>752</v>
      </c>
      <c r="B73" s="1" t="s">
        <v>1400</v>
      </c>
      <c r="C73" s="1" t="s">
        <v>1401</v>
      </c>
      <c r="D73" s="1" t="s">
        <v>1402</v>
      </c>
    </row>
    <row r="74" spans="1:4">
      <c r="A74" s="1" t="s">
        <v>755</v>
      </c>
      <c r="B74" s="1" t="s">
        <v>1403</v>
      </c>
      <c r="C74" s="1" t="s">
        <v>1404</v>
      </c>
      <c r="D74" s="1" t="s">
        <v>1402</v>
      </c>
    </row>
    <row r="75" spans="1:4">
      <c r="A75" s="1" t="s">
        <v>758</v>
      </c>
      <c r="B75" s="1" t="s">
        <v>1405</v>
      </c>
      <c r="C75" s="1" t="s">
        <v>1406</v>
      </c>
      <c r="D75" s="1" t="s">
        <v>1402</v>
      </c>
    </row>
    <row r="76" spans="1:4">
      <c r="A76" s="1" t="s">
        <v>761</v>
      </c>
      <c r="B76" s="1" t="s">
        <v>1407</v>
      </c>
      <c r="C76" s="1" t="s">
        <v>1408</v>
      </c>
      <c r="D76" s="1" t="s">
        <v>1402</v>
      </c>
    </row>
    <row r="77" spans="1:4">
      <c r="A77" s="1" t="s">
        <v>764</v>
      </c>
      <c r="B77" s="1" t="s">
        <v>1409</v>
      </c>
      <c r="C77" s="1" t="s">
        <v>1410</v>
      </c>
      <c r="D77" s="1" t="s">
        <v>1402</v>
      </c>
    </row>
    <row r="78" spans="1:4">
      <c r="A78" s="1" t="s">
        <v>767</v>
      </c>
      <c r="B78" s="1" t="s">
        <v>1411</v>
      </c>
      <c r="C78" s="1" t="s">
        <v>1412</v>
      </c>
      <c r="D78" s="1" t="s">
        <v>1402</v>
      </c>
    </row>
    <row r="79" spans="1:4">
      <c r="A79" s="1" t="s">
        <v>770</v>
      </c>
      <c r="B79" s="1" t="s">
        <v>1413</v>
      </c>
      <c r="C79" s="1" t="s">
        <v>1414</v>
      </c>
      <c r="D79" s="1" t="s">
        <v>1402</v>
      </c>
    </row>
    <row r="80" spans="1:4">
      <c r="A80" s="1" t="s">
        <v>773</v>
      </c>
      <c r="B80" s="1" t="s">
        <v>1415</v>
      </c>
      <c r="C80" s="1" t="s">
        <v>1416</v>
      </c>
      <c r="D80" s="1" t="s">
        <v>1402</v>
      </c>
    </row>
    <row r="81" spans="1:4">
      <c r="A81" s="1" t="s">
        <v>776</v>
      </c>
      <c r="B81" s="1" t="s">
        <v>1417</v>
      </c>
      <c r="C81" s="1" t="s">
        <v>1418</v>
      </c>
      <c r="D81" s="1" t="s">
        <v>1402</v>
      </c>
    </row>
    <row r="82" spans="1:4">
      <c r="A82" s="1" t="s">
        <v>779</v>
      </c>
      <c r="B82" s="1" t="s">
        <v>1419</v>
      </c>
      <c r="C82" s="1" t="s">
        <v>1420</v>
      </c>
      <c r="D82" s="1" t="s">
        <v>1402</v>
      </c>
    </row>
    <row r="83" spans="1:4">
      <c r="A83" s="1" t="s">
        <v>782</v>
      </c>
      <c r="B83" s="1" t="s">
        <v>1421</v>
      </c>
      <c r="C83" s="1" t="s">
        <v>1422</v>
      </c>
      <c r="D83" s="1" t="s">
        <v>1402</v>
      </c>
    </row>
    <row r="84" spans="1:4">
      <c r="A84" s="1" t="s">
        <v>785</v>
      </c>
      <c r="B84" s="1" t="s">
        <v>1423</v>
      </c>
      <c r="C84" s="1" t="s">
        <v>1424</v>
      </c>
      <c r="D84" s="1" t="s">
        <v>1402</v>
      </c>
    </row>
    <row r="85" spans="1:4">
      <c r="A85" s="1" t="s">
        <v>788</v>
      </c>
      <c r="B85" s="1" t="s">
        <v>1425</v>
      </c>
      <c r="C85" s="1" t="s">
        <v>1426</v>
      </c>
      <c r="D85" s="1" t="s">
        <v>1402</v>
      </c>
    </row>
    <row r="86" spans="1:4">
      <c r="A86" s="1" t="s">
        <v>791</v>
      </c>
      <c r="B86" s="1" t="s">
        <v>1427</v>
      </c>
      <c r="C86" s="1" t="s">
        <v>1428</v>
      </c>
      <c r="D86" s="1" t="s">
        <v>1402</v>
      </c>
    </row>
    <row r="87" spans="1:4">
      <c r="A87" s="1" t="s">
        <v>794</v>
      </c>
      <c r="B87" s="1" t="s">
        <v>1429</v>
      </c>
      <c r="C87" s="1" t="s">
        <v>1430</v>
      </c>
      <c r="D87" s="1" t="s">
        <v>1402</v>
      </c>
    </row>
    <row r="88" spans="1:4">
      <c r="A88" s="1" t="s">
        <v>797</v>
      </c>
      <c r="B88" s="1" t="s">
        <v>1431</v>
      </c>
      <c r="C88" s="1" t="s">
        <v>1432</v>
      </c>
      <c r="D88" s="1" t="s">
        <v>1402</v>
      </c>
    </row>
    <row r="89" spans="1:4">
      <c r="A89" s="1" t="s">
        <v>800</v>
      </c>
      <c r="B89" s="1" t="s">
        <v>1433</v>
      </c>
      <c r="C89" s="1" t="s">
        <v>1434</v>
      </c>
      <c r="D89" s="1" t="s">
        <v>1402</v>
      </c>
    </row>
    <row r="90" spans="1:4">
      <c r="A90" s="1" t="s">
        <v>803</v>
      </c>
      <c r="B90" s="1" t="s">
        <v>1435</v>
      </c>
      <c r="C90" s="1" t="s">
        <v>1436</v>
      </c>
      <c r="D90" s="1" t="s">
        <v>1402</v>
      </c>
    </row>
    <row r="91" spans="1:4">
      <c r="A91" s="1" t="s">
        <v>806</v>
      </c>
      <c r="B91" s="1" t="s">
        <v>1437</v>
      </c>
      <c r="C91" s="1" t="s">
        <v>1438</v>
      </c>
      <c r="D91" s="1" t="s">
        <v>1402</v>
      </c>
    </row>
    <row r="92" spans="1:4">
      <c r="A92" s="1" t="s">
        <v>809</v>
      </c>
      <c r="B92" s="1" t="s">
        <v>1439</v>
      </c>
      <c r="C92" s="1" t="s">
        <v>1440</v>
      </c>
      <c r="D92" s="1" t="s">
        <v>1402</v>
      </c>
    </row>
    <row r="93" spans="1:4">
      <c r="A93" s="1" t="s">
        <v>812</v>
      </c>
      <c r="B93" s="1" t="s">
        <v>1441</v>
      </c>
      <c r="C93" s="1" t="s">
        <v>1442</v>
      </c>
      <c r="D93" s="1" t="s">
        <v>1402</v>
      </c>
    </row>
    <row r="94" spans="1:4">
      <c r="A94" s="1" t="s">
        <v>815</v>
      </c>
      <c r="B94" s="1" t="s">
        <v>1443</v>
      </c>
      <c r="C94" s="1" t="s">
        <v>1444</v>
      </c>
      <c r="D94" s="1" t="s">
        <v>1402</v>
      </c>
    </row>
    <row r="95" spans="1:4">
      <c r="A95" s="1" t="s">
        <v>818</v>
      </c>
      <c r="B95" s="1" t="s">
        <v>1445</v>
      </c>
      <c r="C95" s="1" t="s">
        <v>1446</v>
      </c>
      <c r="D95" s="1" t="s">
        <v>1402</v>
      </c>
    </row>
    <row r="96" spans="1:4">
      <c r="A96" s="1" t="s">
        <v>821</v>
      </c>
      <c r="B96" s="1" t="s">
        <v>1447</v>
      </c>
      <c r="C96" s="1" t="s">
        <v>1448</v>
      </c>
      <c r="D96" s="1" t="s">
        <v>1402</v>
      </c>
    </row>
    <row r="97" spans="1:4">
      <c r="A97" s="1" t="s">
        <v>824</v>
      </c>
      <c r="B97" s="1" t="s">
        <v>1449</v>
      </c>
      <c r="C97" s="1" t="s">
        <v>1450</v>
      </c>
      <c r="D97" s="1" t="s">
        <v>1402</v>
      </c>
    </row>
    <row r="98" spans="1:4">
      <c r="A98" s="1" t="s">
        <v>827</v>
      </c>
      <c r="B98" s="1" t="s">
        <v>1451</v>
      </c>
      <c r="C98" s="1" t="s">
        <v>1452</v>
      </c>
      <c r="D98" s="1" t="s">
        <v>1402</v>
      </c>
    </row>
    <row r="99" spans="1:4">
      <c r="A99" s="1" t="s">
        <v>830</v>
      </c>
      <c r="B99" s="1" t="s">
        <v>1453</v>
      </c>
      <c r="C99" s="1" t="s">
        <v>1454</v>
      </c>
      <c r="D99" s="1" t="s">
        <v>1402</v>
      </c>
    </row>
    <row r="100" spans="1:4">
      <c r="A100" s="1" t="s">
        <v>833</v>
      </c>
      <c r="B100" s="1" t="s">
        <v>1455</v>
      </c>
      <c r="C100" s="1" t="s">
        <v>1456</v>
      </c>
      <c r="D100" s="1" t="s">
        <v>1402</v>
      </c>
    </row>
    <row r="101" spans="1:4">
      <c r="A101" s="1" t="s">
        <v>836</v>
      </c>
      <c r="B101" s="1" t="s">
        <v>1457</v>
      </c>
      <c r="C101" s="1" t="s">
        <v>1458</v>
      </c>
      <c r="D101" s="1" t="s">
        <v>1402</v>
      </c>
    </row>
    <row r="102" spans="1:4">
      <c r="A102" s="1" t="s">
        <v>839</v>
      </c>
      <c r="B102" s="1" t="s">
        <v>1459</v>
      </c>
      <c r="C102" s="1" t="s">
        <v>1460</v>
      </c>
      <c r="D102" s="1" t="s">
        <v>1402</v>
      </c>
    </row>
    <row r="103" spans="1:4">
      <c r="A103" s="1" t="s">
        <v>842</v>
      </c>
      <c r="B103" s="1" t="s">
        <v>1461</v>
      </c>
      <c r="C103" s="1" t="s">
        <v>1462</v>
      </c>
      <c r="D103" s="1" t="s">
        <v>1402</v>
      </c>
    </row>
    <row r="104" spans="1:4">
      <c r="A104" s="1" t="s">
        <v>845</v>
      </c>
      <c r="B104" s="1" t="s">
        <v>1463</v>
      </c>
      <c r="C104" s="1" t="s">
        <v>1464</v>
      </c>
      <c r="D104" s="1" t="s">
        <v>1402</v>
      </c>
    </row>
    <row r="105" spans="1:4">
      <c r="A105" s="1" t="s">
        <v>848</v>
      </c>
      <c r="B105" s="1" t="s">
        <v>1465</v>
      </c>
      <c r="C105" s="1" t="s">
        <v>1466</v>
      </c>
      <c r="D105" s="1" t="s">
        <v>1402</v>
      </c>
    </row>
    <row r="106" spans="1:4">
      <c r="A106" s="1" t="s">
        <v>851</v>
      </c>
      <c r="B106" s="1" t="s">
        <v>1467</v>
      </c>
      <c r="C106" s="1" t="s">
        <v>1468</v>
      </c>
      <c r="D106" s="1" t="s">
        <v>1402</v>
      </c>
    </row>
    <row r="107" spans="1:4">
      <c r="A107" s="1" t="s">
        <v>854</v>
      </c>
      <c r="B107" s="1" t="s">
        <v>1469</v>
      </c>
      <c r="C107" s="1" t="s">
        <v>1470</v>
      </c>
      <c r="D107" s="1" t="s">
        <v>1402</v>
      </c>
    </row>
    <row r="108" spans="1:4">
      <c r="A108" s="1" t="s">
        <v>857</v>
      </c>
      <c r="B108" s="1" t="s">
        <v>1471</v>
      </c>
      <c r="C108" s="1" t="s">
        <v>1472</v>
      </c>
      <c r="D108" s="1" t="s">
        <v>1402</v>
      </c>
    </row>
    <row r="109" spans="1:4">
      <c r="A109" s="1" t="s">
        <v>860</v>
      </c>
      <c r="B109" s="1" t="s">
        <v>1473</v>
      </c>
      <c r="C109" s="1" t="s">
        <v>1474</v>
      </c>
      <c r="D109" s="1" t="s">
        <v>1402</v>
      </c>
    </row>
    <row r="110" spans="1:4">
      <c r="A110" s="1" t="s">
        <v>863</v>
      </c>
      <c r="B110" s="1" t="s">
        <v>1475</v>
      </c>
      <c r="C110" s="1" t="s">
        <v>1476</v>
      </c>
      <c r="D110" s="1" t="s">
        <v>1402</v>
      </c>
    </row>
    <row r="111" spans="1:4">
      <c r="A111" s="1" t="s">
        <v>866</v>
      </c>
      <c r="B111" s="1" t="s">
        <v>1477</v>
      </c>
      <c r="C111" s="1" t="s">
        <v>1478</v>
      </c>
      <c r="D111" s="1" t="s">
        <v>1402</v>
      </c>
    </row>
    <row r="112" spans="1:4">
      <c r="A112" s="1" t="s">
        <v>869</v>
      </c>
      <c r="B112" s="1" t="s">
        <v>1479</v>
      </c>
      <c r="C112" s="1" t="s">
        <v>1480</v>
      </c>
      <c r="D112" s="1" t="s">
        <v>1402</v>
      </c>
    </row>
    <row r="113" spans="1:4">
      <c r="A113" s="1" t="s">
        <v>872</v>
      </c>
      <c r="B113" s="1" t="s">
        <v>1481</v>
      </c>
      <c r="C113" s="1" t="s">
        <v>1482</v>
      </c>
      <c r="D113" s="1" t="s">
        <v>1402</v>
      </c>
    </row>
    <row r="114" spans="1:4">
      <c r="A114" s="1" t="s">
        <v>875</v>
      </c>
      <c r="B114" s="1" t="s">
        <v>1483</v>
      </c>
      <c r="C114" s="1" t="s">
        <v>1484</v>
      </c>
      <c r="D114" s="1" t="s">
        <v>1402</v>
      </c>
    </row>
    <row r="115" spans="1:4">
      <c r="A115" s="1" t="s">
        <v>878</v>
      </c>
      <c r="B115" s="1" t="s">
        <v>1485</v>
      </c>
      <c r="C115" s="1" t="s">
        <v>1486</v>
      </c>
      <c r="D115" s="1" t="s">
        <v>1402</v>
      </c>
    </row>
    <row r="116" spans="1:4">
      <c r="A116" s="1" t="s">
        <v>881</v>
      </c>
      <c r="B116" s="1" t="s">
        <v>1487</v>
      </c>
      <c r="C116" s="1" t="s">
        <v>1488</v>
      </c>
      <c r="D116" s="1" t="s">
        <v>1402</v>
      </c>
    </row>
    <row r="117" spans="1:4">
      <c r="A117" s="1" t="s">
        <v>1255</v>
      </c>
      <c r="B117" s="1" t="s">
        <v>341</v>
      </c>
      <c r="C117" s="1" t="s">
        <v>1256</v>
      </c>
      <c r="D117" s="1" t="s">
        <v>1257</v>
      </c>
    </row>
    <row r="118" spans="1:4">
      <c r="A118" s="1" t="s">
        <v>884</v>
      </c>
      <c r="B118" s="1" t="s">
        <v>1489</v>
      </c>
      <c r="C118" s="1" t="s">
        <v>1490</v>
      </c>
      <c r="D118" s="1" t="s">
        <v>1402</v>
      </c>
    </row>
    <row r="119" spans="1:4">
      <c r="A119" s="1" t="s">
        <v>887</v>
      </c>
      <c r="B119" s="1" t="s">
        <v>1491</v>
      </c>
      <c r="C119" s="1" t="s">
        <v>1492</v>
      </c>
      <c r="D119" s="1" t="s">
        <v>1402</v>
      </c>
    </row>
    <row r="120" spans="1:4">
      <c r="A120" s="1" t="s">
        <v>890</v>
      </c>
      <c r="B120" s="1" t="s">
        <v>1493</v>
      </c>
      <c r="C120" s="1" t="s">
        <v>1494</v>
      </c>
      <c r="D120" s="1" t="s">
        <v>1402</v>
      </c>
    </row>
    <row r="121" spans="1:4">
      <c r="A121" s="1" t="s">
        <v>893</v>
      </c>
      <c r="B121" s="1" t="s">
        <v>1495</v>
      </c>
      <c r="C121" s="1" t="s">
        <v>1496</v>
      </c>
      <c r="D121" s="1" t="s">
        <v>1402</v>
      </c>
    </row>
    <row r="122" spans="1:4">
      <c r="A122" s="1" t="s">
        <v>896</v>
      </c>
      <c r="B122" s="1" t="s">
        <v>1497</v>
      </c>
      <c r="C122" s="1" t="s">
        <v>1498</v>
      </c>
      <c r="D122" s="1" t="s">
        <v>1402</v>
      </c>
    </row>
    <row r="123" spans="1:4">
      <c r="A123" s="1" t="s">
        <v>899</v>
      </c>
      <c r="B123" s="1" t="s">
        <v>1499</v>
      </c>
      <c r="C123" s="1" t="s">
        <v>1500</v>
      </c>
      <c r="D123" s="1" t="s">
        <v>1402</v>
      </c>
    </row>
    <row r="124" spans="1:4">
      <c r="A124" s="1" t="s">
        <v>902</v>
      </c>
      <c r="B124" s="1" t="s">
        <v>1501</v>
      </c>
      <c r="C124" s="1" t="s">
        <v>1502</v>
      </c>
      <c r="D124" s="1" t="s">
        <v>1402</v>
      </c>
    </row>
    <row r="125" spans="1:4">
      <c r="A125" s="1" t="s">
        <v>905</v>
      </c>
      <c r="B125" s="1" t="s">
        <v>1503</v>
      </c>
      <c r="C125" s="1" t="s">
        <v>1504</v>
      </c>
      <c r="D125" s="1" t="s">
        <v>1402</v>
      </c>
    </row>
    <row r="126" spans="1:4">
      <c r="A126" s="1" t="s">
        <v>908</v>
      </c>
      <c r="B126" s="1" t="s">
        <v>1505</v>
      </c>
      <c r="C126" s="1" t="s">
        <v>1506</v>
      </c>
      <c r="D126" s="1" t="s">
        <v>1402</v>
      </c>
    </row>
    <row r="127" spans="1:4">
      <c r="A127" s="1" t="s">
        <v>911</v>
      </c>
      <c r="B127" s="1" t="s">
        <v>1507</v>
      </c>
      <c r="C127" s="1" t="s">
        <v>1508</v>
      </c>
      <c r="D127" s="1" t="s">
        <v>1402</v>
      </c>
    </row>
    <row r="128" spans="1:4">
      <c r="A128" s="1" t="s">
        <v>914</v>
      </c>
      <c r="B128" s="1" t="s">
        <v>1509</v>
      </c>
      <c r="C128" s="1" t="s">
        <v>1510</v>
      </c>
      <c r="D128" s="1" t="s">
        <v>1402</v>
      </c>
    </row>
    <row r="129" spans="1:4">
      <c r="A129" s="1" t="s">
        <v>917</v>
      </c>
      <c r="B129" s="1" t="s">
        <v>1511</v>
      </c>
      <c r="C129" s="1" t="s">
        <v>1512</v>
      </c>
      <c r="D129" s="1" t="s">
        <v>1402</v>
      </c>
    </row>
    <row r="130" spans="1:4">
      <c r="A130" s="1" t="s">
        <v>920</v>
      </c>
      <c r="B130" s="1" t="s">
        <v>1513</v>
      </c>
      <c r="C130" s="1" t="s">
        <v>1514</v>
      </c>
      <c r="D130" s="1" t="s">
        <v>1402</v>
      </c>
    </row>
    <row r="131" spans="1:4">
      <c r="A131" s="1" t="s">
        <v>923</v>
      </c>
      <c r="B131" s="1" t="s">
        <v>1515</v>
      </c>
      <c r="C131" s="1" t="s">
        <v>1516</v>
      </c>
      <c r="D131" s="1" t="s">
        <v>1402</v>
      </c>
    </row>
    <row r="132" spans="1:4">
      <c r="A132" s="1" t="s">
        <v>926</v>
      </c>
      <c r="B132" s="1" t="s">
        <v>1517</v>
      </c>
      <c r="C132" s="1" t="s">
        <v>1518</v>
      </c>
      <c r="D132" s="1" t="s">
        <v>1402</v>
      </c>
    </row>
    <row r="133" spans="1:4">
      <c r="A133" s="1" t="s">
        <v>929</v>
      </c>
      <c r="B133" s="1" t="s">
        <v>1519</v>
      </c>
      <c r="C133" s="1" t="s">
        <v>1520</v>
      </c>
      <c r="D133" s="1" t="s">
        <v>1402</v>
      </c>
    </row>
    <row r="134" spans="1:4">
      <c r="A134" s="1" t="s">
        <v>932</v>
      </c>
      <c r="B134" s="1" t="s">
        <v>1521</v>
      </c>
      <c r="C134" s="1" t="s">
        <v>1522</v>
      </c>
      <c r="D134" s="1" t="s">
        <v>1402</v>
      </c>
    </row>
    <row r="135" spans="1:4">
      <c r="A135" s="1" t="s">
        <v>935</v>
      </c>
      <c r="B135" s="1" t="s">
        <v>1523</v>
      </c>
      <c r="C135" s="1" t="s">
        <v>1524</v>
      </c>
      <c r="D135" s="1" t="s">
        <v>1402</v>
      </c>
    </row>
    <row r="136" spans="1:4">
      <c r="A136" s="1" t="s">
        <v>938</v>
      </c>
      <c r="B136" s="1" t="s">
        <v>1525</v>
      </c>
      <c r="C136" s="1" t="s">
        <v>1526</v>
      </c>
      <c r="D136" s="1" t="s">
        <v>1402</v>
      </c>
    </row>
    <row r="137" spans="1:4">
      <c r="A137" s="1" t="s">
        <v>941</v>
      </c>
      <c r="B137" s="1" t="s">
        <v>1527</v>
      </c>
      <c r="C137" s="1" t="s">
        <v>1528</v>
      </c>
      <c r="D137" s="1" t="s">
        <v>1402</v>
      </c>
    </row>
    <row r="138" spans="1:4">
      <c r="A138" s="1" t="s">
        <v>944</v>
      </c>
      <c r="B138" s="1" t="s">
        <v>1529</v>
      </c>
      <c r="C138" s="1" t="s">
        <v>1530</v>
      </c>
      <c r="D138" s="1" t="s">
        <v>1402</v>
      </c>
    </row>
    <row r="139" spans="1:4">
      <c r="A139" s="1" t="s">
        <v>947</v>
      </c>
      <c r="B139" s="1" t="s">
        <v>1531</v>
      </c>
      <c r="C139" s="1" t="s">
        <v>1532</v>
      </c>
      <c r="D139" s="1" t="s">
        <v>1402</v>
      </c>
    </row>
    <row r="140" spans="1:4">
      <c r="A140" s="1" t="s">
        <v>948</v>
      </c>
      <c r="B140" s="1" t="s">
        <v>1533</v>
      </c>
      <c r="C140" s="1" t="s">
        <v>1534</v>
      </c>
      <c r="D140" s="1" t="s">
        <v>1402</v>
      </c>
    </row>
    <row r="141" spans="1:4">
      <c r="A141" s="1" t="s">
        <v>949</v>
      </c>
      <c r="B141" s="1" t="s">
        <v>1535</v>
      </c>
      <c r="C141" s="1" t="s">
        <v>1536</v>
      </c>
      <c r="D141" s="1" t="s">
        <v>1402</v>
      </c>
    </row>
    <row r="142" spans="1:4">
      <c r="A142" s="1" t="s">
        <v>952</v>
      </c>
      <c r="B142" s="1" t="s">
        <v>1537</v>
      </c>
      <c r="C142" s="1" t="s">
        <v>1538</v>
      </c>
      <c r="D142" s="1" t="s">
        <v>1402</v>
      </c>
    </row>
    <row r="143" spans="1:4">
      <c r="A143" s="1" t="s">
        <v>955</v>
      </c>
      <c r="B143" s="1" t="s">
        <v>1539</v>
      </c>
      <c r="C143" s="1" t="s">
        <v>1540</v>
      </c>
      <c r="D143" s="1" t="s">
        <v>1402</v>
      </c>
    </row>
    <row r="144" spans="1:4">
      <c r="A144" s="1" t="s">
        <v>958</v>
      </c>
      <c r="B144" s="1" t="s">
        <v>1541</v>
      </c>
      <c r="C144" s="1" t="s">
        <v>1542</v>
      </c>
      <c r="D144" s="1" t="s">
        <v>1402</v>
      </c>
    </row>
    <row r="145" spans="1:4">
      <c r="A145" s="1" t="s">
        <v>961</v>
      </c>
      <c r="B145" s="1" t="s">
        <v>1543</v>
      </c>
      <c r="C145" s="1" t="s">
        <v>1544</v>
      </c>
      <c r="D145" s="1" t="s">
        <v>1402</v>
      </c>
    </row>
    <row r="146" spans="1:4">
      <c r="A146" s="1" t="s">
        <v>964</v>
      </c>
      <c r="B146" s="1" t="s">
        <v>1545</v>
      </c>
      <c r="C146" s="1" t="s">
        <v>1546</v>
      </c>
      <c r="D146" s="1" t="s">
        <v>1402</v>
      </c>
    </row>
    <row r="147" spans="1:4">
      <c r="A147" s="1" t="s">
        <v>967</v>
      </c>
      <c r="B147" s="1" t="s">
        <v>1547</v>
      </c>
      <c r="C147" s="1" t="s">
        <v>1548</v>
      </c>
      <c r="D147" s="1" t="s">
        <v>1402</v>
      </c>
    </row>
    <row r="148" spans="1:4">
      <c r="A148" s="1" t="s">
        <v>970</v>
      </c>
      <c r="B148" s="1" t="s">
        <v>1549</v>
      </c>
      <c r="C148" s="1" t="s">
        <v>1550</v>
      </c>
      <c r="D148" s="1" t="s">
        <v>1402</v>
      </c>
    </row>
    <row r="149" spans="1:4">
      <c r="A149" s="1" t="s">
        <v>973</v>
      </c>
      <c r="B149" s="1" t="s">
        <v>1551</v>
      </c>
      <c r="C149" s="1" t="s">
        <v>1552</v>
      </c>
      <c r="D149" s="1" t="s">
        <v>1402</v>
      </c>
    </row>
    <row r="150" spans="1:4">
      <c r="A150" s="1" t="s">
        <v>976</v>
      </c>
      <c r="B150" s="1" t="s">
        <v>1553</v>
      </c>
      <c r="C150" s="1" t="s">
        <v>1554</v>
      </c>
      <c r="D150" s="1" t="s">
        <v>1402</v>
      </c>
    </row>
    <row r="151" spans="1:4">
      <c r="A151" s="1" t="s">
        <v>979</v>
      </c>
      <c r="B151" s="1" t="s">
        <v>1555</v>
      </c>
      <c r="C151" s="1" t="s">
        <v>1556</v>
      </c>
      <c r="D151" s="1" t="s">
        <v>1402</v>
      </c>
    </row>
    <row r="152" spans="1:4">
      <c r="A152" s="1" t="s">
        <v>1557</v>
      </c>
      <c r="B152" s="1" t="s">
        <v>1558</v>
      </c>
      <c r="C152" s="1" t="s">
        <v>1559</v>
      </c>
      <c r="D152" s="1" t="s">
        <v>1402</v>
      </c>
    </row>
    <row r="153" spans="1:4">
      <c r="A153" s="1" t="s">
        <v>1560</v>
      </c>
      <c r="B153" s="1" t="s">
        <v>1561</v>
      </c>
      <c r="C153" s="1" t="s">
        <v>1562</v>
      </c>
      <c r="D153" s="1" t="s">
        <v>1402</v>
      </c>
    </row>
    <row r="154" spans="1:4">
      <c r="A154" s="1" t="s">
        <v>1563</v>
      </c>
      <c r="B154" s="1" t="s">
        <v>1564</v>
      </c>
      <c r="C154" s="1" t="s">
        <v>1565</v>
      </c>
      <c r="D154" s="1" t="s">
        <v>1402</v>
      </c>
    </row>
    <row r="155" spans="1:4">
      <c r="A155" s="1" t="s">
        <v>1566</v>
      </c>
      <c r="B155" s="1" t="s">
        <v>1567</v>
      </c>
      <c r="C155" s="1" t="s">
        <v>1568</v>
      </c>
      <c r="D155" s="1" t="s">
        <v>1402</v>
      </c>
    </row>
    <row r="156" spans="1:4">
      <c r="A156" s="1" t="s">
        <v>1569</v>
      </c>
      <c r="B156" s="1" t="s">
        <v>1570</v>
      </c>
      <c r="C156" s="1" t="s">
        <v>1571</v>
      </c>
      <c r="D156" s="1" t="s">
        <v>1402</v>
      </c>
    </row>
    <row r="157" spans="1:4">
      <c r="A157" s="1" t="s">
        <v>1572</v>
      </c>
      <c r="B157" s="1" t="s">
        <v>1573</v>
      </c>
      <c r="C157" s="1" t="s">
        <v>1574</v>
      </c>
      <c r="D157" s="1" t="s">
        <v>1402</v>
      </c>
    </row>
    <row r="158" spans="1:4">
      <c r="A158" s="1" t="s">
        <v>1575</v>
      </c>
      <c r="B158" s="1" t="s">
        <v>1576</v>
      </c>
      <c r="C158" s="1" t="s">
        <v>1577</v>
      </c>
      <c r="D158" s="1" t="s">
        <v>1402</v>
      </c>
    </row>
    <row r="159" spans="1:4">
      <c r="A159" s="1" t="s">
        <v>1578</v>
      </c>
      <c r="B159" s="1" t="s">
        <v>1579</v>
      </c>
      <c r="C159" s="1" t="s">
        <v>1580</v>
      </c>
      <c r="D159" s="1" t="s">
        <v>1402</v>
      </c>
    </row>
    <row r="160" spans="1:4">
      <c r="A160" s="1" t="s">
        <v>1581</v>
      </c>
      <c r="B160" s="1" t="s">
        <v>1582</v>
      </c>
      <c r="C160" s="1" t="s">
        <v>1583</v>
      </c>
      <c r="D160" s="1" t="s">
        <v>1402</v>
      </c>
    </row>
    <row r="161" spans="1:4">
      <c r="A161" s="1" t="s">
        <v>1584</v>
      </c>
      <c r="B161" s="1" t="s">
        <v>1585</v>
      </c>
      <c r="C161" s="1" t="s">
        <v>1586</v>
      </c>
      <c r="D161" s="1" t="s">
        <v>1402</v>
      </c>
    </row>
    <row r="162" spans="1:4">
      <c r="A162" s="1" t="s">
        <v>1587</v>
      </c>
      <c r="B162" s="1" t="s">
        <v>1588</v>
      </c>
      <c r="C162" s="1" t="s">
        <v>1589</v>
      </c>
      <c r="D162" s="1" t="s">
        <v>1402</v>
      </c>
    </row>
    <row r="163" spans="1:4">
      <c r="A163" s="1" t="s">
        <v>1590</v>
      </c>
      <c r="B163" s="1" t="s">
        <v>1591</v>
      </c>
      <c r="C163" s="1" t="s">
        <v>1592</v>
      </c>
      <c r="D163" s="1" t="s">
        <v>1402</v>
      </c>
    </row>
    <row r="164" spans="1:4">
      <c r="A164" s="1" t="s">
        <v>1593</v>
      </c>
      <c r="B164" s="1" t="s">
        <v>1594</v>
      </c>
      <c r="C164" s="1" t="s">
        <v>1595</v>
      </c>
      <c r="D164" s="1" t="s">
        <v>1402</v>
      </c>
    </row>
    <row r="165" spans="1:4">
      <c r="A165" s="1" t="s">
        <v>1596</v>
      </c>
      <c r="B165" s="1" t="s">
        <v>1597</v>
      </c>
      <c r="C165" s="1" t="s">
        <v>1598</v>
      </c>
      <c r="D165" s="1" t="s">
        <v>1402</v>
      </c>
    </row>
    <row r="166" spans="1:4">
      <c r="A166" s="1" t="s">
        <v>1599</v>
      </c>
      <c r="B166" s="1" t="s">
        <v>1600</v>
      </c>
      <c r="C166" s="1" t="s">
        <v>1601</v>
      </c>
      <c r="D166" s="1" t="s">
        <v>1402</v>
      </c>
    </row>
    <row r="167" spans="1:4">
      <c r="A167" s="1" t="s">
        <v>1602</v>
      </c>
      <c r="B167" s="1" t="s">
        <v>1603</v>
      </c>
      <c r="C167" s="1" t="s">
        <v>1604</v>
      </c>
      <c r="D167" s="1" t="s">
        <v>1402</v>
      </c>
    </row>
    <row r="168" spans="1:4">
      <c r="A168" s="1" t="s">
        <v>1605</v>
      </c>
      <c r="B168" s="1" t="s">
        <v>1606</v>
      </c>
      <c r="C168" s="1" t="s">
        <v>1607</v>
      </c>
      <c r="D168" s="1" t="s">
        <v>1402</v>
      </c>
    </row>
    <row r="169" spans="1:4">
      <c r="A169" s="1" t="s">
        <v>1608</v>
      </c>
      <c r="B169" s="1" t="s">
        <v>1609</v>
      </c>
      <c r="C169" s="1" t="s">
        <v>1610</v>
      </c>
      <c r="D169" s="1" t="s">
        <v>1402</v>
      </c>
    </row>
    <row r="170" spans="1:4">
      <c r="A170" s="1" t="s">
        <v>1611</v>
      </c>
      <c r="B170" s="1" t="s">
        <v>1612</v>
      </c>
      <c r="C170" s="1" t="s">
        <v>1613</v>
      </c>
      <c r="D170" s="1" t="s">
        <v>1402</v>
      </c>
    </row>
    <row r="171" spans="1:4">
      <c r="A171" s="1" t="s">
        <v>1614</v>
      </c>
      <c r="B171" s="1" t="s">
        <v>1615</v>
      </c>
      <c r="C171" s="1" t="s">
        <v>1616</v>
      </c>
      <c r="D171" s="1" t="s">
        <v>1402</v>
      </c>
    </row>
    <row r="172" spans="1:4">
      <c r="A172" s="1" t="s">
        <v>1617</v>
      </c>
      <c r="B172" s="1" t="s">
        <v>1618</v>
      </c>
      <c r="C172" s="1" t="s">
        <v>1619</v>
      </c>
      <c r="D172" s="1" t="s">
        <v>1402</v>
      </c>
    </row>
    <row r="173" spans="1:4">
      <c r="A173" s="1" t="s">
        <v>1620</v>
      </c>
      <c r="B173" s="1" t="s">
        <v>1621</v>
      </c>
      <c r="C173" s="1" t="s">
        <v>1622</v>
      </c>
      <c r="D173" s="1" t="s">
        <v>1402</v>
      </c>
    </row>
    <row r="174" spans="1:4">
      <c r="A174" s="1" t="s">
        <v>1623</v>
      </c>
      <c r="B174" s="1" t="s">
        <v>1624</v>
      </c>
      <c r="C174" s="1" t="s">
        <v>1625</v>
      </c>
      <c r="D174" s="1" t="s">
        <v>1402</v>
      </c>
    </row>
    <row r="175" spans="1:4">
      <c r="A175" s="1" t="s">
        <v>1255</v>
      </c>
      <c r="B175" s="1" t="s">
        <v>341</v>
      </c>
      <c r="C175" s="1" t="s">
        <v>1256</v>
      </c>
      <c r="D175" s="1" t="s">
        <v>1257</v>
      </c>
    </row>
    <row r="176" spans="1:4">
      <c r="A176" s="1" t="s">
        <v>1626</v>
      </c>
      <c r="B176" s="1" t="s">
        <v>1627</v>
      </c>
      <c r="C176" s="1" t="s">
        <v>1628</v>
      </c>
      <c r="D176" s="1" t="s">
        <v>1402</v>
      </c>
    </row>
    <row r="177" spans="1:4">
      <c r="A177" s="1" t="s">
        <v>1629</v>
      </c>
      <c r="B177" s="1" t="s">
        <v>1630</v>
      </c>
      <c r="C177" s="1" t="s">
        <v>1631</v>
      </c>
      <c r="D177" s="1" t="s">
        <v>1402</v>
      </c>
    </row>
    <row r="178" spans="1:4">
      <c r="A178" s="1" t="s">
        <v>1632</v>
      </c>
      <c r="B178" s="1" t="s">
        <v>1633</v>
      </c>
      <c r="C178" s="1" t="s">
        <v>1634</v>
      </c>
      <c r="D178" s="1" t="s">
        <v>1402</v>
      </c>
    </row>
    <row r="179" spans="1:4">
      <c r="A179" s="1" t="s">
        <v>1635</v>
      </c>
      <c r="B179" s="1" t="s">
        <v>1636</v>
      </c>
      <c r="C179" s="1" t="s">
        <v>1637</v>
      </c>
      <c r="D179" s="1" t="s">
        <v>1402</v>
      </c>
    </row>
    <row r="180" spans="1:4">
      <c r="A180" s="1" t="s">
        <v>1638</v>
      </c>
      <c r="B180" s="1" t="s">
        <v>1639</v>
      </c>
      <c r="C180" s="1" t="s">
        <v>1640</v>
      </c>
      <c r="D180" s="1" t="s">
        <v>1402</v>
      </c>
    </row>
    <row r="181" spans="1:4">
      <c r="A181" s="1" t="s">
        <v>1641</v>
      </c>
      <c r="B181" s="1" t="s">
        <v>1642</v>
      </c>
      <c r="C181" s="1" t="s">
        <v>1643</v>
      </c>
      <c r="D181" s="1" t="s">
        <v>1402</v>
      </c>
    </row>
    <row r="182" spans="1:4">
      <c r="A182" s="1" t="s">
        <v>1644</v>
      </c>
      <c r="B182" s="1" t="s">
        <v>1645</v>
      </c>
      <c r="C182" s="1" t="s">
        <v>1646</v>
      </c>
      <c r="D182" s="1" t="s">
        <v>1402</v>
      </c>
    </row>
    <row r="183" spans="1:4">
      <c r="A183" s="1" t="s">
        <v>1647</v>
      </c>
      <c r="B183" s="1" t="s">
        <v>1648</v>
      </c>
      <c r="C183" s="1" t="s">
        <v>1649</v>
      </c>
      <c r="D183" s="1" t="s">
        <v>1402</v>
      </c>
    </row>
    <row r="184" spans="1:4">
      <c r="A184" s="1" t="s">
        <v>1650</v>
      </c>
      <c r="B184" s="1" t="s">
        <v>1651</v>
      </c>
      <c r="C184" s="1" t="s">
        <v>1652</v>
      </c>
      <c r="D184" s="1" t="s">
        <v>1402</v>
      </c>
    </row>
    <row r="185" spans="1:4">
      <c r="A185" s="1" t="s">
        <v>1653</v>
      </c>
      <c r="B185" s="1" t="s">
        <v>1654</v>
      </c>
      <c r="C185" s="1" t="s">
        <v>1655</v>
      </c>
      <c r="D185" s="1" t="s">
        <v>1402</v>
      </c>
    </row>
    <row r="186" spans="1:4">
      <c r="A186" s="1" t="s">
        <v>1656</v>
      </c>
      <c r="B186" s="1" t="s">
        <v>1657</v>
      </c>
      <c r="C186" s="1" t="s">
        <v>1658</v>
      </c>
      <c r="D186" s="1" t="s">
        <v>1659</v>
      </c>
    </row>
    <row r="187" spans="1:4">
      <c r="A187" s="1" t="s">
        <v>1660</v>
      </c>
      <c r="B187" s="1" t="s">
        <v>1661</v>
      </c>
      <c r="C187" s="1" t="s">
        <v>1662</v>
      </c>
      <c r="D187" s="1" t="s">
        <v>1659</v>
      </c>
    </row>
    <row r="188" spans="1:4">
      <c r="A188" s="1" t="s">
        <v>1663</v>
      </c>
      <c r="B188" s="1" t="s">
        <v>1664</v>
      </c>
      <c r="C188" s="1" t="s">
        <v>1665</v>
      </c>
      <c r="D188" s="1" t="s">
        <v>1659</v>
      </c>
    </row>
    <row r="189" spans="1:4">
      <c r="A189" s="1" t="s">
        <v>1666</v>
      </c>
      <c r="B189" s="1" t="s">
        <v>1667</v>
      </c>
      <c r="C189" s="1" t="s">
        <v>1668</v>
      </c>
      <c r="D189" s="1" t="s">
        <v>1659</v>
      </c>
    </row>
    <row r="190" spans="1:4">
      <c r="A190" s="1" t="s">
        <v>1669</v>
      </c>
      <c r="B190" s="1" t="s">
        <v>1670</v>
      </c>
      <c r="C190" s="1" t="s">
        <v>1671</v>
      </c>
      <c r="D190" s="1" t="s">
        <v>343</v>
      </c>
    </row>
    <row r="191" spans="1:4">
      <c r="A191" s="1" t="s">
        <v>1672</v>
      </c>
      <c r="B191" s="1" t="s">
        <v>1673</v>
      </c>
      <c r="C191" s="1" t="s">
        <v>1674</v>
      </c>
      <c r="D191" s="1" t="s">
        <v>343</v>
      </c>
    </row>
    <row r="192" spans="1:4">
      <c r="A192" s="1" t="s">
        <v>1675</v>
      </c>
      <c r="B192" s="1" t="s">
        <v>1676</v>
      </c>
      <c r="C192" s="1" t="s">
        <v>1677</v>
      </c>
      <c r="D192" s="1" t="s">
        <v>343</v>
      </c>
    </row>
    <row r="193" spans="1:4">
      <c r="A193" s="1" t="s">
        <v>1678</v>
      </c>
      <c r="B193" s="1" t="s">
        <v>1679</v>
      </c>
      <c r="C193" s="1" t="s">
        <v>1680</v>
      </c>
      <c r="D193" s="1" t="s">
        <v>343</v>
      </c>
    </row>
    <row r="194" spans="1:4">
      <c r="A194" s="1" t="s">
        <v>1681</v>
      </c>
      <c r="B194" s="1" t="s">
        <v>1682</v>
      </c>
      <c r="C194" s="1" t="s">
        <v>1683</v>
      </c>
      <c r="D194" s="1" t="s">
        <v>343</v>
      </c>
    </row>
    <row r="195" spans="1:4">
      <c r="A195" s="1" t="s">
        <v>1684</v>
      </c>
      <c r="B195" s="1" t="s">
        <v>1685</v>
      </c>
      <c r="C195" s="1" t="s">
        <v>1686</v>
      </c>
      <c r="D195" s="1" t="s">
        <v>343</v>
      </c>
    </row>
    <row r="196" spans="1:4">
      <c r="A196" s="1" t="s">
        <v>1687</v>
      </c>
      <c r="B196" s="1" t="s">
        <v>1688</v>
      </c>
      <c r="C196" s="1" t="s">
        <v>1689</v>
      </c>
      <c r="D196" s="1" t="s">
        <v>343</v>
      </c>
    </row>
    <row r="197" spans="1:4">
      <c r="A197" s="1" t="s">
        <v>1690</v>
      </c>
      <c r="B197" s="1" t="s">
        <v>1691</v>
      </c>
      <c r="C197" s="1" t="s">
        <v>1692</v>
      </c>
      <c r="D197" s="1" t="s">
        <v>343</v>
      </c>
    </row>
    <row r="198" spans="1:4">
      <c r="A198" s="1" t="s">
        <v>1693</v>
      </c>
      <c r="B198" s="1" t="s">
        <v>1694</v>
      </c>
      <c r="C198" s="1" t="s">
        <v>1695</v>
      </c>
      <c r="D198" s="1" t="s">
        <v>343</v>
      </c>
    </row>
    <row r="199" spans="1:4">
      <c r="A199" s="1" t="s">
        <v>1696</v>
      </c>
      <c r="B199" s="1" t="s">
        <v>1697</v>
      </c>
      <c r="C199" s="1" t="s">
        <v>1698</v>
      </c>
      <c r="D199" s="1" t="s">
        <v>343</v>
      </c>
    </row>
    <row r="200" spans="1:4">
      <c r="A200" s="1" t="s">
        <v>1699</v>
      </c>
      <c r="B200" s="1" t="s">
        <v>1700</v>
      </c>
      <c r="C200" s="1" t="s">
        <v>1701</v>
      </c>
      <c r="D200" s="1" t="s">
        <v>343</v>
      </c>
    </row>
    <row r="201" spans="1:4">
      <c r="A201" s="1" t="s">
        <v>1702</v>
      </c>
      <c r="B201" s="1" t="s">
        <v>1703</v>
      </c>
      <c r="C201" s="1" t="s">
        <v>1704</v>
      </c>
      <c r="D201" s="1" t="s">
        <v>343</v>
      </c>
    </row>
    <row r="202" spans="1:4">
      <c r="A202" s="1" t="s">
        <v>1705</v>
      </c>
      <c r="B202" s="1" t="s">
        <v>1706</v>
      </c>
      <c r="C202" s="1" t="s">
        <v>1707</v>
      </c>
      <c r="D202" s="1" t="s">
        <v>343</v>
      </c>
    </row>
    <row r="203" spans="1:4">
      <c r="A203" s="1" t="s">
        <v>1708</v>
      </c>
      <c r="B203" s="1" t="s">
        <v>1709</v>
      </c>
      <c r="C203" s="1" t="s">
        <v>1710</v>
      </c>
      <c r="D203" s="1" t="s">
        <v>343</v>
      </c>
    </row>
    <row r="204" spans="1:4">
      <c r="A204" s="1" t="s">
        <v>1711</v>
      </c>
      <c r="B204" s="1" t="s">
        <v>1712</v>
      </c>
      <c r="C204" s="1" t="s">
        <v>1713</v>
      </c>
      <c r="D204" s="1" t="s">
        <v>343</v>
      </c>
    </row>
    <row r="205" spans="1:4">
      <c r="A205" s="1" t="s">
        <v>1714</v>
      </c>
      <c r="B205" s="1" t="s">
        <v>1715</v>
      </c>
      <c r="C205" s="1" t="s">
        <v>1716</v>
      </c>
      <c r="D205" s="1" t="s">
        <v>343</v>
      </c>
    </row>
    <row r="206" spans="1:4">
      <c r="A206" s="1" t="s">
        <v>1717</v>
      </c>
      <c r="B206" s="1" t="s">
        <v>1718</v>
      </c>
      <c r="C206" s="1" t="s">
        <v>1719</v>
      </c>
      <c r="D206" s="1" t="s">
        <v>343</v>
      </c>
    </row>
    <row r="207" spans="1:4">
      <c r="A207" s="1" t="s">
        <v>1720</v>
      </c>
      <c r="B207" s="1" t="s">
        <v>1721</v>
      </c>
      <c r="C207" s="1" t="s">
        <v>1722</v>
      </c>
      <c r="D207" s="1" t="s">
        <v>343</v>
      </c>
    </row>
    <row r="208" spans="1:4">
      <c r="A208" s="1" t="s">
        <v>1723</v>
      </c>
      <c r="B208" s="1" t="s">
        <v>1724</v>
      </c>
      <c r="C208" s="1" t="s">
        <v>1725</v>
      </c>
      <c r="D208" s="1" t="s">
        <v>343</v>
      </c>
    </row>
    <row r="209" spans="1:4">
      <c r="A209" s="1" t="s">
        <v>1726</v>
      </c>
      <c r="B209" s="1" t="s">
        <v>1727</v>
      </c>
      <c r="C209" s="1" t="s">
        <v>1728</v>
      </c>
      <c r="D209" s="1" t="s">
        <v>343</v>
      </c>
    </row>
    <row r="210" spans="1:4">
      <c r="A210" s="1" t="s">
        <v>1729</v>
      </c>
      <c r="B210" s="1" t="s">
        <v>1730</v>
      </c>
      <c r="C210" s="1" t="s">
        <v>1731</v>
      </c>
      <c r="D210" s="1" t="s">
        <v>343</v>
      </c>
    </row>
    <row r="211" spans="1:4">
      <c r="A211" s="1" t="s">
        <v>1732</v>
      </c>
      <c r="B211" s="1" t="s">
        <v>1733</v>
      </c>
      <c r="C211" s="1" t="s">
        <v>1734</v>
      </c>
      <c r="D211" s="1" t="s">
        <v>343</v>
      </c>
    </row>
    <row r="212" spans="1:4">
      <c r="A212" s="1" t="s">
        <v>1735</v>
      </c>
      <c r="B212" s="1" t="s">
        <v>1736</v>
      </c>
      <c r="C212" s="1" t="s">
        <v>1737</v>
      </c>
      <c r="D212" s="1" t="s">
        <v>343</v>
      </c>
    </row>
    <row r="213" spans="1:4">
      <c r="A213" s="1" t="s">
        <v>1738</v>
      </c>
      <c r="B213" s="1" t="s">
        <v>1739</v>
      </c>
      <c r="C213" s="1" t="s">
        <v>1740</v>
      </c>
      <c r="D213" s="1" t="s">
        <v>343</v>
      </c>
    </row>
    <row r="214" spans="1:4">
      <c r="A214" s="1" t="s">
        <v>1741</v>
      </c>
      <c r="B214" s="1" t="s">
        <v>1742</v>
      </c>
      <c r="C214" s="1" t="s">
        <v>1743</v>
      </c>
      <c r="D214" s="1" t="s">
        <v>343</v>
      </c>
    </row>
    <row r="215" spans="1:4">
      <c r="A215" s="1" t="s">
        <v>1744</v>
      </c>
      <c r="B215" s="1" t="s">
        <v>1745</v>
      </c>
      <c r="C215" s="1" t="s">
        <v>1746</v>
      </c>
      <c r="D215" s="1" t="s">
        <v>343</v>
      </c>
    </row>
    <row r="216" spans="1:4">
      <c r="A216" s="1" t="s">
        <v>1747</v>
      </c>
      <c r="B216" s="1" t="s">
        <v>1748</v>
      </c>
      <c r="C216" s="1" t="s">
        <v>1749</v>
      </c>
      <c r="D216" s="1" t="s">
        <v>343</v>
      </c>
    </row>
    <row r="217" spans="1:4">
      <c r="A217" s="1" t="s">
        <v>1750</v>
      </c>
      <c r="B217" s="1" t="s">
        <v>1751</v>
      </c>
      <c r="C217" s="1" t="s">
        <v>1752</v>
      </c>
      <c r="D217" s="1" t="s">
        <v>343</v>
      </c>
    </row>
  </sheetData>
  <phoneticPr fontId="1"/>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33CA-1A37-4DD6-98E1-A0D21B9D150E}">
  <dimension ref="A1:K38"/>
  <sheetViews>
    <sheetView workbookViewId="0">
      <selection activeCell="G13" sqref="G13"/>
    </sheetView>
  </sheetViews>
  <sheetFormatPr defaultRowHeight="15"/>
  <cols>
    <col min="1" max="1" width="8.26953125" style="1" bestFit="1" customWidth="1"/>
    <col min="2" max="2" width="6.26953125" style="1" bestFit="1" customWidth="1"/>
    <col min="3" max="3" width="9.26953125" style="1" bestFit="1" customWidth="1"/>
    <col min="4" max="4" width="12.1796875" style="1" bestFit="1" customWidth="1"/>
    <col min="5" max="5" width="9.54296875" style="1" bestFit="1" customWidth="1"/>
    <col min="6" max="10" width="9.26953125" style="1" bestFit="1" customWidth="1"/>
    <col min="11" max="11" width="10.1796875" style="1" bestFit="1" customWidth="1"/>
    <col min="12" max="16384" width="8.7265625" style="1"/>
  </cols>
  <sheetData>
    <row r="1" spans="1:11">
      <c r="A1" s="1" t="s">
        <v>353</v>
      </c>
      <c r="C1" s="1" t="s">
        <v>344</v>
      </c>
    </row>
    <row r="2" spans="1:11">
      <c r="A2" s="1" t="s">
        <v>1256</v>
      </c>
      <c r="B2" s="1" t="s">
        <v>1753</v>
      </c>
      <c r="C2" s="1" t="s">
        <v>1754</v>
      </c>
      <c r="D2" s="1" t="s">
        <v>1755</v>
      </c>
      <c r="F2" s="1" t="s">
        <v>1756</v>
      </c>
      <c r="K2" s="1" t="s">
        <v>343</v>
      </c>
    </row>
    <row r="3" spans="1:11">
      <c r="D3" s="1" t="s">
        <v>1757</v>
      </c>
      <c r="E3" s="1" t="s">
        <v>1758</v>
      </c>
      <c r="F3" s="1" t="s">
        <v>1759</v>
      </c>
      <c r="G3" s="1" t="s">
        <v>1760</v>
      </c>
      <c r="H3" s="1" t="s">
        <v>1761</v>
      </c>
      <c r="I3" s="1" t="s">
        <v>1762</v>
      </c>
      <c r="J3" s="1" t="s">
        <v>1763</v>
      </c>
    </row>
    <row r="4" spans="1:11">
      <c r="A4" s="1" t="s">
        <v>1764</v>
      </c>
      <c r="B4" s="1" t="s">
        <v>1765</v>
      </c>
      <c r="C4" s="1" t="s">
        <v>17</v>
      </c>
      <c r="D4" s="1" t="s">
        <v>17</v>
      </c>
      <c r="E4" s="1" t="s">
        <v>17</v>
      </c>
      <c r="F4" s="1" t="s">
        <v>17</v>
      </c>
      <c r="G4" s="1" t="s">
        <v>1766</v>
      </c>
      <c r="H4" s="1" t="s">
        <v>1766</v>
      </c>
      <c r="I4" s="1" t="s">
        <v>17</v>
      </c>
      <c r="J4" s="1" t="s">
        <v>1766</v>
      </c>
      <c r="K4" s="1" t="s">
        <v>17</v>
      </c>
    </row>
    <row r="5" spans="1:11">
      <c r="A5" s="1" t="s">
        <v>1767</v>
      </c>
      <c r="B5" s="1" t="s">
        <v>1768</v>
      </c>
      <c r="C5" s="1" t="s">
        <v>17</v>
      </c>
      <c r="D5" s="1" t="s">
        <v>17</v>
      </c>
      <c r="E5" s="1" t="s">
        <v>17</v>
      </c>
      <c r="F5" s="1" t="s">
        <v>17</v>
      </c>
      <c r="G5" s="1" t="s">
        <v>1766</v>
      </c>
      <c r="H5" s="1" t="s">
        <v>1766</v>
      </c>
      <c r="I5" s="1" t="s">
        <v>17</v>
      </c>
      <c r="J5" s="1" t="s">
        <v>1766</v>
      </c>
      <c r="K5" s="1" t="s">
        <v>17</v>
      </c>
    </row>
    <row r="6" spans="1:11">
      <c r="A6" s="1" t="s">
        <v>1769</v>
      </c>
      <c r="B6" s="1" t="s">
        <v>1770</v>
      </c>
      <c r="C6" s="1" t="s">
        <v>17</v>
      </c>
      <c r="D6" s="1" t="s">
        <v>17</v>
      </c>
      <c r="E6" s="1" t="s">
        <v>17</v>
      </c>
      <c r="F6" s="1" t="s">
        <v>17</v>
      </c>
      <c r="G6" s="1" t="s">
        <v>1766</v>
      </c>
      <c r="H6" s="1" t="s">
        <v>1766</v>
      </c>
      <c r="I6" s="1" t="s">
        <v>17</v>
      </c>
      <c r="J6" s="1" t="s">
        <v>1766</v>
      </c>
      <c r="K6" s="1" t="s">
        <v>17</v>
      </c>
    </row>
    <row r="7" spans="1:11">
      <c r="A7" s="1" t="s">
        <v>1771</v>
      </c>
      <c r="B7" s="1" t="s">
        <v>1772</v>
      </c>
      <c r="C7" s="1" t="s">
        <v>17</v>
      </c>
      <c r="D7" s="1" t="s">
        <v>17</v>
      </c>
      <c r="E7" s="1" t="s">
        <v>17</v>
      </c>
      <c r="F7" s="1" t="s">
        <v>17</v>
      </c>
      <c r="G7" s="1" t="s">
        <v>1766</v>
      </c>
      <c r="H7" s="1" t="s">
        <v>1766</v>
      </c>
      <c r="I7" s="1" t="s">
        <v>17</v>
      </c>
      <c r="J7" s="1" t="s">
        <v>1766</v>
      </c>
      <c r="K7" s="1" t="s">
        <v>17</v>
      </c>
    </row>
    <row r="8" spans="1:11">
      <c r="A8" s="1" t="s">
        <v>1773</v>
      </c>
      <c r="B8" s="1" t="s">
        <v>1774</v>
      </c>
      <c r="C8" s="1" t="s">
        <v>17</v>
      </c>
      <c r="D8" s="1" t="s">
        <v>17</v>
      </c>
      <c r="E8" s="1" t="s">
        <v>17</v>
      </c>
      <c r="F8" s="1" t="s">
        <v>17</v>
      </c>
      <c r="G8" s="1" t="s">
        <v>1766</v>
      </c>
      <c r="H8" s="1" t="s">
        <v>1766</v>
      </c>
      <c r="I8" s="1" t="s">
        <v>17</v>
      </c>
      <c r="J8" s="1" t="s">
        <v>1766</v>
      </c>
      <c r="K8" s="1" t="s">
        <v>17</v>
      </c>
    </row>
    <row r="9" spans="1:11">
      <c r="A9" s="1" t="s">
        <v>1775</v>
      </c>
      <c r="B9" s="1" t="s">
        <v>1776</v>
      </c>
      <c r="C9" s="1" t="s">
        <v>17</v>
      </c>
      <c r="D9" s="1" t="s">
        <v>17</v>
      </c>
      <c r="E9" s="1" t="s">
        <v>17</v>
      </c>
      <c r="F9" s="1" t="s">
        <v>17</v>
      </c>
      <c r="G9" s="1" t="s">
        <v>1766</v>
      </c>
      <c r="H9" s="1" t="s">
        <v>1766</v>
      </c>
      <c r="I9" s="1" t="s">
        <v>17</v>
      </c>
      <c r="J9" s="1" t="s">
        <v>1766</v>
      </c>
      <c r="K9" s="1" t="s">
        <v>17</v>
      </c>
    </row>
    <row r="10" spans="1:11">
      <c r="A10" s="1" t="s">
        <v>1777</v>
      </c>
      <c r="B10" s="1" t="s">
        <v>1778</v>
      </c>
      <c r="C10" s="1" t="s">
        <v>17</v>
      </c>
      <c r="D10" s="1" t="s">
        <v>17</v>
      </c>
      <c r="E10" s="1" t="s">
        <v>17</v>
      </c>
      <c r="F10" s="1" t="s">
        <v>17</v>
      </c>
      <c r="G10" s="1" t="s">
        <v>1766</v>
      </c>
      <c r="H10" s="1" t="s">
        <v>1766</v>
      </c>
      <c r="I10" s="1" t="s">
        <v>17</v>
      </c>
      <c r="J10" s="1" t="s">
        <v>1766</v>
      </c>
      <c r="K10" s="1" t="s">
        <v>17</v>
      </c>
    </row>
    <row r="11" spans="1:11">
      <c r="A11" s="1" t="s">
        <v>1779</v>
      </c>
      <c r="B11" s="1" t="s">
        <v>1780</v>
      </c>
      <c r="C11" s="1" t="s">
        <v>17</v>
      </c>
      <c r="D11" s="1" t="s">
        <v>17</v>
      </c>
      <c r="E11" s="1" t="s">
        <v>17</v>
      </c>
      <c r="F11" s="1" t="s">
        <v>17</v>
      </c>
      <c r="G11" s="1" t="s">
        <v>1766</v>
      </c>
      <c r="H11" s="1" t="s">
        <v>1766</v>
      </c>
      <c r="I11" s="1" t="s">
        <v>17</v>
      </c>
      <c r="J11" s="1" t="s">
        <v>1766</v>
      </c>
      <c r="K11" s="1" t="s">
        <v>17</v>
      </c>
    </row>
    <row r="12" spans="1:11">
      <c r="A12" s="1" t="s">
        <v>1781</v>
      </c>
      <c r="B12" s="1" t="s">
        <v>1782</v>
      </c>
      <c r="C12" s="1" t="s">
        <v>17</v>
      </c>
      <c r="D12" s="1" t="s">
        <v>17</v>
      </c>
      <c r="E12" s="1" t="s">
        <v>17</v>
      </c>
      <c r="F12" s="1" t="s">
        <v>17</v>
      </c>
      <c r="G12" s="1" t="s">
        <v>1766</v>
      </c>
      <c r="H12" s="1" t="s">
        <v>1766</v>
      </c>
      <c r="I12" s="1" t="s">
        <v>17</v>
      </c>
      <c r="J12" s="1" t="s">
        <v>1766</v>
      </c>
      <c r="K12" s="1" t="s">
        <v>17</v>
      </c>
    </row>
    <row r="13" spans="1:11">
      <c r="A13" s="1" t="s">
        <v>1783</v>
      </c>
      <c r="B13" s="1" t="s">
        <v>1784</v>
      </c>
      <c r="C13" s="1" t="s">
        <v>17</v>
      </c>
      <c r="D13" s="1" t="s">
        <v>17</v>
      </c>
      <c r="E13" s="1" t="s">
        <v>17</v>
      </c>
      <c r="F13" s="1" t="s">
        <v>17</v>
      </c>
      <c r="G13" s="1" t="s">
        <v>1766</v>
      </c>
      <c r="H13" s="1" t="s">
        <v>1766</v>
      </c>
      <c r="I13" s="1" t="s">
        <v>17</v>
      </c>
      <c r="J13" s="1" t="s">
        <v>1766</v>
      </c>
      <c r="K13" s="1" t="s">
        <v>17</v>
      </c>
    </row>
    <row r="14" spans="1:11">
      <c r="A14" s="1" t="s">
        <v>1785</v>
      </c>
      <c r="B14" s="1" t="s">
        <v>1786</v>
      </c>
      <c r="C14" s="1" t="s">
        <v>1766</v>
      </c>
      <c r="D14" s="1" t="s">
        <v>17</v>
      </c>
      <c r="E14" s="1" t="s">
        <v>1766</v>
      </c>
      <c r="F14" s="1" t="s">
        <v>1766</v>
      </c>
      <c r="G14" s="1" t="s">
        <v>1766</v>
      </c>
      <c r="H14" s="1" t="s">
        <v>1766</v>
      </c>
      <c r="I14" s="1" t="s">
        <v>17</v>
      </c>
      <c r="J14" s="1" t="s">
        <v>1766</v>
      </c>
      <c r="K14" s="1" t="s">
        <v>17</v>
      </c>
    </row>
    <row r="15" spans="1:11">
      <c r="A15" s="1" t="s">
        <v>1787</v>
      </c>
      <c r="B15" s="1" t="s">
        <v>1788</v>
      </c>
      <c r="C15" s="1" t="s">
        <v>1766</v>
      </c>
      <c r="D15" s="1" t="s">
        <v>17</v>
      </c>
      <c r="E15" s="1" t="s">
        <v>1766</v>
      </c>
      <c r="F15" s="1" t="s">
        <v>1766</v>
      </c>
      <c r="G15" s="1" t="s">
        <v>1766</v>
      </c>
      <c r="H15" s="1" t="s">
        <v>1766</v>
      </c>
      <c r="I15" s="1" t="s">
        <v>17</v>
      </c>
      <c r="J15" s="1" t="s">
        <v>1766</v>
      </c>
      <c r="K15" s="1" t="s">
        <v>17</v>
      </c>
    </row>
    <row r="16" spans="1:11">
      <c r="A16" s="1" t="s">
        <v>1789</v>
      </c>
      <c r="B16" s="1" t="s">
        <v>1790</v>
      </c>
      <c r="C16" s="1" t="s">
        <v>1766</v>
      </c>
      <c r="D16" s="1" t="s">
        <v>17</v>
      </c>
      <c r="E16" s="1" t="s">
        <v>1766</v>
      </c>
      <c r="F16" s="1" t="s">
        <v>1766</v>
      </c>
      <c r="G16" s="1" t="s">
        <v>1766</v>
      </c>
      <c r="H16" s="1" t="s">
        <v>1766</v>
      </c>
      <c r="I16" s="1" t="s">
        <v>17</v>
      </c>
      <c r="J16" s="1" t="s">
        <v>1766</v>
      </c>
      <c r="K16" s="1" t="s">
        <v>17</v>
      </c>
    </row>
    <row r="17" spans="1:11">
      <c r="A17" s="1" t="s">
        <v>1791</v>
      </c>
      <c r="B17" s="1" t="s">
        <v>1792</v>
      </c>
      <c r="C17" s="1" t="s">
        <v>17</v>
      </c>
      <c r="D17" s="1" t="s">
        <v>17</v>
      </c>
      <c r="E17" s="1" t="s">
        <v>17</v>
      </c>
      <c r="F17" s="1" t="s">
        <v>17</v>
      </c>
      <c r="G17" s="1" t="s">
        <v>17</v>
      </c>
      <c r="H17" s="1" t="s">
        <v>17</v>
      </c>
      <c r="I17" s="1" t="s">
        <v>17</v>
      </c>
      <c r="J17" s="1" t="s">
        <v>17</v>
      </c>
      <c r="K17" s="1" t="s">
        <v>17</v>
      </c>
    </row>
    <row r="18" spans="1:11">
      <c r="A18" s="1" t="s">
        <v>1793</v>
      </c>
      <c r="B18" s="1" t="s">
        <v>1794</v>
      </c>
      <c r="C18" s="1" t="s">
        <v>17</v>
      </c>
      <c r="D18" s="1" t="s">
        <v>17</v>
      </c>
      <c r="E18" s="1" t="s">
        <v>1766</v>
      </c>
      <c r="F18" s="1" t="s">
        <v>17</v>
      </c>
      <c r="G18" s="1" t="s">
        <v>17</v>
      </c>
      <c r="H18" s="1" t="s">
        <v>17</v>
      </c>
      <c r="I18" s="1" t="s">
        <v>17</v>
      </c>
      <c r="J18" s="1" t="s">
        <v>17</v>
      </c>
      <c r="K18" s="1" t="s">
        <v>17</v>
      </c>
    </row>
    <row r="19" spans="1:11">
      <c r="A19" s="1" t="s">
        <v>1795</v>
      </c>
      <c r="B19" s="1" t="s">
        <v>1796</v>
      </c>
      <c r="C19" s="1" t="s">
        <v>17</v>
      </c>
      <c r="D19" s="1" t="s">
        <v>17</v>
      </c>
      <c r="E19" s="1" t="s">
        <v>1766</v>
      </c>
      <c r="F19" s="1" t="s">
        <v>17</v>
      </c>
      <c r="G19" s="1" t="s">
        <v>17</v>
      </c>
      <c r="H19" s="1" t="s">
        <v>17</v>
      </c>
      <c r="I19" s="1" t="s">
        <v>17</v>
      </c>
      <c r="J19" s="1" t="s">
        <v>17</v>
      </c>
      <c r="K19" s="1" t="s">
        <v>17</v>
      </c>
    </row>
    <row r="20" spans="1:11">
      <c r="A20" s="1" t="s">
        <v>353</v>
      </c>
      <c r="C20" s="1" t="s">
        <v>344</v>
      </c>
    </row>
    <row r="21" spans="1:11">
      <c r="A21" s="1" t="s">
        <v>1256</v>
      </c>
      <c r="B21" s="1" t="s">
        <v>1753</v>
      </c>
      <c r="C21" s="1" t="s">
        <v>1754</v>
      </c>
      <c r="D21" s="1" t="s">
        <v>1755</v>
      </c>
      <c r="F21" s="1" t="s">
        <v>1756</v>
      </c>
      <c r="K21" s="1" t="s">
        <v>343</v>
      </c>
    </row>
    <row r="22" spans="1:11">
      <c r="D22" s="1" t="s">
        <v>1757</v>
      </c>
      <c r="E22" s="1" t="s">
        <v>1758</v>
      </c>
      <c r="F22" s="1" t="s">
        <v>1759</v>
      </c>
      <c r="G22" s="1" t="s">
        <v>1760</v>
      </c>
      <c r="H22" s="1" t="s">
        <v>1761</v>
      </c>
      <c r="I22" s="1" t="s">
        <v>1762</v>
      </c>
      <c r="J22" s="1" t="s">
        <v>1763</v>
      </c>
    </row>
    <row r="23" spans="1:11">
      <c r="A23" s="1" t="s">
        <v>1764</v>
      </c>
      <c r="B23" s="1" t="s">
        <v>1765</v>
      </c>
      <c r="C23" s="1" t="s">
        <v>1766</v>
      </c>
      <c r="D23" s="1" t="s">
        <v>1766</v>
      </c>
      <c r="E23" s="1" t="s">
        <v>1766</v>
      </c>
      <c r="F23" s="1" t="s">
        <v>1766</v>
      </c>
      <c r="G23" s="1" t="s">
        <v>1766</v>
      </c>
      <c r="H23" s="1" t="s">
        <v>1766</v>
      </c>
      <c r="I23" s="1" t="s">
        <v>1766</v>
      </c>
      <c r="J23" s="1" t="s">
        <v>1766</v>
      </c>
      <c r="K23" s="1" t="s">
        <v>1766</v>
      </c>
    </row>
    <row r="24" spans="1:11">
      <c r="A24" s="1" t="s">
        <v>1767</v>
      </c>
      <c r="B24" s="1" t="s">
        <v>1768</v>
      </c>
      <c r="C24" s="1" t="s">
        <v>17</v>
      </c>
      <c r="D24" s="1" t="s">
        <v>17</v>
      </c>
      <c r="E24" s="1" t="s">
        <v>17</v>
      </c>
      <c r="F24" s="1" t="s">
        <v>17</v>
      </c>
      <c r="G24" s="1" t="s">
        <v>1766</v>
      </c>
      <c r="H24" s="1" t="s">
        <v>1766</v>
      </c>
      <c r="I24" s="1" t="s">
        <v>17</v>
      </c>
      <c r="J24" s="1" t="s">
        <v>1766</v>
      </c>
      <c r="K24" s="1" t="s">
        <v>17</v>
      </c>
    </row>
    <row r="25" spans="1:11">
      <c r="A25" s="1" t="s">
        <v>1769</v>
      </c>
      <c r="B25" s="1" t="s">
        <v>1770</v>
      </c>
      <c r="C25" s="1" t="s">
        <v>17</v>
      </c>
      <c r="D25" s="1" t="s">
        <v>17</v>
      </c>
      <c r="E25" s="1" t="s">
        <v>17</v>
      </c>
      <c r="F25" s="1" t="s">
        <v>17</v>
      </c>
      <c r="G25" s="1" t="s">
        <v>1766</v>
      </c>
      <c r="H25" s="1" t="s">
        <v>1766</v>
      </c>
      <c r="I25" s="1" t="s">
        <v>17</v>
      </c>
      <c r="J25" s="1" t="s">
        <v>1766</v>
      </c>
      <c r="K25" s="1" t="s">
        <v>17</v>
      </c>
    </row>
    <row r="26" spans="1:11">
      <c r="A26" s="1" t="s">
        <v>1771</v>
      </c>
      <c r="B26" s="1" t="s">
        <v>1772</v>
      </c>
      <c r="C26" s="1" t="s">
        <v>17</v>
      </c>
      <c r="D26" s="1" t="s">
        <v>17</v>
      </c>
      <c r="E26" s="1" t="s">
        <v>17</v>
      </c>
      <c r="F26" s="1" t="s">
        <v>17</v>
      </c>
      <c r="G26" s="1" t="s">
        <v>1766</v>
      </c>
      <c r="H26" s="1" t="s">
        <v>1766</v>
      </c>
      <c r="I26" s="1" t="s">
        <v>17</v>
      </c>
      <c r="J26" s="1" t="s">
        <v>1766</v>
      </c>
      <c r="K26" s="1" t="s">
        <v>17</v>
      </c>
    </row>
    <row r="27" spans="1:11">
      <c r="A27" s="1" t="s">
        <v>1773</v>
      </c>
      <c r="B27" s="1" t="s">
        <v>1774</v>
      </c>
      <c r="C27" s="1" t="s">
        <v>17</v>
      </c>
      <c r="D27" s="1" t="s">
        <v>17</v>
      </c>
      <c r="E27" s="1" t="s">
        <v>17</v>
      </c>
      <c r="F27" s="1" t="s">
        <v>17</v>
      </c>
      <c r="G27" s="1" t="s">
        <v>1766</v>
      </c>
      <c r="H27" s="1" t="s">
        <v>1766</v>
      </c>
      <c r="I27" s="1" t="s">
        <v>17</v>
      </c>
      <c r="J27" s="1" t="s">
        <v>1766</v>
      </c>
      <c r="K27" s="1" t="s">
        <v>17</v>
      </c>
    </row>
    <row r="28" spans="1:11">
      <c r="A28" s="1" t="s">
        <v>1775</v>
      </c>
      <c r="B28" s="1" t="s">
        <v>1776</v>
      </c>
      <c r="C28" s="1" t="s">
        <v>17</v>
      </c>
      <c r="D28" s="1" t="s">
        <v>17</v>
      </c>
      <c r="E28" s="1" t="s">
        <v>17</v>
      </c>
      <c r="F28" s="1" t="s">
        <v>17</v>
      </c>
      <c r="G28" s="1" t="s">
        <v>1766</v>
      </c>
      <c r="H28" s="1" t="s">
        <v>1766</v>
      </c>
      <c r="I28" s="1" t="s">
        <v>17</v>
      </c>
      <c r="J28" s="1" t="s">
        <v>1766</v>
      </c>
      <c r="K28" s="1" t="s">
        <v>17</v>
      </c>
    </row>
    <row r="29" spans="1:11">
      <c r="A29" s="1" t="s">
        <v>1777</v>
      </c>
      <c r="B29" s="1" t="s">
        <v>1778</v>
      </c>
      <c r="C29" s="1" t="s">
        <v>17</v>
      </c>
      <c r="D29" s="1" t="s">
        <v>17</v>
      </c>
      <c r="E29" s="1" t="s">
        <v>17</v>
      </c>
      <c r="F29" s="1" t="s">
        <v>17</v>
      </c>
      <c r="G29" s="1" t="s">
        <v>1766</v>
      </c>
      <c r="H29" s="1" t="s">
        <v>1766</v>
      </c>
      <c r="I29" s="1" t="s">
        <v>17</v>
      </c>
      <c r="J29" s="1" t="s">
        <v>1766</v>
      </c>
      <c r="K29" s="1" t="s">
        <v>17</v>
      </c>
    </row>
    <row r="30" spans="1:11">
      <c r="A30" s="1" t="s">
        <v>1779</v>
      </c>
      <c r="B30" s="1" t="s">
        <v>1780</v>
      </c>
      <c r="C30" s="1" t="s">
        <v>17</v>
      </c>
      <c r="D30" s="1" t="s">
        <v>17</v>
      </c>
      <c r="E30" s="1" t="s">
        <v>17</v>
      </c>
      <c r="F30" s="1" t="s">
        <v>17</v>
      </c>
      <c r="G30" s="1" t="s">
        <v>1766</v>
      </c>
      <c r="H30" s="1" t="s">
        <v>1766</v>
      </c>
      <c r="I30" s="1" t="s">
        <v>17</v>
      </c>
      <c r="J30" s="1" t="s">
        <v>1766</v>
      </c>
      <c r="K30" s="1" t="s">
        <v>17</v>
      </c>
    </row>
    <row r="31" spans="1:11">
      <c r="A31" s="1" t="s">
        <v>1781</v>
      </c>
      <c r="B31" s="1" t="s">
        <v>1782</v>
      </c>
      <c r="C31" s="1" t="s">
        <v>17</v>
      </c>
      <c r="D31" s="1" t="s">
        <v>17</v>
      </c>
      <c r="E31" s="1" t="s">
        <v>17</v>
      </c>
      <c r="F31" s="1" t="s">
        <v>17</v>
      </c>
      <c r="G31" s="1" t="s">
        <v>1766</v>
      </c>
      <c r="H31" s="1" t="s">
        <v>1766</v>
      </c>
      <c r="I31" s="1" t="s">
        <v>17</v>
      </c>
      <c r="J31" s="1" t="s">
        <v>1766</v>
      </c>
      <c r="K31" s="1" t="s">
        <v>17</v>
      </c>
    </row>
    <row r="32" spans="1:11">
      <c r="A32" s="1" t="s">
        <v>1783</v>
      </c>
      <c r="B32" s="1" t="s">
        <v>1784</v>
      </c>
      <c r="C32" s="1" t="s">
        <v>17</v>
      </c>
      <c r="D32" s="1" t="s">
        <v>17</v>
      </c>
      <c r="E32" s="1" t="s">
        <v>17</v>
      </c>
      <c r="F32" s="1" t="s">
        <v>17</v>
      </c>
      <c r="G32" s="1" t="s">
        <v>1766</v>
      </c>
      <c r="H32" s="1" t="s">
        <v>1766</v>
      </c>
      <c r="I32" s="1" t="s">
        <v>17</v>
      </c>
      <c r="J32" s="1" t="s">
        <v>1766</v>
      </c>
      <c r="K32" s="1" t="s">
        <v>17</v>
      </c>
    </row>
    <row r="33" spans="1:11">
      <c r="A33" s="1" t="s">
        <v>1785</v>
      </c>
      <c r="B33" s="1" t="s">
        <v>1786</v>
      </c>
      <c r="C33" s="1" t="s">
        <v>1766</v>
      </c>
      <c r="D33" s="1" t="s">
        <v>17</v>
      </c>
      <c r="E33" s="1" t="s">
        <v>1766</v>
      </c>
      <c r="F33" s="1" t="s">
        <v>1766</v>
      </c>
      <c r="G33" s="1" t="s">
        <v>1766</v>
      </c>
      <c r="H33" s="1" t="s">
        <v>1766</v>
      </c>
      <c r="I33" s="1" t="s">
        <v>17</v>
      </c>
      <c r="J33" s="1" t="s">
        <v>1766</v>
      </c>
      <c r="K33" s="1" t="s">
        <v>17</v>
      </c>
    </row>
    <row r="34" spans="1:11">
      <c r="A34" s="1" t="s">
        <v>1787</v>
      </c>
      <c r="B34" s="1" t="s">
        <v>1788</v>
      </c>
      <c r="C34" s="1" t="s">
        <v>1766</v>
      </c>
      <c r="D34" s="1" t="s">
        <v>17</v>
      </c>
      <c r="E34" s="1" t="s">
        <v>1766</v>
      </c>
      <c r="F34" s="1" t="s">
        <v>1766</v>
      </c>
      <c r="G34" s="1" t="s">
        <v>1766</v>
      </c>
      <c r="H34" s="1" t="s">
        <v>1766</v>
      </c>
      <c r="I34" s="1" t="s">
        <v>17</v>
      </c>
      <c r="J34" s="1" t="s">
        <v>1766</v>
      </c>
      <c r="K34" s="1" t="s">
        <v>17</v>
      </c>
    </row>
    <row r="35" spans="1:11">
      <c r="A35" s="1" t="s">
        <v>1789</v>
      </c>
      <c r="B35" s="1" t="s">
        <v>1790</v>
      </c>
      <c r="C35" s="1" t="s">
        <v>1766</v>
      </c>
      <c r="D35" s="1" t="s">
        <v>17</v>
      </c>
      <c r="E35" s="1" t="s">
        <v>1766</v>
      </c>
      <c r="F35" s="1" t="s">
        <v>1766</v>
      </c>
      <c r="G35" s="1" t="s">
        <v>1766</v>
      </c>
      <c r="H35" s="1" t="s">
        <v>1766</v>
      </c>
      <c r="I35" s="1" t="s">
        <v>17</v>
      </c>
      <c r="J35" s="1" t="s">
        <v>1766</v>
      </c>
      <c r="K35" s="1" t="s">
        <v>17</v>
      </c>
    </row>
    <row r="36" spans="1:11">
      <c r="A36" s="1" t="s">
        <v>1791</v>
      </c>
      <c r="B36" s="1" t="s">
        <v>1792</v>
      </c>
      <c r="C36" s="1" t="s">
        <v>17</v>
      </c>
      <c r="D36" s="1" t="s">
        <v>17</v>
      </c>
      <c r="E36" s="1" t="s">
        <v>17</v>
      </c>
      <c r="F36" s="1" t="s">
        <v>17</v>
      </c>
      <c r="G36" s="1" t="s">
        <v>17</v>
      </c>
      <c r="H36" s="1" t="s">
        <v>17</v>
      </c>
      <c r="I36" s="1" t="s">
        <v>17</v>
      </c>
      <c r="J36" s="1" t="s">
        <v>17</v>
      </c>
      <c r="K36" s="1" t="s">
        <v>17</v>
      </c>
    </row>
    <row r="37" spans="1:11">
      <c r="A37" s="1" t="s">
        <v>1793</v>
      </c>
      <c r="B37" s="1" t="s">
        <v>1794</v>
      </c>
      <c r="C37" s="1" t="s">
        <v>17</v>
      </c>
      <c r="D37" s="1" t="s">
        <v>17</v>
      </c>
      <c r="E37" s="1" t="s">
        <v>1766</v>
      </c>
      <c r="F37" s="1" t="s">
        <v>17</v>
      </c>
      <c r="G37" s="1" t="s">
        <v>17</v>
      </c>
      <c r="H37" s="1" t="s">
        <v>17</v>
      </c>
      <c r="I37" s="1" t="s">
        <v>17</v>
      </c>
      <c r="J37" s="1" t="s">
        <v>17</v>
      </c>
      <c r="K37" s="1" t="s">
        <v>17</v>
      </c>
    </row>
    <row r="38" spans="1:11">
      <c r="A38" s="1" t="s">
        <v>1795</v>
      </c>
      <c r="B38" s="1" t="s">
        <v>1796</v>
      </c>
      <c r="C38" s="1" t="s">
        <v>17</v>
      </c>
      <c r="D38" s="1" t="s">
        <v>17</v>
      </c>
      <c r="E38" s="1" t="s">
        <v>1766</v>
      </c>
      <c r="F38" s="1" t="s">
        <v>17</v>
      </c>
      <c r="G38" s="1" t="s">
        <v>17</v>
      </c>
      <c r="H38" s="1" t="s">
        <v>17</v>
      </c>
      <c r="I38" s="1" t="s">
        <v>17</v>
      </c>
      <c r="J38" s="1" t="s">
        <v>17</v>
      </c>
      <c r="K38" s="1" t="s">
        <v>17</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関数一覧サマリー(4-5)</vt:lpstr>
      <vt:lpstr>関数引数一覧(6-19)</vt:lpstr>
      <vt:lpstr>関数戻り値一覧_注文関数(20)</vt:lpstr>
      <vt:lpstr>関数戻り値一覧(21-33)</vt:lpstr>
      <vt:lpstr>指標コード(34-37)</vt:lpstr>
      <vt:lpstr>足種(38)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崇 玉澤</cp:lastModifiedBy>
  <dcterms:created xsi:type="dcterms:W3CDTF">2026-03-05T06:04:34Z</dcterms:created>
  <dcterms:modified xsi:type="dcterms:W3CDTF">2026-03-05T16:32:27Z</dcterms:modified>
</cp:coreProperties>
</file>