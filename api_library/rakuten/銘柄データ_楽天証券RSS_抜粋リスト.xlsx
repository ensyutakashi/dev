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nsyu\Documents\Speculation\TDnet\TDnet適時情報開示サービス\Quants\rakuten\"/>
    </mc:Choice>
  </mc:AlternateContent>
  <xr:revisionPtr revIDLastSave="0" documentId="13_ncr:1_{794B03A3-0D7C-4D7E-96B2-8A4B61FD423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151" i="1"/>
  <c r="W151" i="1"/>
  <c r="G151" i="1"/>
  <c r="M150" i="1"/>
  <c r="S149" i="1"/>
  <c r="C149" i="1"/>
  <c r="I148" i="1"/>
  <c r="O147" i="1"/>
  <c r="U146" i="1"/>
  <c r="E146" i="1"/>
  <c r="K145" i="1"/>
  <c r="Q144" i="1"/>
  <c r="W143" i="1"/>
  <c r="G143" i="1"/>
  <c r="M142" i="1"/>
  <c r="S141" i="1"/>
  <c r="C141" i="1"/>
  <c r="I140" i="1"/>
  <c r="O139" i="1"/>
  <c r="U138" i="1"/>
  <c r="E138" i="1"/>
  <c r="K137" i="1"/>
  <c r="Q136" i="1"/>
  <c r="W135" i="1"/>
  <c r="G135" i="1"/>
  <c r="M134" i="1"/>
  <c r="S133" i="1"/>
  <c r="C133" i="1"/>
  <c r="I132" i="1"/>
  <c r="O131" i="1"/>
  <c r="U130" i="1"/>
  <c r="E130" i="1"/>
  <c r="K129" i="1"/>
  <c r="Q128" i="1"/>
  <c r="W127" i="1"/>
  <c r="G127" i="1"/>
  <c r="M126" i="1"/>
  <c r="S125" i="1"/>
  <c r="C125" i="1"/>
  <c r="I124" i="1"/>
  <c r="O123" i="1"/>
  <c r="U122" i="1"/>
  <c r="E122" i="1"/>
  <c r="K121" i="1"/>
  <c r="Q120" i="1"/>
  <c r="W119" i="1"/>
  <c r="G119" i="1"/>
  <c r="M118" i="1"/>
  <c r="S117" i="1"/>
  <c r="C117" i="1"/>
  <c r="I116" i="1"/>
  <c r="O115" i="1"/>
  <c r="U114" i="1"/>
  <c r="E114" i="1"/>
  <c r="K113" i="1"/>
  <c r="Q112" i="1"/>
  <c r="W111" i="1"/>
  <c r="G111" i="1"/>
  <c r="M110" i="1"/>
  <c r="S109" i="1"/>
  <c r="C109" i="1"/>
  <c r="I108" i="1"/>
  <c r="O107" i="1"/>
  <c r="U106" i="1"/>
  <c r="E106" i="1"/>
  <c r="K105" i="1"/>
  <c r="Q104" i="1"/>
  <c r="W103" i="1"/>
  <c r="G103" i="1"/>
  <c r="M102" i="1"/>
  <c r="S101" i="1"/>
  <c r="C101" i="1"/>
  <c r="I100" i="1"/>
  <c r="O99" i="1"/>
  <c r="U98" i="1"/>
  <c r="E98" i="1"/>
  <c r="K97" i="1"/>
  <c r="Q96" i="1"/>
  <c r="W95" i="1"/>
  <c r="G95" i="1"/>
  <c r="M94" i="1"/>
  <c r="S93" i="1"/>
  <c r="C93" i="1"/>
  <c r="I92" i="1"/>
  <c r="O91" i="1"/>
  <c r="U90" i="1"/>
  <c r="E90" i="1"/>
  <c r="K89" i="1"/>
  <c r="Q88" i="1"/>
  <c r="W87" i="1"/>
  <c r="G87" i="1"/>
  <c r="M86" i="1"/>
  <c r="S85" i="1"/>
  <c r="C85" i="1"/>
  <c r="I84" i="1"/>
  <c r="O83" i="1"/>
  <c r="U82" i="1"/>
  <c r="E82" i="1"/>
  <c r="K81" i="1"/>
  <c r="Q80" i="1"/>
  <c r="W79" i="1"/>
  <c r="G79" i="1"/>
  <c r="M78" i="1"/>
  <c r="S77" i="1"/>
  <c r="C77" i="1"/>
  <c r="I76" i="1"/>
  <c r="O75" i="1"/>
  <c r="U74" i="1"/>
  <c r="E74" i="1"/>
  <c r="K73" i="1"/>
  <c r="Q72" i="1"/>
  <c r="W71" i="1"/>
  <c r="G71" i="1"/>
  <c r="M70" i="1"/>
  <c r="S69" i="1"/>
  <c r="C69" i="1"/>
  <c r="I68" i="1"/>
  <c r="O67" i="1"/>
  <c r="U66" i="1"/>
  <c r="E66" i="1"/>
  <c r="K65" i="1"/>
  <c r="Q64" i="1"/>
  <c r="W63" i="1"/>
  <c r="G63" i="1"/>
  <c r="M62" i="1"/>
  <c r="S61" i="1"/>
  <c r="C61" i="1"/>
  <c r="I60" i="1"/>
  <c r="V151" i="1"/>
  <c r="U151" i="1"/>
  <c r="E151" i="1"/>
  <c r="K150" i="1"/>
  <c r="Q149" i="1"/>
  <c r="W148" i="1"/>
  <c r="G148" i="1"/>
  <c r="M147" i="1"/>
  <c r="S146" i="1"/>
  <c r="C146" i="1"/>
  <c r="I145" i="1"/>
  <c r="O144" i="1"/>
  <c r="U143" i="1"/>
  <c r="E143" i="1"/>
  <c r="K142" i="1"/>
  <c r="Q141" i="1"/>
  <c r="W140" i="1"/>
  <c r="G140" i="1"/>
  <c r="M139" i="1"/>
  <c r="S138" i="1"/>
  <c r="C138" i="1"/>
  <c r="I137" i="1"/>
  <c r="O136" i="1"/>
  <c r="U135" i="1"/>
  <c r="E135" i="1"/>
  <c r="K134" i="1"/>
  <c r="Q133" i="1"/>
  <c r="W132" i="1"/>
  <c r="G132" i="1"/>
  <c r="M131" i="1"/>
  <c r="S130" i="1"/>
  <c r="C130" i="1"/>
  <c r="I129" i="1"/>
  <c r="O128" i="1"/>
  <c r="U127" i="1"/>
  <c r="E127" i="1"/>
  <c r="K126" i="1"/>
  <c r="Q125" i="1"/>
  <c r="W124" i="1"/>
  <c r="G124" i="1"/>
  <c r="M123" i="1"/>
  <c r="S122" i="1"/>
  <c r="C122" i="1"/>
  <c r="I121" i="1"/>
  <c r="O120" i="1"/>
  <c r="U119" i="1"/>
  <c r="E119" i="1"/>
  <c r="K118" i="1"/>
  <c r="Q117" i="1"/>
  <c r="W116" i="1"/>
  <c r="G116" i="1"/>
  <c r="M115" i="1"/>
  <c r="S114" i="1"/>
  <c r="C114" i="1"/>
  <c r="I113" i="1"/>
  <c r="O112" i="1"/>
  <c r="U111" i="1"/>
  <c r="E111" i="1"/>
  <c r="K110" i="1"/>
  <c r="Q109" i="1"/>
  <c r="W108" i="1"/>
  <c r="G108" i="1"/>
  <c r="M107" i="1"/>
  <c r="S106" i="1"/>
  <c r="C106" i="1"/>
  <c r="I105" i="1"/>
  <c r="O104" i="1"/>
  <c r="U103" i="1"/>
  <c r="E103" i="1"/>
  <c r="K102" i="1"/>
  <c r="Q101" i="1"/>
  <c r="W100" i="1"/>
  <c r="G100" i="1"/>
  <c r="M99" i="1"/>
  <c r="S98" i="1"/>
  <c r="C98" i="1"/>
  <c r="I97" i="1"/>
  <c r="O96" i="1"/>
  <c r="U95" i="1"/>
  <c r="E95" i="1"/>
  <c r="K94" i="1"/>
  <c r="Q93" i="1"/>
  <c r="W92" i="1"/>
  <c r="G92" i="1"/>
  <c r="M91" i="1"/>
  <c r="S90" i="1"/>
  <c r="C90" i="1"/>
  <c r="I89" i="1"/>
  <c r="O88" i="1"/>
  <c r="U87" i="1"/>
  <c r="E87" i="1"/>
  <c r="K86" i="1"/>
  <c r="Q85" i="1"/>
  <c r="W84" i="1"/>
  <c r="G84" i="1"/>
  <c r="M83" i="1"/>
  <c r="S82" i="1"/>
  <c r="C82" i="1"/>
  <c r="I81" i="1"/>
  <c r="O80" i="1"/>
  <c r="U79" i="1"/>
  <c r="E79" i="1"/>
  <c r="K78" i="1"/>
  <c r="Q77" i="1"/>
  <c r="W76" i="1"/>
  <c r="G76" i="1"/>
  <c r="M75" i="1"/>
  <c r="S74" i="1"/>
  <c r="C74" i="1"/>
  <c r="I73" i="1"/>
  <c r="O72" i="1"/>
  <c r="U71" i="1"/>
  <c r="E71" i="1"/>
  <c r="K70" i="1"/>
  <c r="Q69" i="1"/>
  <c r="W68" i="1"/>
  <c r="G68" i="1"/>
  <c r="M67" i="1"/>
  <c r="S66" i="1"/>
  <c r="C66" i="1"/>
  <c r="T151" i="1"/>
  <c r="D151" i="1"/>
  <c r="J150" i="1"/>
  <c r="P149" i="1"/>
  <c r="V148" i="1"/>
  <c r="F148" i="1"/>
  <c r="L147" i="1"/>
  <c r="R146" i="1"/>
  <c r="B146" i="1"/>
  <c r="H145" i="1"/>
  <c r="N144" i="1"/>
  <c r="T143" i="1"/>
  <c r="D143" i="1"/>
  <c r="J142" i="1"/>
  <c r="P141" i="1"/>
  <c r="V140" i="1"/>
  <c r="F140" i="1"/>
  <c r="L139" i="1"/>
  <c r="R138" i="1"/>
  <c r="B138" i="1"/>
  <c r="H137" i="1"/>
  <c r="N136" i="1"/>
  <c r="T135" i="1"/>
  <c r="D135" i="1"/>
  <c r="J134" i="1"/>
  <c r="P133" i="1"/>
  <c r="V132" i="1"/>
  <c r="F132" i="1"/>
  <c r="L131" i="1"/>
  <c r="R130" i="1"/>
  <c r="B130" i="1"/>
  <c r="H129" i="1"/>
  <c r="N128" i="1"/>
  <c r="T127" i="1"/>
  <c r="D127" i="1"/>
  <c r="J126" i="1"/>
  <c r="P125" i="1"/>
  <c r="V124" i="1"/>
  <c r="F124" i="1"/>
  <c r="L123" i="1"/>
  <c r="R122" i="1"/>
  <c r="B122" i="1"/>
  <c r="H121" i="1"/>
  <c r="N120" i="1"/>
  <c r="T119" i="1"/>
  <c r="D119" i="1"/>
  <c r="J118" i="1"/>
  <c r="P117" i="1"/>
  <c r="V116" i="1"/>
  <c r="F116" i="1"/>
  <c r="L115" i="1"/>
  <c r="R114" i="1"/>
  <c r="B114" i="1"/>
  <c r="H113" i="1"/>
  <c r="N112" i="1"/>
  <c r="T111" i="1"/>
  <c r="S151" i="1"/>
  <c r="C151" i="1"/>
  <c r="I150" i="1"/>
  <c r="O149" i="1"/>
  <c r="U148" i="1"/>
  <c r="E148" i="1"/>
  <c r="K147" i="1"/>
  <c r="Q146" i="1"/>
  <c r="W145" i="1"/>
  <c r="G145" i="1"/>
  <c r="M144" i="1"/>
  <c r="S143" i="1"/>
  <c r="C143" i="1"/>
  <c r="I142" i="1"/>
  <c r="O141" i="1"/>
  <c r="U140" i="1"/>
  <c r="E140" i="1"/>
  <c r="K139" i="1"/>
  <c r="Q138" i="1"/>
  <c r="W137" i="1"/>
  <c r="G137" i="1"/>
  <c r="M136" i="1"/>
  <c r="S135" i="1"/>
  <c r="C135" i="1"/>
  <c r="I134" i="1"/>
  <c r="O133" i="1"/>
  <c r="U132" i="1"/>
  <c r="E132" i="1"/>
  <c r="K131" i="1"/>
  <c r="Q130" i="1"/>
  <c r="W129" i="1"/>
  <c r="G129" i="1"/>
  <c r="M128" i="1"/>
  <c r="S127" i="1"/>
  <c r="C127" i="1"/>
  <c r="I126" i="1"/>
  <c r="O125" i="1"/>
  <c r="U124" i="1"/>
  <c r="E124" i="1"/>
  <c r="K123" i="1"/>
  <c r="Q122" i="1"/>
  <c r="W121" i="1"/>
  <c r="G121" i="1"/>
  <c r="M120" i="1"/>
  <c r="S119" i="1"/>
  <c r="C119" i="1"/>
  <c r="I118" i="1"/>
  <c r="O117" i="1"/>
  <c r="U116" i="1"/>
  <c r="E116" i="1"/>
  <c r="K115" i="1"/>
  <c r="Q114" i="1"/>
  <c r="W113" i="1"/>
  <c r="G113" i="1"/>
  <c r="R151" i="1"/>
  <c r="Q151" i="1"/>
  <c r="P151" i="1"/>
  <c r="O151" i="1"/>
  <c r="N151" i="1"/>
  <c r="M151" i="1"/>
  <c r="L151" i="1"/>
  <c r="R150" i="1"/>
  <c r="B150" i="1"/>
  <c r="H149" i="1"/>
  <c r="N148" i="1"/>
  <c r="T147" i="1"/>
  <c r="D147" i="1"/>
  <c r="J146" i="1"/>
  <c r="P145" i="1"/>
  <c r="V144" i="1"/>
  <c r="F144" i="1"/>
  <c r="L143" i="1"/>
  <c r="R142" i="1"/>
  <c r="B142" i="1"/>
  <c r="H141" i="1"/>
  <c r="N140" i="1"/>
  <c r="T139" i="1"/>
  <c r="D139" i="1"/>
  <c r="J138" i="1"/>
  <c r="P137" i="1"/>
  <c r="V136" i="1"/>
  <c r="F136" i="1"/>
  <c r="L135" i="1"/>
  <c r="R134" i="1"/>
  <c r="B134" i="1"/>
  <c r="H133" i="1"/>
  <c r="N132" i="1"/>
  <c r="T131" i="1"/>
  <c r="D131" i="1"/>
  <c r="J130" i="1"/>
  <c r="P129" i="1"/>
  <c r="V128" i="1"/>
  <c r="F128" i="1"/>
  <c r="L127" i="1"/>
  <c r="R126" i="1"/>
  <c r="B126" i="1"/>
  <c r="H125" i="1"/>
  <c r="N124" i="1"/>
  <c r="T123" i="1"/>
  <c r="D123" i="1"/>
  <c r="J122" i="1"/>
  <c r="P121" i="1"/>
  <c r="V120" i="1"/>
  <c r="F120" i="1"/>
  <c r="L119" i="1"/>
  <c r="R118" i="1"/>
  <c r="B118" i="1"/>
  <c r="H117" i="1"/>
  <c r="N116" i="1"/>
  <c r="T115" i="1"/>
  <c r="D115" i="1"/>
  <c r="J114" i="1"/>
  <c r="P113" i="1"/>
  <c r="V112" i="1"/>
  <c r="F112" i="1"/>
  <c r="L111" i="1"/>
  <c r="R110" i="1"/>
  <c r="B110" i="1"/>
  <c r="H109" i="1"/>
  <c r="N108" i="1"/>
  <c r="T107" i="1"/>
  <c r="D107" i="1"/>
  <c r="J106" i="1"/>
  <c r="P105" i="1"/>
  <c r="V104" i="1"/>
  <c r="F104" i="1"/>
  <c r="L103" i="1"/>
  <c r="R102" i="1"/>
  <c r="B102" i="1"/>
  <c r="H101" i="1"/>
  <c r="N100" i="1"/>
  <c r="T99" i="1"/>
  <c r="D99" i="1"/>
  <c r="J98" i="1"/>
  <c r="P97" i="1"/>
  <c r="V96" i="1"/>
  <c r="F96" i="1"/>
  <c r="K151" i="1"/>
  <c r="Q150" i="1"/>
  <c r="W149" i="1"/>
  <c r="G149" i="1"/>
  <c r="M148" i="1"/>
  <c r="S147" i="1"/>
  <c r="C147" i="1"/>
  <c r="I146" i="1"/>
  <c r="O145" i="1"/>
  <c r="U144" i="1"/>
  <c r="E144" i="1"/>
  <c r="K143" i="1"/>
  <c r="Q142" i="1"/>
  <c r="W141" i="1"/>
  <c r="G141" i="1"/>
  <c r="M140" i="1"/>
  <c r="S139" i="1"/>
  <c r="C139" i="1"/>
  <c r="I138" i="1"/>
  <c r="O137" i="1"/>
  <c r="U136" i="1"/>
  <c r="E136" i="1"/>
  <c r="K135" i="1"/>
  <c r="Q134" i="1"/>
  <c r="W133" i="1"/>
  <c r="G133" i="1"/>
  <c r="M132" i="1"/>
  <c r="S131" i="1"/>
  <c r="C131" i="1"/>
  <c r="I130" i="1"/>
  <c r="O129" i="1"/>
  <c r="U128" i="1"/>
  <c r="E128" i="1"/>
  <c r="K127" i="1"/>
  <c r="Q126" i="1"/>
  <c r="W125" i="1"/>
  <c r="G125" i="1"/>
  <c r="M124" i="1"/>
  <c r="S123" i="1"/>
  <c r="C123" i="1"/>
  <c r="I122" i="1"/>
  <c r="O121" i="1"/>
  <c r="U120" i="1"/>
  <c r="E120" i="1"/>
  <c r="K119" i="1"/>
  <c r="Q118" i="1"/>
  <c r="W117" i="1"/>
  <c r="G117" i="1"/>
  <c r="M116" i="1"/>
  <c r="S115" i="1"/>
  <c r="C115" i="1"/>
  <c r="I114" i="1"/>
  <c r="O113" i="1"/>
  <c r="U112" i="1"/>
  <c r="E112" i="1"/>
  <c r="K111" i="1"/>
  <c r="Q110" i="1"/>
  <c r="W109" i="1"/>
  <c r="G109" i="1"/>
  <c r="M108" i="1"/>
  <c r="S107" i="1"/>
  <c r="C107" i="1"/>
  <c r="I106" i="1"/>
  <c r="O105" i="1"/>
  <c r="U104" i="1"/>
  <c r="E104" i="1"/>
  <c r="K103" i="1"/>
  <c r="Q102" i="1"/>
  <c r="W101" i="1"/>
  <c r="G101" i="1"/>
  <c r="M100" i="1"/>
  <c r="S99" i="1"/>
  <c r="J151" i="1"/>
  <c r="P150" i="1"/>
  <c r="V149" i="1"/>
  <c r="F149" i="1"/>
  <c r="L148" i="1"/>
  <c r="R147" i="1"/>
  <c r="B147" i="1"/>
  <c r="H146" i="1"/>
  <c r="N145" i="1"/>
  <c r="T144" i="1"/>
  <c r="D144" i="1"/>
  <c r="J143" i="1"/>
  <c r="P142" i="1"/>
  <c r="V141" i="1"/>
  <c r="F141" i="1"/>
  <c r="L140" i="1"/>
  <c r="R139" i="1"/>
  <c r="B139" i="1"/>
  <c r="H138" i="1"/>
  <c r="N137" i="1"/>
  <c r="T136" i="1"/>
  <c r="D136" i="1"/>
  <c r="J135" i="1"/>
  <c r="P134" i="1"/>
  <c r="V133" i="1"/>
  <c r="F133" i="1"/>
  <c r="L132" i="1"/>
  <c r="R131" i="1"/>
  <c r="B131" i="1"/>
  <c r="H130" i="1"/>
  <c r="N129" i="1"/>
  <c r="T128" i="1"/>
  <c r="D128" i="1"/>
  <c r="J127" i="1"/>
  <c r="P126" i="1"/>
  <c r="V125" i="1"/>
  <c r="F125" i="1"/>
  <c r="L124" i="1"/>
  <c r="R123" i="1"/>
  <c r="B123" i="1"/>
  <c r="H122" i="1"/>
  <c r="N121" i="1"/>
  <c r="T120" i="1"/>
  <c r="D120" i="1"/>
  <c r="J119" i="1"/>
  <c r="P118" i="1"/>
  <c r="V117" i="1"/>
  <c r="F117" i="1"/>
  <c r="L116" i="1"/>
  <c r="R115" i="1"/>
  <c r="B115" i="1"/>
  <c r="H114" i="1"/>
  <c r="N113" i="1"/>
  <c r="T112" i="1"/>
  <c r="D112" i="1"/>
  <c r="J111" i="1"/>
  <c r="P110" i="1"/>
  <c r="V109" i="1"/>
  <c r="F109" i="1"/>
  <c r="L108" i="1"/>
  <c r="R107" i="1"/>
  <c r="B107" i="1"/>
  <c r="H106" i="1"/>
  <c r="N105" i="1"/>
  <c r="T104" i="1"/>
  <c r="D104" i="1"/>
  <c r="J103" i="1"/>
  <c r="P102" i="1"/>
  <c r="V101" i="1"/>
  <c r="F101" i="1"/>
  <c r="L100" i="1"/>
  <c r="R99" i="1"/>
  <c r="B99" i="1"/>
  <c r="H98" i="1"/>
  <c r="N97" i="1"/>
  <c r="T96" i="1"/>
  <c r="D96" i="1"/>
  <c r="J95" i="1"/>
  <c r="P94" i="1"/>
  <c r="V93" i="1"/>
  <c r="F93" i="1"/>
  <c r="L92" i="1"/>
  <c r="R91" i="1"/>
  <c r="B91" i="1"/>
  <c r="H90" i="1"/>
  <c r="N89" i="1"/>
  <c r="T88" i="1"/>
  <c r="D88" i="1"/>
  <c r="I151" i="1"/>
  <c r="O150" i="1"/>
  <c r="U149" i="1"/>
  <c r="E149" i="1"/>
  <c r="K148" i="1"/>
  <c r="Q147" i="1"/>
  <c r="W146" i="1"/>
  <c r="G146" i="1"/>
  <c r="M145" i="1"/>
  <c r="S144" i="1"/>
  <c r="C144" i="1"/>
  <c r="I143" i="1"/>
  <c r="O142" i="1"/>
  <c r="U141" i="1"/>
  <c r="E141" i="1"/>
  <c r="K140" i="1"/>
  <c r="Q139" i="1"/>
  <c r="W138" i="1"/>
  <c r="G138" i="1"/>
  <c r="M137" i="1"/>
  <c r="S136" i="1"/>
  <c r="C136" i="1"/>
  <c r="I135" i="1"/>
  <c r="O134" i="1"/>
  <c r="U133" i="1"/>
  <c r="E133" i="1"/>
  <c r="K132" i="1"/>
  <c r="Q131" i="1"/>
  <c r="W130" i="1"/>
  <c r="G130" i="1"/>
  <c r="M129" i="1"/>
  <c r="S128" i="1"/>
  <c r="C128" i="1"/>
  <c r="I127" i="1"/>
  <c r="O126" i="1"/>
  <c r="U125" i="1"/>
  <c r="E125" i="1"/>
  <c r="K124" i="1"/>
  <c r="Q123" i="1"/>
  <c r="W122" i="1"/>
  <c r="G122" i="1"/>
  <c r="M121" i="1"/>
  <c r="S120" i="1"/>
  <c r="C120" i="1"/>
  <c r="I119" i="1"/>
  <c r="O118" i="1"/>
  <c r="U117" i="1"/>
  <c r="E117" i="1"/>
  <c r="K116" i="1"/>
  <c r="Q115" i="1"/>
  <c r="W114" i="1"/>
  <c r="G114" i="1"/>
  <c r="M113" i="1"/>
  <c r="S112" i="1"/>
  <c r="C112" i="1"/>
  <c r="I111" i="1"/>
  <c r="O110" i="1"/>
  <c r="U109" i="1"/>
  <c r="E109" i="1"/>
  <c r="K108" i="1"/>
  <c r="Q107" i="1"/>
  <c r="W106" i="1"/>
  <c r="G106" i="1"/>
  <c r="M105" i="1"/>
  <c r="S104" i="1"/>
  <c r="C104" i="1"/>
  <c r="I103" i="1"/>
  <c r="O102" i="1"/>
  <c r="U101" i="1"/>
  <c r="E101" i="1"/>
  <c r="K100" i="1"/>
  <c r="Q99" i="1"/>
  <c r="W98" i="1"/>
  <c r="G98" i="1"/>
  <c r="M97" i="1"/>
  <c r="S96" i="1"/>
  <c r="C96" i="1"/>
  <c r="I95" i="1"/>
  <c r="O94" i="1"/>
  <c r="U93" i="1"/>
  <c r="E93" i="1"/>
  <c r="K92" i="1"/>
  <c r="Q91" i="1"/>
  <c r="W90" i="1"/>
  <c r="G90" i="1"/>
  <c r="M89" i="1"/>
  <c r="S88" i="1"/>
  <c r="C88" i="1"/>
  <c r="I87" i="1"/>
  <c r="O86" i="1"/>
  <c r="U85" i="1"/>
  <c r="E85" i="1"/>
  <c r="K84" i="1"/>
  <c r="Q83" i="1"/>
  <c r="W82" i="1"/>
  <c r="G82" i="1"/>
  <c r="M81" i="1"/>
  <c r="H151" i="1"/>
  <c r="N150" i="1"/>
  <c r="T149" i="1"/>
  <c r="D149" i="1"/>
  <c r="J148" i="1"/>
  <c r="P147" i="1"/>
  <c r="V146" i="1"/>
  <c r="F146" i="1"/>
  <c r="L145" i="1"/>
  <c r="R144" i="1"/>
  <c r="B144" i="1"/>
  <c r="H143" i="1"/>
  <c r="N142" i="1"/>
  <c r="T141" i="1"/>
  <c r="D141" i="1"/>
  <c r="J140" i="1"/>
  <c r="P139" i="1"/>
  <c r="V138" i="1"/>
  <c r="F138" i="1"/>
  <c r="L137" i="1"/>
  <c r="R136" i="1"/>
  <c r="B136" i="1"/>
  <c r="H135" i="1"/>
  <c r="N134" i="1"/>
  <c r="T133" i="1"/>
  <c r="D133" i="1"/>
  <c r="J132" i="1"/>
  <c r="P131" i="1"/>
  <c r="V130" i="1"/>
  <c r="F130" i="1"/>
  <c r="L129" i="1"/>
  <c r="R128" i="1"/>
  <c r="B128" i="1"/>
  <c r="H127" i="1"/>
  <c r="N126" i="1"/>
  <c r="T125" i="1"/>
  <c r="D125" i="1"/>
  <c r="J124" i="1"/>
  <c r="P123" i="1"/>
  <c r="V122" i="1"/>
  <c r="F122" i="1"/>
  <c r="L121" i="1"/>
  <c r="R120" i="1"/>
  <c r="B120" i="1"/>
  <c r="H119" i="1"/>
  <c r="N118" i="1"/>
  <c r="T117" i="1"/>
  <c r="D117" i="1"/>
  <c r="J116" i="1"/>
  <c r="P115" i="1"/>
  <c r="V114" i="1"/>
  <c r="F114" i="1"/>
  <c r="L113" i="1"/>
  <c r="R112" i="1"/>
  <c r="B112" i="1"/>
  <c r="H111" i="1"/>
  <c r="N110" i="1"/>
  <c r="T109" i="1"/>
  <c r="D109" i="1"/>
  <c r="J108" i="1"/>
  <c r="P107" i="1"/>
  <c r="V106" i="1"/>
  <c r="F106" i="1"/>
  <c r="L105" i="1"/>
  <c r="R104" i="1"/>
  <c r="B104" i="1"/>
  <c r="H103" i="1"/>
  <c r="N102" i="1"/>
  <c r="T101" i="1"/>
  <c r="D101" i="1"/>
  <c r="J100" i="1"/>
  <c r="P99" i="1"/>
  <c r="V98" i="1"/>
  <c r="F98" i="1"/>
  <c r="L97" i="1"/>
  <c r="R96" i="1"/>
  <c r="B96" i="1"/>
  <c r="H95" i="1"/>
  <c r="N94" i="1"/>
  <c r="T93" i="1"/>
  <c r="D93" i="1"/>
  <c r="J92" i="1"/>
  <c r="P91" i="1"/>
  <c r="V90" i="1"/>
  <c r="F90" i="1"/>
  <c r="L89" i="1"/>
  <c r="F151" i="1"/>
  <c r="M149" i="1"/>
  <c r="W147" i="1"/>
  <c r="K146" i="1"/>
  <c r="L144" i="1"/>
  <c r="V142" i="1"/>
  <c r="J141" i="1"/>
  <c r="N139" i="1"/>
  <c r="U137" i="1"/>
  <c r="I136" i="1"/>
  <c r="S134" i="1"/>
  <c r="T132" i="1"/>
  <c r="H131" i="1"/>
  <c r="R129" i="1"/>
  <c r="V127" i="1"/>
  <c r="G126" i="1"/>
  <c r="Q124" i="1"/>
  <c r="E123" i="1"/>
  <c r="F121" i="1"/>
  <c r="P119" i="1"/>
  <c r="D118" i="1"/>
  <c r="H116" i="1"/>
  <c r="O114" i="1"/>
  <c r="C113" i="1"/>
  <c r="O111" i="1"/>
  <c r="G110" i="1"/>
  <c r="U108" i="1"/>
  <c r="N107" i="1"/>
  <c r="L106" i="1"/>
  <c r="D105" i="1"/>
  <c r="R103" i="1"/>
  <c r="J102" i="1"/>
  <c r="I101" i="1"/>
  <c r="W99" i="1"/>
  <c r="P98" i="1"/>
  <c r="O97" i="1"/>
  <c r="J96" i="1"/>
  <c r="F95" i="1"/>
  <c r="F94" i="1"/>
  <c r="G93" i="1"/>
  <c r="C92" i="1"/>
  <c r="D91" i="1"/>
  <c r="V89" i="1"/>
  <c r="W88" i="1"/>
  <c r="V87" i="1"/>
  <c r="B87" i="1"/>
  <c r="E86" i="1"/>
  <c r="H85" i="1"/>
  <c r="J84" i="1"/>
  <c r="K83" i="1"/>
  <c r="N82" i="1"/>
  <c r="Q81" i="1"/>
  <c r="T80" i="1"/>
  <c r="B80" i="1"/>
  <c r="D79" i="1"/>
  <c r="H78" i="1"/>
  <c r="L77" i="1"/>
  <c r="P76" i="1"/>
  <c r="T75" i="1"/>
  <c r="B75" i="1"/>
  <c r="F74" i="1"/>
  <c r="L149" i="1"/>
  <c r="V147" i="1"/>
  <c r="D146" i="1"/>
  <c r="K144" i="1"/>
  <c r="U142" i="1"/>
  <c r="I141" i="1"/>
  <c r="J139" i="1"/>
  <c r="T137" i="1"/>
  <c r="H136" i="1"/>
  <c r="L134" i="1"/>
  <c r="S132" i="1"/>
  <c r="G131" i="1"/>
  <c r="Q129" i="1"/>
  <c r="R127" i="1"/>
  <c r="F126" i="1"/>
  <c r="P124" i="1"/>
  <c r="T122" i="1"/>
  <c r="E121" i="1"/>
  <c r="O119" i="1"/>
  <c r="C118" i="1"/>
  <c r="D116" i="1"/>
  <c r="N114" i="1"/>
  <c r="B113" i="1"/>
  <c r="N111" i="1"/>
  <c r="F110" i="1"/>
  <c r="T108" i="1"/>
  <c r="L107" i="1"/>
  <c r="K106" i="1"/>
  <c r="C105" i="1"/>
  <c r="Q103" i="1"/>
  <c r="I102" i="1"/>
  <c r="B101" i="1"/>
  <c r="V99" i="1"/>
  <c r="O98" i="1"/>
  <c r="J97" i="1"/>
  <c r="I96" i="1"/>
  <c r="D95" i="1"/>
  <c r="E94" i="1"/>
  <c r="B93" i="1"/>
  <c r="B92" i="1"/>
  <c r="C91" i="1"/>
  <c r="U89" i="1"/>
  <c r="V88" i="1"/>
  <c r="T87" i="1"/>
  <c r="W86" i="1"/>
  <c r="D86" i="1"/>
  <c r="G85" i="1"/>
  <c r="H84" i="1"/>
  <c r="J83" i="1"/>
  <c r="M82" i="1"/>
  <c r="P81" i="1"/>
  <c r="S80" i="1"/>
  <c r="V79" i="1"/>
  <c r="C79" i="1"/>
  <c r="G78" i="1"/>
  <c r="K77" i="1"/>
  <c r="O76" i="1"/>
  <c r="S75" i="1"/>
  <c r="W74" i="1"/>
  <c r="D74" i="1"/>
  <c r="G73" i="1"/>
  <c r="K72" i="1"/>
  <c r="O71" i="1"/>
  <c r="S70" i="1"/>
  <c r="W69" i="1"/>
  <c r="E69" i="1"/>
  <c r="H68" i="1"/>
  <c r="K67" i="1"/>
  <c r="O66" i="1"/>
  <c r="S65" i="1"/>
  <c r="B65" i="1"/>
  <c r="G64" i="1"/>
  <c r="L63" i="1"/>
  <c r="Q62" i="1"/>
  <c r="V61" i="1"/>
  <c r="E61" i="1"/>
  <c r="J60" i="1"/>
  <c r="O59" i="1"/>
  <c r="U58" i="1"/>
  <c r="E58" i="1"/>
  <c r="K57" i="1"/>
  <c r="Q56" i="1"/>
  <c r="W55" i="1"/>
  <c r="G55" i="1"/>
  <c r="M54" i="1"/>
  <c r="S53" i="1"/>
  <c r="C53" i="1"/>
  <c r="I52" i="1"/>
  <c r="O51" i="1"/>
  <c r="U50" i="1"/>
  <c r="E50" i="1"/>
  <c r="K49" i="1"/>
  <c r="Q48" i="1"/>
  <c r="W47" i="1"/>
  <c r="G47" i="1"/>
  <c r="M46" i="1"/>
  <c r="S45" i="1"/>
  <c r="W150" i="1"/>
  <c r="K149" i="1"/>
  <c r="U147" i="1"/>
  <c r="V145" i="1"/>
  <c r="J144" i="1"/>
  <c r="T142" i="1"/>
  <c r="B141" i="1"/>
  <c r="I139" i="1"/>
  <c r="S137" i="1"/>
  <c r="G136" i="1"/>
  <c r="H134" i="1"/>
  <c r="R132" i="1"/>
  <c r="F131" i="1"/>
  <c r="J129" i="1"/>
  <c r="Q127" i="1"/>
  <c r="E126" i="1"/>
  <c r="O124" i="1"/>
  <c r="P122" i="1"/>
  <c r="D121" i="1"/>
  <c r="N119" i="1"/>
  <c r="R117" i="1"/>
  <c r="C116" i="1"/>
  <c r="M114" i="1"/>
  <c r="W112" i="1"/>
  <c r="M111" i="1"/>
  <c r="E110" i="1"/>
  <c r="S108" i="1"/>
  <c r="K107" i="1"/>
  <c r="D106" i="1"/>
  <c r="B105" i="1"/>
  <c r="P103" i="1"/>
  <c r="H102" i="1"/>
  <c r="V100" i="1"/>
  <c r="U99" i="1"/>
  <c r="N98" i="1"/>
  <c r="H97" i="1"/>
  <c r="H96" i="1"/>
  <c r="C95" i="1"/>
  <c r="D94" i="1"/>
  <c r="V92" i="1"/>
  <c r="W91" i="1"/>
  <c r="T90" i="1"/>
  <c r="T89" i="1"/>
  <c r="U88" i="1"/>
  <c r="S87" i="1"/>
  <c r="V86" i="1"/>
  <c r="C86" i="1"/>
  <c r="F85" i="1"/>
  <c r="F84" i="1"/>
  <c r="I83" i="1"/>
  <c r="L82" i="1"/>
  <c r="O81" i="1"/>
  <c r="R80" i="1"/>
  <c r="T79" i="1"/>
  <c r="B79" i="1"/>
  <c r="F78" i="1"/>
  <c r="J77" i="1"/>
  <c r="N76" i="1"/>
  <c r="R75" i="1"/>
  <c r="V74" i="1"/>
  <c r="B74" i="1"/>
  <c r="F73" i="1"/>
  <c r="J72" i="1"/>
  <c r="N71" i="1"/>
  <c r="R70" i="1"/>
  <c r="V69" i="1"/>
  <c r="D69" i="1"/>
  <c r="F68" i="1"/>
  <c r="J67" i="1"/>
  <c r="N66" i="1"/>
  <c r="R65" i="1"/>
  <c r="W64" i="1"/>
  <c r="F64" i="1"/>
  <c r="K63" i="1"/>
  <c r="P62" i="1"/>
  <c r="U61" i="1"/>
  <c r="D61" i="1"/>
  <c r="H60" i="1"/>
  <c r="N59" i="1"/>
  <c r="T58" i="1"/>
  <c r="D58" i="1"/>
  <c r="J57" i="1"/>
  <c r="P56" i="1"/>
  <c r="V55" i="1"/>
  <c r="F55" i="1"/>
  <c r="L54" i="1"/>
  <c r="R53" i="1"/>
  <c r="B53" i="1"/>
  <c r="H52" i="1"/>
  <c r="N51" i="1"/>
  <c r="T50" i="1"/>
  <c r="D50" i="1"/>
  <c r="J49" i="1"/>
  <c r="P48" i="1"/>
  <c r="V47" i="1"/>
  <c r="F47" i="1"/>
  <c r="L46" i="1"/>
  <c r="R45" i="1"/>
  <c r="B45" i="1"/>
  <c r="H44" i="1"/>
  <c r="N43" i="1"/>
  <c r="T42" i="1"/>
  <c r="D42" i="1"/>
  <c r="J41" i="1"/>
  <c r="P40" i="1"/>
  <c r="V39" i="1"/>
  <c r="F39" i="1"/>
  <c r="L38" i="1"/>
  <c r="R37" i="1"/>
  <c r="B37" i="1"/>
  <c r="H36" i="1"/>
  <c r="N35" i="1"/>
  <c r="T34" i="1"/>
  <c r="D34" i="1"/>
  <c r="J33" i="1"/>
  <c r="P32" i="1"/>
  <c r="V31" i="1"/>
  <c r="F31" i="1"/>
  <c r="L30" i="1"/>
  <c r="R29" i="1"/>
  <c r="B29" i="1"/>
  <c r="H28" i="1"/>
  <c r="N27" i="1"/>
  <c r="T26" i="1"/>
  <c r="D26" i="1"/>
  <c r="J25" i="1"/>
  <c r="P24" i="1"/>
  <c r="V150" i="1"/>
  <c r="J149" i="1"/>
  <c r="N147" i="1"/>
  <c r="U145" i="1"/>
  <c r="I144" i="1"/>
  <c r="S142" i="1"/>
  <c r="T140" i="1"/>
  <c r="H139" i="1"/>
  <c r="R137" i="1"/>
  <c r="V135" i="1"/>
  <c r="G134" i="1"/>
  <c r="Q132" i="1"/>
  <c r="E131" i="1"/>
  <c r="F129" i="1"/>
  <c r="P127" i="1"/>
  <c r="D126" i="1"/>
  <c r="H124" i="1"/>
  <c r="O122" i="1"/>
  <c r="C121" i="1"/>
  <c r="M119" i="1"/>
  <c r="N117" i="1"/>
  <c r="B116" i="1"/>
  <c r="L114" i="1"/>
  <c r="P112" i="1"/>
  <c r="F111" i="1"/>
  <c r="D110" i="1"/>
  <c r="R108" i="1"/>
  <c r="J107" i="1"/>
  <c r="B106" i="1"/>
  <c r="W104" i="1"/>
  <c r="O103" i="1"/>
  <c r="G102" i="1"/>
  <c r="U100" i="1"/>
  <c r="N99" i="1"/>
  <c r="M98" i="1"/>
  <c r="G97" i="1"/>
  <c r="G96" i="1"/>
  <c r="B95" i="1"/>
  <c r="C94" i="1"/>
  <c r="U92" i="1"/>
  <c r="V91" i="1"/>
  <c r="R90" i="1"/>
  <c r="S89" i="1"/>
  <c r="R88" i="1"/>
  <c r="R87" i="1"/>
  <c r="U86" i="1"/>
  <c r="B86" i="1"/>
  <c r="D85" i="1"/>
  <c r="E84" i="1"/>
  <c r="U150" i="1"/>
  <c r="I149" i="1"/>
  <c r="J147" i="1"/>
  <c r="T145" i="1"/>
  <c r="H144" i="1"/>
  <c r="L142" i="1"/>
  <c r="S140" i="1"/>
  <c r="G139" i="1"/>
  <c r="Q137" i="1"/>
  <c r="R135" i="1"/>
  <c r="F134" i="1"/>
  <c r="P132" i="1"/>
  <c r="T130" i="1"/>
  <c r="E129" i="1"/>
  <c r="O127" i="1"/>
  <c r="C126" i="1"/>
  <c r="D124" i="1"/>
  <c r="N122" i="1"/>
  <c r="B121" i="1"/>
  <c r="F119" i="1"/>
  <c r="M117" i="1"/>
  <c r="W115" i="1"/>
  <c r="K114" i="1"/>
  <c r="M112" i="1"/>
  <c r="D111" i="1"/>
  <c r="C110" i="1"/>
  <c r="Q108" i="1"/>
  <c r="I107" i="1"/>
  <c r="W105" i="1"/>
  <c r="P104" i="1"/>
  <c r="N103" i="1"/>
  <c r="F102" i="1"/>
  <c r="T100" i="1"/>
  <c r="L99" i="1"/>
  <c r="L98" i="1"/>
  <c r="F97" i="1"/>
  <c r="E96" i="1"/>
  <c r="W94" i="1"/>
  <c r="B94" i="1"/>
  <c r="T92" i="1"/>
  <c r="U91" i="1"/>
  <c r="Q90" i="1"/>
  <c r="R89" i="1"/>
  <c r="P88" i="1"/>
  <c r="Q87" i="1"/>
  <c r="T86" i="1"/>
  <c r="W85" i="1"/>
  <c r="B85" i="1"/>
  <c r="D84" i="1"/>
  <c r="G83" i="1"/>
  <c r="J82" i="1"/>
  <c r="L81" i="1"/>
  <c r="N80" i="1"/>
  <c r="R79" i="1"/>
  <c r="V78" i="1"/>
  <c r="D78" i="1"/>
  <c r="H77" i="1"/>
  <c r="L76" i="1"/>
  <c r="P75" i="1"/>
  <c r="R74" i="1"/>
  <c r="V73" i="1"/>
  <c r="D73" i="1"/>
  <c r="H72" i="1"/>
  <c r="L71" i="1"/>
  <c r="P70" i="1"/>
  <c r="T69" i="1"/>
  <c r="V68" i="1"/>
  <c r="D68" i="1"/>
  <c r="H67" i="1"/>
  <c r="L66" i="1"/>
  <c r="P65" i="1"/>
  <c r="U64" i="1"/>
  <c r="D64" i="1"/>
  <c r="I63" i="1"/>
  <c r="N62" i="1"/>
  <c r="R61" i="1"/>
  <c r="W60" i="1"/>
  <c r="F60" i="1"/>
  <c r="L59" i="1"/>
  <c r="R58" i="1"/>
  <c r="B58" i="1"/>
  <c r="H57" i="1"/>
  <c r="N56" i="1"/>
  <c r="T55" i="1"/>
  <c r="D55" i="1"/>
  <c r="J54" i="1"/>
  <c r="P53" i="1"/>
  <c r="V52" i="1"/>
  <c r="F52" i="1"/>
  <c r="L51" i="1"/>
  <c r="R50" i="1"/>
  <c r="B50" i="1"/>
  <c r="H49" i="1"/>
  <c r="N48" i="1"/>
  <c r="T47" i="1"/>
  <c r="D47" i="1"/>
  <c r="J46" i="1"/>
  <c r="P45" i="1"/>
  <c r="V44" i="1"/>
  <c r="F44" i="1"/>
  <c r="L43" i="1"/>
  <c r="R42" i="1"/>
  <c r="B42" i="1"/>
  <c r="H41" i="1"/>
  <c r="N40" i="1"/>
  <c r="T39" i="1"/>
  <c r="D39" i="1"/>
  <c r="J38" i="1"/>
  <c r="P37" i="1"/>
  <c r="V36" i="1"/>
  <c r="F36" i="1"/>
  <c r="L35" i="1"/>
  <c r="R34" i="1"/>
  <c r="B34" i="1"/>
  <c r="H33" i="1"/>
  <c r="N32" i="1"/>
  <c r="T31" i="1"/>
  <c r="D31" i="1"/>
  <c r="J30" i="1"/>
  <c r="P29" i="1"/>
  <c r="V28" i="1"/>
  <c r="F28" i="1"/>
  <c r="L27" i="1"/>
  <c r="R26" i="1"/>
  <c r="B26" i="1"/>
  <c r="H25" i="1"/>
  <c r="T150" i="1"/>
  <c r="B149" i="1"/>
  <c r="I147" i="1"/>
  <c r="S145" i="1"/>
  <c r="G144" i="1"/>
  <c r="H142" i="1"/>
  <c r="R140" i="1"/>
  <c r="F139" i="1"/>
  <c r="J137" i="1"/>
  <c r="Q135" i="1"/>
  <c r="E134" i="1"/>
  <c r="O132" i="1"/>
  <c r="P130" i="1"/>
  <c r="D129" i="1"/>
  <c r="N127" i="1"/>
  <c r="R125" i="1"/>
  <c r="C124" i="1"/>
  <c r="M122" i="1"/>
  <c r="W120" i="1"/>
  <c r="B119" i="1"/>
  <c r="L117" i="1"/>
  <c r="V115" i="1"/>
  <c r="D114" i="1"/>
  <c r="L112" i="1"/>
  <c r="C111" i="1"/>
  <c r="R109" i="1"/>
  <c r="P108" i="1"/>
  <c r="H107" i="1"/>
  <c r="V105" i="1"/>
  <c r="N104" i="1"/>
  <c r="M103" i="1"/>
  <c r="E102" i="1"/>
  <c r="S100" i="1"/>
  <c r="K99" i="1"/>
  <c r="K98" i="1"/>
  <c r="E97" i="1"/>
  <c r="V95" i="1"/>
  <c r="V94" i="1"/>
  <c r="W93" i="1"/>
  <c r="S92" i="1"/>
  <c r="T91" i="1"/>
  <c r="P90" i="1"/>
  <c r="Q89" i="1"/>
  <c r="N88" i="1"/>
  <c r="P87" i="1"/>
  <c r="S86" i="1"/>
  <c r="V85" i="1"/>
  <c r="V84" i="1"/>
  <c r="C84" i="1"/>
  <c r="F83" i="1"/>
  <c r="I82" i="1"/>
  <c r="J81" i="1"/>
  <c r="M80" i="1"/>
  <c r="Q79" i="1"/>
  <c r="U78" i="1"/>
  <c r="C78" i="1"/>
  <c r="G77" i="1"/>
  <c r="K76" i="1"/>
  <c r="N75" i="1"/>
  <c r="Q74" i="1"/>
  <c r="U73" i="1"/>
  <c r="C73" i="1"/>
  <c r="G72" i="1"/>
  <c r="K71" i="1"/>
  <c r="O70" i="1"/>
  <c r="R69" i="1"/>
  <c r="U68" i="1"/>
  <c r="C68" i="1"/>
  <c r="G67" i="1"/>
  <c r="K66" i="1"/>
  <c r="O65" i="1"/>
  <c r="T64" i="1"/>
  <c r="C64" i="1"/>
  <c r="H63" i="1"/>
  <c r="L62" i="1"/>
  <c r="Q61" i="1"/>
  <c r="V60" i="1"/>
  <c r="E60" i="1"/>
  <c r="K59" i="1"/>
  <c r="Q58" i="1"/>
  <c r="W57" i="1"/>
  <c r="G57" i="1"/>
  <c r="M56" i="1"/>
  <c r="S55" i="1"/>
  <c r="C55" i="1"/>
  <c r="I54" i="1"/>
  <c r="O53" i="1"/>
  <c r="U52" i="1"/>
  <c r="E52" i="1"/>
  <c r="K51" i="1"/>
  <c r="Q50" i="1"/>
  <c r="W49" i="1"/>
  <c r="G49" i="1"/>
  <c r="M48" i="1"/>
  <c r="S47" i="1"/>
  <c r="C47" i="1"/>
  <c r="I46" i="1"/>
  <c r="O45" i="1"/>
  <c r="U44" i="1"/>
  <c r="E44" i="1"/>
  <c r="K43" i="1"/>
  <c r="Q42" i="1"/>
  <c r="W41" i="1"/>
  <c r="G41" i="1"/>
  <c r="M40" i="1"/>
  <c r="S39" i="1"/>
  <c r="C39" i="1"/>
  <c r="I38" i="1"/>
  <c r="O37" i="1"/>
  <c r="U36" i="1"/>
  <c r="E36" i="1"/>
  <c r="K35" i="1"/>
  <c r="Q34" i="1"/>
  <c r="W33" i="1"/>
  <c r="G33" i="1"/>
  <c r="M32" i="1"/>
  <c r="S31" i="1"/>
  <c r="C31" i="1"/>
  <c r="I30" i="1"/>
  <c r="O29" i="1"/>
  <c r="U28" i="1"/>
  <c r="E28" i="1"/>
  <c r="K27" i="1"/>
  <c r="Q26" i="1"/>
  <c r="W25" i="1"/>
  <c r="G25" i="1"/>
  <c r="S150" i="1"/>
  <c r="T148" i="1"/>
  <c r="H147" i="1"/>
  <c r="R145" i="1"/>
  <c r="V143" i="1"/>
  <c r="G142" i="1"/>
  <c r="Q140" i="1"/>
  <c r="E139" i="1"/>
  <c r="F137" i="1"/>
  <c r="P135" i="1"/>
  <c r="D134" i="1"/>
  <c r="H132" i="1"/>
  <c r="O130" i="1"/>
  <c r="C129" i="1"/>
  <c r="M127" i="1"/>
  <c r="N125" i="1"/>
  <c r="B124" i="1"/>
  <c r="L122" i="1"/>
  <c r="P120" i="1"/>
  <c r="W118" i="1"/>
  <c r="K117" i="1"/>
  <c r="U115" i="1"/>
  <c r="V113" i="1"/>
  <c r="K112" i="1"/>
  <c r="B111" i="1"/>
  <c r="P109" i="1"/>
  <c r="O108" i="1"/>
  <c r="G107" i="1"/>
  <c r="U105" i="1"/>
  <c r="M104" i="1"/>
  <c r="F103" i="1"/>
  <c r="D102" i="1"/>
  <c r="R100" i="1"/>
  <c r="J99" i="1"/>
  <c r="I98" i="1"/>
  <c r="D97" i="1"/>
  <c r="T95" i="1"/>
  <c r="U94" i="1"/>
  <c r="R93" i="1"/>
  <c r="R92" i="1"/>
  <c r="S91" i="1"/>
  <c r="O90" i="1"/>
  <c r="P89" i="1"/>
  <c r="M88" i="1"/>
  <c r="O87" i="1"/>
  <c r="R86" i="1"/>
  <c r="T85" i="1"/>
  <c r="U84" i="1"/>
  <c r="B84" i="1"/>
  <c r="E83" i="1"/>
  <c r="H82" i="1"/>
  <c r="H81" i="1"/>
  <c r="L80" i="1"/>
  <c r="P79" i="1"/>
  <c r="T78" i="1"/>
  <c r="B78" i="1"/>
  <c r="F77" i="1"/>
  <c r="J76" i="1"/>
  <c r="L75" i="1"/>
  <c r="P74" i="1"/>
  <c r="T73" i="1"/>
  <c r="B73" i="1"/>
  <c r="F72" i="1"/>
  <c r="J71" i="1"/>
  <c r="N70" i="1"/>
  <c r="P69" i="1"/>
  <c r="T68" i="1"/>
  <c r="B68" i="1"/>
  <c r="F67" i="1"/>
  <c r="J66" i="1"/>
  <c r="N65" i="1"/>
  <c r="S64" i="1"/>
  <c r="B64" i="1"/>
  <c r="F63" i="1"/>
  <c r="K62" i="1"/>
  <c r="P61" i="1"/>
  <c r="U60" i="1"/>
  <c r="D60" i="1"/>
  <c r="J59" i="1"/>
  <c r="P58" i="1"/>
  <c r="V57" i="1"/>
  <c r="F57" i="1"/>
  <c r="L56" i="1"/>
  <c r="R55" i="1"/>
  <c r="B55" i="1"/>
  <c r="H54" i="1"/>
  <c r="N53" i="1"/>
  <c r="T52" i="1"/>
  <c r="D52" i="1"/>
  <c r="J51" i="1"/>
  <c r="P50" i="1"/>
  <c r="V49" i="1"/>
  <c r="F49" i="1"/>
  <c r="L48" i="1"/>
  <c r="R47" i="1"/>
  <c r="B47" i="1"/>
  <c r="H46" i="1"/>
  <c r="N45" i="1"/>
  <c r="T44" i="1"/>
  <c r="D44" i="1"/>
  <c r="J43" i="1"/>
  <c r="P42" i="1"/>
  <c r="V41" i="1"/>
  <c r="F41" i="1"/>
  <c r="L40" i="1"/>
  <c r="R39" i="1"/>
  <c r="B39" i="1"/>
  <c r="H38" i="1"/>
  <c r="N37" i="1"/>
  <c r="T36" i="1"/>
  <c r="D36" i="1"/>
  <c r="J35" i="1"/>
  <c r="P34" i="1"/>
  <c r="V33" i="1"/>
  <c r="F33" i="1"/>
  <c r="L32" i="1"/>
  <c r="R31" i="1"/>
  <c r="B31" i="1"/>
  <c r="H30" i="1"/>
  <c r="N29" i="1"/>
  <c r="T28" i="1"/>
  <c r="D28" i="1"/>
  <c r="J27" i="1"/>
  <c r="P26" i="1"/>
  <c r="L150" i="1"/>
  <c r="S148" i="1"/>
  <c r="G147" i="1"/>
  <c r="Q145" i="1"/>
  <c r="R143" i="1"/>
  <c r="F142" i="1"/>
  <c r="P140" i="1"/>
  <c r="T138" i="1"/>
  <c r="E137" i="1"/>
  <c r="O135" i="1"/>
  <c r="C134" i="1"/>
  <c r="D132" i="1"/>
  <c r="N130" i="1"/>
  <c r="B129" i="1"/>
  <c r="F127" i="1"/>
  <c r="M125" i="1"/>
  <c r="W123" i="1"/>
  <c r="K122" i="1"/>
  <c r="L120" i="1"/>
  <c r="V118" i="1"/>
  <c r="J117" i="1"/>
  <c r="N115" i="1"/>
  <c r="U113" i="1"/>
  <c r="J112" i="1"/>
  <c r="W110" i="1"/>
  <c r="O109" i="1"/>
  <c r="H108" i="1"/>
  <c r="F107" i="1"/>
  <c r="T105" i="1"/>
  <c r="L104" i="1"/>
  <c r="D103" i="1"/>
  <c r="C102" i="1"/>
  <c r="Q100" i="1"/>
  <c r="I99" i="1"/>
  <c r="D98" i="1"/>
  <c r="C97" i="1"/>
  <c r="S95" i="1"/>
  <c r="T94" i="1"/>
  <c r="P93" i="1"/>
  <c r="Q92" i="1"/>
  <c r="N91" i="1"/>
  <c r="N90" i="1"/>
  <c r="O89" i="1"/>
  <c r="L88" i="1"/>
  <c r="N87" i="1"/>
  <c r="Q86" i="1"/>
  <c r="R85" i="1"/>
  <c r="T84" i="1"/>
  <c r="W83" i="1"/>
  <c r="D83" i="1"/>
  <c r="H150" i="1"/>
  <c r="R148" i="1"/>
  <c r="F147" i="1"/>
  <c r="J145" i="1"/>
  <c r="Q143" i="1"/>
  <c r="E142" i="1"/>
  <c r="O140" i="1"/>
  <c r="P138" i="1"/>
  <c r="D137" i="1"/>
  <c r="N135" i="1"/>
  <c r="R133" i="1"/>
  <c r="C132" i="1"/>
  <c r="M130" i="1"/>
  <c r="W128" i="1"/>
  <c r="B127" i="1"/>
  <c r="L125" i="1"/>
  <c r="V123" i="1"/>
  <c r="D122" i="1"/>
  <c r="K120" i="1"/>
  <c r="U118" i="1"/>
  <c r="I117" i="1"/>
  <c r="J115" i="1"/>
  <c r="T113" i="1"/>
  <c r="I112" i="1"/>
  <c r="V110" i="1"/>
  <c r="N109" i="1"/>
  <c r="F108" i="1"/>
  <c r="E107" i="1"/>
  <c r="S105" i="1"/>
  <c r="K104" i="1"/>
  <c r="C103" i="1"/>
  <c r="R101" i="1"/>
  <c r="P100" i="1"/>
  <c r="H99" i="1"/>
  <c r="B98" i="1"/>
  <c r="B97" i="1"/>
  <c r="R95" i="1"/>
  <c r="S94" i="1"/>
  <c r="O93" i="1"/>
  <c r="P92" i="1"/>
  <c r="L91" i="1"/>
  <c r="M90" i="1"/>
  <c r="J89" i="1"/>
  <c r="K88" i="1"/>
  <c r="M87" i="1"/>
  <c r="P86" i="1"/>
  <c r="P85" i="1"/>
  <c r="S84" i="1"/>
  <c r="V83" i="1"/>
  <c r="C83" i="1"/>
  <c r="D82" i="1"/>
  <c r="F81" i="1"/>
  <c r="J80" i="1"/>
  <c r="N79" i="1"/>
  <c r="R78" i="1"/>
  <c r="V77" i="1"/>
  <c r="D77" i="1"/>
  <c r="F76" i="1"/>
  <c r="J75" i="1"/>
  <c r="N74" i="1"/>
  <c r="R73" i="1"/>
  <c r="V72" i="1"/>
  <c r="D72" i="1"/>
  <c r="H71" i="1"/>
  <c r="J70" i="1"/>
  <c r="N69" i="1"/>
  <c r="R68" i="1"/>
  <c r="V67" i="1"/>
  <c r="D67" i="1"/>
  <c r="H66" i="1"/>
  <c r="L65" i="1"/>
  <c r="P64" i="1"/>
  <c r="U63" i="1"/>
  <c r="D63" i="1"/>
  <c r="I62" i="1"/>
  <c r="N61" i="1"/>
  <c r="S60" i="1"/>
  <c r="B60" i="1"/>
  <c r="H59" i="1"/>
  <c r="N58" i="1"/>
  <c r="T57" i="1"/>
  <c r="D57" i="1"/>
  <c r="J56" i="1"/>
  <c r="P55" i="1"/>
  <c r="V54" i="1"/>
  <c r="F54" i="1"/>
  <c r="L53" i="1"/>
  <c r="R52" i="1"/>
  <c r="B52" i="1"/>
  <c r="H51" i="1"/>
  <c r="N50" i="1"/>
  <c r="T49" i="1"/>
  <c r="D49" i="1"/>
  <c r="J48" i="1"/>
  <c r="P47" i="1"/>
  <c r="V46" i="1"/>
  <c r="F46" i="1"/>
  <c r="L45" i="1"/>
  <c r="R44" i="1"/>
  <c r="B44" i="1"/>
  <c r="H43" i="1"/>
  <c r="N42" i="1"/>
  <c r="T41" i="1"/>
  <c r="D41" i="1"/>
  <c r="J40" i="1"/>
  <c r="P39" i="1"/>
  <c r="V38" i="1"/>
  <c r="F38" i="1"/>
  <c r="L37" i="1"/>
  <c r="R36" i="1"/>
  <c r="B36" i="1"/>
  <c r="H35" i="1"/>
  <c r="N34" i="1"/>
  <c r="T33" i="1"/>
  <c r="D33" i="1"/>
  <c r="J32" i="1"/>
  <c r="P31" i="1"/>
  <c r="V30" i="1"/>
  <c r="G150" i="1"/>
  <c r="Q148" i="1"/>
  <c r="E147" i="1"/>
  <c r="F145" i="1"/>
  <c r="P143" i="1"/>
  <c r="D142" i="1"/>
  <c r="H140" i="1"/>
  <c r="O138" i="1"/>
  <c r="C137" i="1"/>
  <c r="M135" i="1"/>
  <c r="N133" i="1"/>
  <c r="B132" i="1"/>
  <c r="L130" i="1"/>
  <c r="P128" i="1"/>
  <c r="W126" i="1"/>
  <c r="K125" i="1"/>
  <c r="U123" i="1"/>
  <c r="V121" i="1"/>
  <c r="J120" i="1"/>
  <c r="T118" i="1"/>
  <c r="B117" i="1"/>
  <c r="I115" i="1"/>
  <c r="S113" i="1"/>
  <c r="H112" i="1"/>
  <c r="U110" i="1"/>
  <c r="M109" i="1"/>
  <c r="E108" i="1"/>
  <c r="T106" i="1"/>
  <c r="R105" i="1"/>
  <c r="J104" i="1"/>
  <c r="B103" i="1"/>
  <c r="P101" i="1"/>
  <c r="O100" i="1"/>
  <c r="G99" i="1"/>
  <c r="W97" i="1"/>
  <c r="W96" i="1"/>
  <c r="Q95" i="1"/>
  <c r="R94" i="1"/>
  <c r="N93" i="1"/>
  <c r="O92" i="1"/>
  <c r="K91" i="1"/>
  <c r="L90" i="1"/>
  <c r="H89" i="1"/>
  <c r="J88" i="1"/>
  <c r="L87" i="1"/>
  <c r="N86" i="1"/>
  <c r="O85" i="1"/>
  <c r="R84" i="1"/>
  <c r="U83" i="1"/>
  <c r="B83" i="1"/>
  <c r="B82" i="1"/>
  <c r="E81" i="1"/>
  <c r="I80" i="1"/>
  <c r="M79" i="1"/>
  <c r="Q78" i="1"/>
  <c r="U77" i="1"/>
  <c r="B77" i="1"/>
  <c r="E76" i="1"/>
  <c r="I75" i="1"/>
  <c r="M74" i="1"/>
  <c r="Q73" i="1"/>
  <c r="U72" i="1"/>
  <c r="C72" i="1"/>
  <c r="F71" i="1"/>
  <c r="I70" i="1"/>
  <c r="M69" i="1"/>
  <c r="Q68" i="1"/>
  <c r="U67" i="1"/>
  <c r="C67" i="1"/>
  <c r="G66" i="1"/>
  <c r="J65" i="1"/>
  <c r="O64" i="1"/>
  <c r="T63" i="1"/>
  <c r="C63" i="1"/>
  <c r="H62" i="1"/>
  <c r="M61" i="1"/>
  <c r="R60" i="1"/>
  <c r="W59" i="1"/>
  <c r="G59" i="1"/>
  <c r="M58" i="1"/>
  <c r="S57" i="1"/>
  <c r="C57" i="1"/>
  <c r="I56" i="1"/>
  <c r="O55" i="1"/>
  <c r="U54" i="1"/>
  <c r="E54" i="1"/>
  <c r="K53" i="1"/>
  <c r="Q52" i="1"/>
  <c r="W51" i="1"/>
  <c r="G51" i="1"/>
  <c r="M50" i="1"/>
  <c r="S49" i="1"/>
  <c r="C49" i="1"/>
  <c r="I48" i="1"/>
  <c r="O47" i="1"/>
  <c r="U46" i="1"/>
  <c r="E46" i="1"/>
  <c r="K45" i="1"/>
  <c r="Q44" i="1"/>
  <c r="W43" i="1"/>
  <c r="G43" i="1"/>
  <c r="M42" i="1"/>
  <c r="S41" i="1"/>
  <c r="C41" i="1"/>
  <c r="I40" i="1"/>
  <c r="O39" i="1"/>
  <c r="U38" i="1"/>
  <c r="E38" i="1"/>
  <c r="K37" i="1"/>
  <c r="Q36" i="1"/>
  <c r="W35" i="1"/>
  <c r="G35" i="1"/>
  <c r="M34" i="1"/>
  <c r="S33" i="1"/>
  <c r="C33" i="1"/>
  <c r="F150" i="1"/>
  <c r="P148" i="1"/>
  <c r="T146" i="1"/>
  <c r="E145" i="1"/>
  <c r="O143" i="1"/>
  <c r="C142" i="1"/>
  <c r="D140" i="1"/>
  <c r="N138" i="1"/>
  <c r="B137" i="1"/>
  <c r="F135" i="1"/>
  <c r="M133" i="1"/>
  <c r="W131" i="1"/>
  <c r="K130" i="1"/>
  <c r="L128" i="1"/>
  <c r="V126" i="1"/>
  <c r="J125" i="1"/>
  <c r="N123" i="1"/>
  <c r="U121" i="1"/>
  <c r="I120" i="1"/>
  <c r="S118" i="1"/>
  <c r="T116" i="1"/>
  <c r="H115" i="1"/>
  <c r="R113" i="1"/>
  <c r="G112" i="1"/>
  <c r="T110" i="1"/>
  <c r="L109" i="1"/>
  <c r="D108" i="1"/>
  <c r="R106" i="1"/>
  <c r="Q105" i="1"/>
  <c r="I104" i="1"/>
  <c r="W102" i="1"/>
  <c r="O101" i="1"/>
  <c r="H100" i="1"/>
  <c r="F99" i="1"/>
  <c r="V97" i="1"/>
  <c r="U96" i="1"/>
  <c r="P95" i="1"/>
  <c r="Q94" i="1"/>
  <c r="M93" i="1"/>
  <c r="N92" i="1"/>
  <c r="J91" i="1"/>
  <c r="K90" i="1"/>
  <c r="G89" i="1"/>
  <c r="I88" i="1"/>
  <c r="K87" i="1"/>
  <c r="L86" i="1"/>
  <c r="N85" i="1"/>
  <c r="Q84" i="1"/>
  <c r="T83" i="1"/>
  <c r="V82" i="1"/>
  <c r="W81" i="1"/>
  <c r="D81" i="1"/>
  <c r="H80" i="1"/>
  <c r="L79" i="1"/>
  <c r="P78" i="1"/>
  <c r="T77" i="1"/>
  <c r="V76" i="1"/>
  <c r="D76" i="1"/>
  <c r="H75" i="1"/>
  <c r="L74" i="1"/>
  <c r="P73" i="1"/>
  <c r="T72" i="1"/>
  <c r="B72" i="1"/>
  <c r="D71" i="1"/>
  <c r="H70" i="1"/>
  <c r="L69" i="1"/>
  <c r="P68" i="1"/>
  <c r="T67" i="1"/>
  <c r="B67" i="1"/>
  <c r="F66" i="1"/>
  <c r="I65" i="1"/>
  <c r="N64" i="1"/>
  <c r="S63" i="1"/>
  <c r="B63" i="1"/>
  <c r="G62" i="1"/>
  <c r="L61" i="1"/>
  <c r="E150" i="1"/>
  <c r="O148" i="1"/>
  <c r="P146" i="1"/>
  <c r="D145" i="1"/>
  <c r="N143" i="1"/>
  <c r="R141" i="1"/>
  <c r="C140" i="1"/>
  <c r="M138" i="1"/>
  <c r="W136" i="1"/>
  <c r="B135" i="1"/>
  <c r="L133" i="1"/>
  <c r="V131" i="1"/>
  <c r="D130" i="1"/>
  <c r="K128" i="1"/>
  <c r="U126" i="1"/>
  <c r="I125" i="1"/>
  <c r="J123" i="1"/>
  <c r="T121" i="1"/>
  <c r="H120" i="1"/>
  <c r="L118" i="1"/>
  <c r="S116" i="1"/>
  <c r="G115" i="1"/>
  <c r="Q113" i="1"/>
  <c r="V111" i="1"/>
  <c r="S110" i="1"/>
  <c r="K109" i="1"/>
  <c r="C108" i="1"/>
  <c r="Q106" i="1"/>
  <c r="J105" i="1"/>
  <c r="H104" i="1"/>
  <c r="V102" i="1"/>
  <c r="N101" i="1"/>
  <c r="F100" i="1"/>
  <c r="E99" i="1"/>
  <c r="U97" i="1"/>
  <c r="P96" i="1"/>
  <c r="O95" i="1"/>
  <c r="D150" i="1"/>
  <c r="H148" i="1"/>
  <c r="O146" i="1"/>
  <c r="C145" i="1"/>
  <c r="M143" i="1"/>
  <c r="N141" i="1"/>
  <c r="B140" i="1"/>
  <c r="L138" i="1"/>
  <c r="P136" i="1"/>
  <c r="W134" i="1"/>
  <c r="K133" i="1"/>
  <c r="U131" i="1"/>
  <c r="V129" i="1"/>
  <c r="J128" i="1"/>
  <c r="T126" i="1"/>
  <c r="B125" i="1"/>
  <c r="I123" i="1"/>
  <c r="S121" i="1"/>
  <c r="G120" i="1"/>
  <c r="H118" i="1"/>
  <c r="R116" i="1"/>
  <c r="F115" i="1"/>
  <c r="J113" i="1"/>
  <c r="S111" i="1"/>
  <c r="L110" i="1"/>
  <c r="J109" i="1"/>
  <c r="B108" i="1"/>
  <c r="P106" i="1"/>
  <c r="H105" i="1"/>
  <c r="G104" i="1"/>
  <c r="U102" i="1"/>
  <c r="M101" i="1"/>
  <c r="E100" i="1"/>
  <c r="C99" i="1"/>
  <c r="T97" i="1"/>
  <c r="N96" i="1"/>
  <c r="N95" i="1"/>
  <c r="C150" i="1"/>
  <c r="D148" i="1"/>
  <c r="N146" i="1"/>
  <c r="B145" i="1"/>
  <c r="F143" i="1"/>
  <c r="M141" i="1"/>
  <c r="W139" i="1"/>
  <c r="K138" i="1"/>
  <c r="R149" i="1"/>
  <c r="C148" i="1"/>
  <c r="M146" i="1"/>
  <c r="W144" i="1"/>
  <c r="B143" i="1"/>
  <c r="N149" i="1"/>
  <c r="B148" i="1"/>
  <c r="L146" i="1"/>
  <c r="P144" i="1"/>
  <c r="W142" i="1"/>
  <c r="K141" i="1"/>
  <c r="U139" i="1"/>
  <c r="V137" i="1"/>
  <c r="J136" i="1"/>
  <c r="T134" i="1"/>
  <c r="B133" i="1"/>
  <c r="I131" i="1"/>
  <c r="S129" i="1"/>
  <c r="G128" i="1"/>
  <c r="H126" i="1"/>
  <c r="R124" i="1"/>
  <c r="F123" i="1"/>
  <c r="J121" i="1"/>
  <c r="Q119" i="1"/>
  <c r="E118" i="1"/>
  <c r="O116" i="1"/>
  <c r="P114" i="1"/>
  <c r="D113" i="1"/>
  <c r="P111" i="1"/>
  <c r="H110" i="1"/>
  <c r="V108" i="1"/>
  <c r="U107" i="1"/>
  <c r="M106" i="1"/>
  <c r="E105" i="1"/>
  <c r="S103" i="1"/>
  <c r="L102" i="1"/>
  <c r="J101" i="1"/>
  <c r="B100" i="1"/>
  <c r="Q98" i="1"/>
  <c r="Q97" i="1"/>
  <c r="K96" i="1"/>
  <c r="K95" i="1"/>
  <c r="G94" i="1"/>
  <c r="H93" i="1"/>
  <c r="D92" i="1"/>
  <c r="E91" i="1"/>
  <c r="W89" i="1"/>
  <c r="B89" i="1"/>
  <c r="B88" i="1"/>
  <c r="C87" i="1"/>
  <c r="F86" i="1"/>
  <c r="I85" i="1"/>
  <c r="L84" i="1"/>
  <c r="L83" i="1"/>
  <c r="O82" i="1"/>
  <c r="R81" i="1"/>
  <c r="U80" i="1"/>
  <c r="C80" i="1"/>
  <c r="F79" i="1"/>
  <c r="I78" i="1"/>
  <c r="M77" i="1"/>
  <c r="Q76" i="1"/>
  <c r="U75" i="1"/>
  <c r="C75" i="1"/>
  <c r="G74" i="1"/>
  <c r="J73" i="1"/>
  <c r="M72" i="1"/>
  <c r="Q71" i="1"/>
  <c r="U70" i="1"/>
  <c r="C70" i="1"/>
  <c r="G69" i="1"/>
  <c r="K68" i="1"/>
  <c r="N67" i="1"/>
  <c r="Q66" i="1"/>
  <c r="U65" i="1"/>
  <c r="D65" i="1"/>
  <c r="I64" i="1"/>
  <c r="N63" i="1"/>
  <c r="S62" i="1"/>
  <c r="L141" i="1"/>
  <c r="L126" i="1"/>
  <c r="E113" i="1"/>
  <c r="S102" i="1"/>
  <c r="H94" i="1"/>
  <c r="B90" i="1"/>
  <c r="G86" i="1"/>
  <c r="Q82" i="1"/>
  <c r="G80" i="1"/>
  <c r="E78" i="1"/>
  <c r="W75" i="1"/>
  <c r="O73" i="1"/>
  <c r="S71" i="1"/>
  <c r="B70" i="1"/>
  <c r="W67" i="1"/>
  <c r="B66" i="1"/>
  <c r="J64" i="1"/>
  <c r="O62" i="1"/>
  <c r="B61" i="1"/>
  <c r="Q59" i="1"/>
  <c r="I58" i="1"/>
  <c r="W56" i="1"/>
  <c r="Q55" i="1"/>
  <c r="N54" i="1"/>
  <c r="F53" i="1"/>
  <c r="T51" i="1"/>
  <c r="L50" i="1"/>
  <c r="I49" i="1"/>
  <c r="C48" i="1"/>
  <c r="Q46" i="1"/>
  <c r="I45" i="1"/>
  <c r="I44" i="1"/>
  <c r="C43" i="1"/>
  <c r="U41" i="1"/>
  <c r="S40" i="1"/>
  <c r="M39" i="1"/>
  <c r="M38" i="1"/>
  <c r="G37" i="1"/>
  <c r="C36" i="1"/>
  <c r="W34" i="1"/>
  <c r="Q33" i="1"/>
  <c r="Q32" i="1"/>
  <c r="M31" i="1"/>
  <c r="N30" i="1"/>
  <c r="L29" i="1"/>
  <c r="N28" i="1"/>
  <c r="P27" i="1"/>
  <c r="N26" i="1"/>
  <c r="Q25" i="1"/>
  <c r="T24" i="1"/>
  <c r="C24" i="1"/>
  <c r="I23" i="1"/>
  <c r="O22" i="1"/>
  <c r="U21" i="1"/>
  <c r="E21" i="1"/>
  <c r="K20" i="1"/>
  <c r="Q19" i="1"/>
  <c r="W18" i="1"/>
  <c r="G18" i="1"/>
  <c r="M17" i="1"/>
  <c r="S16" i="1"/>
  <c r="C16" i="1"/>
  <c r="I15" i="1"/>
  <c r="O14" i="1"/>
  <c r="U13" i="1"/>
  <c r="W10" i="1"/>
  <c r="V139" i="1"/>
  <c r="T124" i="1"/>
  <c r="R111" i="1"/>
  <c r="L101" i="1"/>
  <c r="L93" i="1"/>
  <c r="F89" i="1"/>
  <c r="M85" i="1"/>
  <c r="P82" i="1"/>
  <c r="F80" i="1"/>
  <c r="W77" i="1"/>
  <c r="V75" i="1"/>
  <c r="N73" i="1"/>
  <c r="R71" i="1"/>
  <c r="U69" i="1"/>
  <c r="S67" i="1"/>
  <c r="W65" i="1"/>
  <c r="H64" i="1"/>
  <c r="J62" i="1"/>
  <c r="T60" i="1"/>
  <c r="P59" i="1"/>
  <c r="H58" i="1"/>
  <c r="V56" i="1"/>
  <c r="N55" i="1"/>
  <c r="K54" i="1"/>
  <c r="E53" i="1"/>
  <c r="S51" i="1"/>
  <c r="K50" i="1"/>
  <c r="E49" i="1"/>
  <c r="B48" i="1"/>
  <c r="P46" i="1"/>
  <c r="H45" i="1"/>
  <c r="G44" i="1"/>
  <c r="B43" i="1"/>
  <c r="R41" i="1"/>
  <c r="R40" i="1"/>
  <c r="L39" i="1"/>
  <c r="K38" i="1"/>
  <c r="F37" i="1"/>
  <c r="V35" i="1"/>
  <c r="V34" i="1"/>
  <c r="P33" i="1"/>
  <c r="O32" i="1"/>
  <c r="L31" i="1"/>
  <c r="M30" i="1"/>
  <c r="K29" i="1"/>
  <c r="M28" i="1"/>
  <c r="O27" i="1"/>
  <c r="M26" i="1"/>
  <c r="P25" i="1"/>
  <c r="S24" i="1"/>
  <c r="B24" i="1"/>
  <c r="H23" i="1"/>
  <c r="N22" i="1"/>
  <c r="T21" i="1"/>
  <c r="D21" i="1"/>
  <c r="J20" i="1"/>
  <c r="P19" i="1"/>
  <c r="V18" i="1"/>
  <c r="F18" i="1"/>
  <c r="L17" i="1"/>
  <c r="R16" i="1"/>
  <c r="B16" i="1"/>
  <c r="H15" i="1"/>
  <c r="N14" i="1"/>
  <c r="T13" i="1"/>
  <c r="D13" i="1"/>
  <c r="J12" i="1"/>
  <c r="P11" i="1"/>
  <c r="V10" i="1"/>
  <c r="F10" i="1"/>
  <c r="L9" i="1"/>
  <c r="R8" i="1"/>
  <c r="B8" i="1"/>
  <c r="H7" i="1"/>
  <c r="N6" i="1"/>
  <c r="T5" i="1"/>
  <c r="D5" i="1"/>
  <c r="J4" i="1"/>
  <c r="P3" i="1"/>
  <c r="V2" i="1"/>
  <c r="F2" i="1"/>
  <c r="U2" i="1"/>
  <c r="I29" i="1"/>
  <c r="I27" i="1"/>
  <c r="K26" i="1"/>
  <c r="Q24" i="1"/>
  <c r="L22" i="1"/>
  <c r="R21" i="1"/>
  <c r="H20" i="1"/>
  <c r="N19" i="1"/>
  <c r="T18" i="1"/>
  <c r="D18" i="1"/>
  <c r="J17" i="1"/>
  <c r="V15" i="1"/>
  <c r="L14" i="1"/>
  <c r="R13" i="1"/>
  <c r="H4" i="1"/>
  <c r="N3" i="1"/>
  <c r="T2" i="1"/>
  <c r="D138" i="1"/>
  <c r="S124" i="1"/>
  <c r="Q111" i="1"/>
  <c r="K101" i="1"/>
  <c r="K93" i="1"/>
  <c r="E89" i="1"/>
  <c r="L85" i="1"/>
  <c r="K82" i="1"/>
  <c r="E80" i="1"/>
  <c r="R77" i="1"/>
  <c r="Q75" i="1"/>
  <c r="M73" i="1"/>
  <c r="P71" i="1"/>
  <c r="O69" i="1"/>
  <c r="R67" i="1"/>
  <c r="V65" i="1"/>
  <c r="E64" i="1"/>
  <c r="F62" i="1"/>
  <c r="Q60" i="1"/>
  <c r="M59" i="1"/>
  <c r="G58" i="1"/>
  <c r="U56" i="1"/>
  <c r="M55" i="1"/>
  <c r="G54" i="1"/>
  <c r="D53" i="1"/>
  <c r="R51" i="1"/>
  <c r="J50" i="1"/>
  <c r="B49" i="1"/>
  <c r="U47" i="1"/>
  <c r="O46" i="1"/>
  <c r="G45" i="1"/>
  <c r="C44" i="1"/>
  <c r="W42" i="1"/>
  <c r="Q41" i="1"/>
  <c r="Q40" i="1"/>
  <c r="K39" i="1"/>
  <c r="G38" i="1"/>
  <c r="E37" i="1"/>
  <c r="U35" i="1"/>
  <c r="U34" i="1"/>
  <c r="O33" i="1"/>
  <c r="K32" i="1"/>
  <c r="K31" i="1"/>
  <c r="K30" i="1"/>
  <c r="J29" i="1"/>
  <c r="L28" i="1"/>
  <c r="M27" i="1"/>
  <c r="L26" i="1"/>
  <c r="O25" i="1"/>
  <c r="R24" i="1"/>
  <c r="W23" i="1"/>
  <c r="G23" i="1"/>
  <c r="M22" i="1"/>
  <c r="S21" i="1"/>
  <c r="C21" i="1"/>
  <c r="I20" i="1"/>
  <c r="O19" i="1"/>
  <c r="U18" i="1"/>
  <c r="E18" i="1"/>
  <c r="K17" i="1"/>
  <c r="Q16" i="1"/>
  <c r="W15" i="1"/>
  <c r="G15" i="1"/>
  <c r="M14" i="1"/>
  <c r="S13" i="1"/>
  <c r="C13" i="1"/>
  <c r="I12" i="1"/>
  <c r="O11" i="1"/>
  <c r="U10" i="1"/>
  <c r="E10" i="1"/>
  <c r="K9" i="1"/>
  <c r="Q8" i="1"/>
  <c r="W7" i="1"/>
  <c r="G7" i="1"/>
  <c r="M6" i="1"/>
  <c r="S5" i="1"/>
  <c r="C5" i="1"/>
  <c r="I4" i="1"/>
  <c r="O3" i="1"/>
  <c r="E2" i="1"/>
  <c r="K28" i="1"/>
  <c r="H12" i="1"/>
  <c r="N11" i="1"/>
  <c r="D10" i="1"/>
  <c r="F7" i="1"/>
  <c r="L6" i="1"/>
  <c r="B5" i="1"/>
  <c r="M25" i="1"/>
  <c r="U23" i="1"/>
  <c r="K22" i="1"/>
  <c r="Q21" i="1"/>
  <c r="W20" i="1"/>
  <c r="C18" i="1"/>
  <c r="U15" i="1"/>
  <c r="K14" i="1"/>
  <c r="U7" i="1"/>
  <c r="K6" i="1"/>
  <c r="M3" i="1"/>
  <c r="C2" i="1"/>
  <c r="U48" i="1"/>
  <c r="G46" i="1"/>
  <c r="D45" i="1"/>
  <c r="T43" i="1"/>
  <c r="H40" i="1"/>
  <c r="B38" i="1"/>
  <c r="L34" i="1"/>
  <c r="G27" i="1"/>
  <c r="L25" i="1"/>
  <c r="V20" i="1"/>
  <c r="R18" i="1"/>
  <c r="B18" i="1"/>
  <c r="H17" i="1"/>
  <c r="N16" i="1"/>
  <c r="D15" i="1"/>
  <c r="N8" i="1"/>
  <c r="T7" i="1"/>
  <c r="J6" i="1"/>
  <c r="V4" i="1"/>
  <c r="L3" i="1"/>
  <c r="K3" i="1"/>
  <c r="Q2" i="1"/>
  <c r="C8" i="1"/>
  <c r="I7" i="1"/>
  <c r="U5" i="1"/>
  <c r="Q3" i="1"/>
  <c r="L136" i="1"/>
  <c r="H123" i="1"/>
  <c r="J110" i="1"/>
  <c r="D100" i="1"/>
  <c r="J93" i="1"/>
  <c r="D89" i="1"/>
  <c r="K85" i="1"/>
  <c r="F82" i="1"/>
  <c r="D80" i="1"/>
  <c r="P77" i="1"/>
  <c r="K75" i="1"/>
  <c r="L73" i="1"/>
  <c r="M71" i="1"/>
  <c r="K69" i="1"/>
  <c r="Q67" i="1"/>
  <c r="T65" i="1"/>
  <c r="V63" i="1"/>
  <c r="E62" i="1"/>
  <c r="P60" i="1"/>
  <c r="I59" i="1"/>
  <c r="F58" i="1"/>
  <c r="T56" i="1"/>
  <c r="L55" i="1"/>
  <c r="D54" i="1"/>
  <c r="W52" i="1"/>
  <c r="Q51" i="1"/>
  <c r="I50" i="1"/>
  <c r="W48" i="1"/>
  <c r="Q47" i="1"/>
  <c r="N46" i="1"/>
  <c r="F45" i="1"/>
  <c r="V43" i="1"/>
  <c r="V42" i="1"/>
  <c r="P41" i="1"/>
  <c r="O40" i="1"/>
  <c r="J39" i="1"/>
  <c r="D38" i="1"/>
  <c r="D37" i="1"/>
  <c r="T35" i="1"/>
  <c r="S34" i="1"/>
  <c r="N33" i="1"/>
  <c r="I32" i="1"/>
  <c r="J31" i="1"/>
  <c r="G30" i="1"/>
  <c r="N25" i="1"/>
  <c r="V23" i="1"/>
  <c r="F23" i="1"/>
  <c r="B21" i="1"/>
  <c r="P16" i="1"/>
  <c r="F15" i="1"/>
  <c r="B13" i="1"/>
  <c r="T10" i="1"/>
  <c r="J9" i="1"/>
  <c r="P8" i="1"/>
  <c r="V7" i="1"/>
  <c r="R5" i="1"/>
  <c r="D2" i="1"/>
  <c r="J26" i="1"/>
  <c r="O24" i="1"/>
  <c r="E23" i="1"/>
  <c r="M19" i="1"/>
  <c r="S18" i="1"/>
  <c r="I17" i="1"/>
  <c r="E15" i="1"/>
  <c r="G12" i="1"/>
  <c r="M11" i="1"/>
  <c r="C10" i="1"/>
  <c r="O8" i="1"/>
  <c r="S2" i="1"/>
  <c r="J55" i="1"/>
  <c r="B54" i="1"/>
  <c r="M51" i="1"/>
  <c r="G50" i="1"/>
  <c r="M47" i="1"/>
  <c r="S42" i="1"/>
  <c r="N41" i="1"/>
  <c r="H39" i="1"/>
  <c r="R35" i="1"/>
  <c r="G29" i="1"/>
  <c r="I26" i="1"/>
  <c r="T23" i="1"/>
  <c r="D23" i="1"/>
  <c r="J22" i="1"/>
  <c r="L19" i="1"/>
  <c r="J14" i="1"/>
  <c r="B10" i="1"/>
  <c r="F4" i="1"/>
  <c r="K136" i="1"/>
  <c r="G123" i="1"/>
  <c r="I110" i="1"/>
  <c r="C100" i="1"/>
  <c r="I93" i="1"/>
  <c r="C89" i="1"/>
  <c r="J85" i="1"/>
  <c r="V81" i="1"/>
  <c r="S79" i="1"/>
  <c r="O77" i="1"/>
  <c r="G75" i="1"/>
  <c r="H73" i="1"/>
  <c r="I71" i="1"/>
  <c r="J69" i="1"/>
  <c r="P67" i="1"/>
  <c r="Q65" i="1"/>
  <c r="R63" i="1"/>
  <c r="D62" i="1"/>
  <c r="O60" i="1"/>
  <c r="F59" i="1"/>
  <c r="C58" i="1"/>
  <c r="S56" i="1"/>
  <c r="K55" i="1"/>
  <c r="C54" i="1"/>
  <c r="S52" i="1"/>
  <c r="P51" i="1"/>
  <c r="H50" i="1"/>
  <c r="V48" i="1"/>
  <c r="N47" i="1"/>
  <c r="K46" i="1"/>
  <c r="E45" i="1"/>
  <c r="U43" i="1"/>
  <c r="U42" i="1"/>
  <c r="O41" i="1"/>
  <c r="K40" i="1"/>
  <c r="I39" i="1"/>
  <c r="C38" i="1"/>
  <c r="C37" i="1"/>
  <c r="S35" i="1"/>
  <c r="O34" i="1"/>
  <c r="M33" i="1"/>
  <c r="H32" i="1"/>
  <c r="I31" i="1"/>
  <c r="F30" i="1"/>
  <c r="H29" i="1"/>
  <c r="J28" i="1"/>
  <c r="H27" i="1"/>
  <c r="G20" i="1"/>
  <c r="O16" i="1"/>
  <c r="Q13" i="1"/>
  <c r="W12" i="1"/>
  <c r="S10" i="1"/>
  <c r="I9" i="1"/>
  <c r="E7" i="1"/>
  <c r="Q5" i="1"/>
  <c r="W4" i="1"/>
  <c r="G4" i="1"/>
  <c r="P52" i="1"/>
  <c r="W36" i="1"/>
  <c r="L33" i="1"/>
  <c r="G32" i="1"/>
  <c r="H31" i="1"/>
  <c r="E30" i="1"/>
  <c r="I28" i="1"/>
  <c r="V12" i="1"/>
  <c r="L11" i="1"/>
  <c r="R10" i="1"/>
  <c r="H9" i="1"/>
  <c r="D7" i="1"/>
  <c r="P5" i="1"/>
  <c r="E5" i="1"/>
  <c r="V134" i="1"/>
  <c r="R121" i="1"/>
  <c r="I109" i="1"/>
  <c r="T98" i="1"/>
  <c r="M92" i="1"/>
  <c r="H88" i="1"/>
  <c r="P84" i="1"/>
  <c r="U81" i="1"/>
  <c r="O79" i="1"/>
  <c r="N77" i="1"/>
  <c r="F75" i="1"/>
  <c r="E73" i="1"/>
  <c r="C71" i="1"/>
  <c r="I69" i="1"/>
  <c r="L67" i="1"/>
  <c r="M65" i="1"/>
  <c r="Q63" i="1"/>
  <c r="C62" i="1"/>
  <c r="N60" i="1"/>
  <c r="E59" i="1"/>
  <c r="U57" i="1"/>
  <c r="R56" i="1"/>
  <c r="N24" i="1"/>
  <c r="P21" i="1"/>
  <c r="F20" i="1"/>
  <c r="T15" i="1"/>
  <c r="P13" i="1"/>
  <c r="F12" i="1"/>
  <c r="R2" i="1"/>
  <c r="U134" i="1"/>
  <c r="Q121" i="1"/>
  <c r="B109" i="1"/>
  <c r="R98" i="1"/>
  <c r="H92" i="1"/>
  <c r="G88" i="1"/>
  <c r="O84" i="1"/>
  <c r="T81" i="1"/>
  <c r="K79" i="1"/>
  <c r="I77" i="1"/>
  <c r="E75" i="1"/>
  <c r="W72" i="1"/>
  <c r="B71" i="1"/>
  <c r="H69" i="1"/>
  <c r="I67" i="1"/>
  <c r="H65" i="1"/>
  <c r="P63" i="1"/>
  <c r="B62" i="1"/>
  <c r="M60" i="1"/>
  <c r="D59" i="1"/>
  <c r="R57" i="1"/>
  <c r="O56" i="1"/>
  <c r="I55" i="1"/>
  <c r="W53" i="1"/>
  <c r="O52" i="1"/>
  <c r="I51" i="1"/>
  <c r="F50" i="1"/>
  <c r="T48" i="1"/>
  <c r="L47" i="1"/>
  <c r="D46" i="1"/>
  <c r="C45" i="1"/>
  <c r="S43" i="1"/>
  <c r="O42" i="1"/>
  <c r="M41" i="1"/>
  <c r="G40" i="1"/>
  <c r="G39" i="1"/>
  <c r="W37" i="1"/>
  <c r="S36" i="1"/>
  <c r="Q35" i="1"/>
  <c r="K34" i="1"/>
  <c r="K33" i="1"/>
  <c r="F32" i="1"/>
  <c r="G31" i="1"/>
  <c r="D30" i="1"/>
  <c r="F29" i="1"/>
  <c r="G28" i="1"/>
  <c r="F27" i="1"/>
  <c r="H26" i="1"/>
  <c r="K25" i="1"/>
  <c r="M24" i="1"/>
  <c r="S23" i="1"/>
  <c r="C23" i="1"/>
  <c r="I22" i="1"/>
  <c r="O21" i="1"/>
  <c r="U20" i="1"/>
  <c r="E20" i="1"/>
  <c r="K19" i="1"/>
  <c r="Q18" i="1"/>
  <c r="W17" i="1"/>
  <c r="G17" i="1"/>
  <c r="M16" i="1"/>
  <c r="S15" i="1"/>
  <c r="C15" i="1"/>
  <c r="I14" i="1"/>
  <c r="O13" i="1"/>
  <c r="U12" i="1"/>
  <c r="E12" i="1"/>
  <c r="K11" i="1"/>
  <c r="Q10" i="1"/>
  <c r="W9" i="1"/>
  <c r="G9" i="1"/>
  <c r="M8" i="1"/>
  <c r="S7" i="1"/>
  <c r="C7" i="1"/>
  <c r="I6" i="1"/>
  <c r="O5" i="1"/>
  <c r="U4" i="1"/>
  <c r="E4" i="1"/>
  <c r="J133" i="1"/>
  <c r="V119" i="1"/>
  <c r="W107" i="1"/>
  <c r="S97" i="1"/>
  <c r="F92" i="1"/>
  <c r="F88" i="1"/>
  <c r="N84" i="1"/>
  <c r="S81" i="1"/>
  <c r="J79" i="1"/>
  <c r="E77" i="1"/>
  <c r="D75" i="1"/>
  <c r="S72" i="1"/>
  <c r="W70" i="1"/>
  <c r="F69" i="1"/>
  <c r="E67" i="1"/>
  <c r="G65" i="1"/>
  <c r="O63" i="1"/>
  <c r="W61" i="1"/>
  <c r="L60" i="1"/>
  <c r="C59" i="1"/>
  <c r="Q57" i="1"/>
  <c r="K56" i="1"/>
  <c r="H55" i="1"/>
  <c r="V53" i="1"/>
  <c r="N52" i="1"/>
  <c r="F51" i="1"/>
  <c r="C50" i="1"/>
  <c r="S48" i="1"/>
  <c r="K47" i="1"/>
  <c r="C46" i="1"/>
  <c r="W44" i="1"/>
  <c r="R43" i="1"/>
  <c r="L42" i="1"/>
  <c r="L41" i="1"/>
  <c r="F40" i="1"/>
  <c r="E39" i="1"/>
  <c r="V37" i="1"/>
  <c r="P36" i="1"/>
  <c r="P35" i="1"/>
  <c r="J34" i="1"/>
  <c r="I33" i="1"/>
  <c r="E32" i="1"/>
  <c r="E31" i="1"/>
  <c r="C30" i="1"/>
  <c r="E29" i="1"/>
  <c r="C28" i="1"/>
  <c r="E27" i="1"/>
  <c r="G26" i="1"/>
  <c r="I25" i="1"/>
  <c r="L24" i="1"/>
  <c r="R23" i="1"/>
  <c r="B23" i="1"/>
  <c r="H22" i="1"/>
  <c r="N21" i="1"/>
  <c r="T20" i="1"/>
  <c r="D20" i="1"/>
  <c r="J19" i="1"/>
  <c r="P18" i="1"/>
  <c r="V17" i="1"/>
  <c r="F17" i="1"/>
  <c r="L16" i="1"/>
  <c r="R15" i="1"/>
  <c r="B15" i="1"/>
  <c r="H14" i="1"/>
  <c r="N13" i="1"/>
  <c r="T12" i="1"/>
  <c r="D12" i="1"/>
  <c r="J11" i="1"/>
  <c r="P10" i="1"/>
  <c r="V9" i="1"/>
  <c r="F9" i="1"/>
  <c r="L8" i="1"/>
  <c r="R7" i="1"/>
  <c r="B7" i="1"/>
  <c r="H6" i="1"/>
  <c r="N5" i="1"/>
  <c r="T4" i="1"/>
  <c r="D4" i="1"/>
  <c r="J3" i="1"/>
  <c r="P2" i="1"/>
  <c r="Q29" i="1"/>
  <c r="Q22" i="1"/>
  <c r="K15" i="1"/>
  <c r="I10" i="1"/>
  <c r="Q6" i="1"/>
  <c r="S3" i="1"/>
  <c r="B19" i="1"/>
  <c r="H10" i="1"/>
  <c r="P6" i="1"/>
  <c r="K12" i="1"/>
  <c r="I133" i="1"/>
  <c r="R119" i="1"/>
  <c r="V107" i="1"/>
  <c r="R97" i="1"/>
  <c r="E92" i="1"/>
  <c r="E88" i="1"/>
  <c r="M84" i="1"/>
  <c r="N81" i="1"/>
  <c r="I79" i="1"/>
  <c r="U76" i="1"/>
  <c r="T74" i="1"/>
  <c r="R72" i="1"/>
  <c r="V70" i="1"/>
  <c r="B69" i="1"/>
  <c r="W66" i="1"/>
  <c r="F65" i="1"/>
  <c r="M63" i="1"/>
  <c r="T61" i="1"/>
  <c r="K60" i="1"/>
  <c r="B59" i="1"/>
  <c r="P57" i="1"/>
  <c r="H56" i="1"/>
  <c r="E55" i="1"/>
  <c r="U53" i="1"/>
  <c r="M52" i="1"/>
  <c r="E51" i="1"/>
  <c r="U49" i="1"/>
  <c r="R48" i="1"/>
  <c r="J47" i="1"/>
  <c r="B46" i="1"/>
  <c r="S44" i="1"/>
  <c r="Q43" i="1"/>
  <c r="K42" i="1"/>
  <c r="K41" i="1"/>
  <c r="E40" i="1"/>
  <c r="W38" i="1"/>
  <c r="U37" i="1"/>
  <c r="O36" i="1"/>
  <c r="O35" i="1"/>
  <c r="I34" i="1"/>
  <c r="E33" i="1"/>
  <c r="D32" i="1"/>
  <c r="W30" i="1"/>
  <c r="B30" i="1"/>
  <c r="D29" i="1"/>
  <c r="B28" i="1"/>
  <c r="D27" i="1"/>
  <c r="F26" i="1"/>
  <c r="F25" i="1"/>
  <c r="K24" i="1"/>
  <c r="Q23" i="1"/>
  <c r="W22" i="1"/>
  <c r="G22" i="1"/>
  <c r="M21" i="1"/>
  <c r="S20" i="1"/>
  <c r="C20" i="1"/>
  <c r="I19" i="1"/>
  <c r="O18" i="1"/>
  <c r="U17" i="1"/>
  <c r="E17" i="1"/>
  <c r="K16" i="1"/>
  <c r="Q15" i="1"/>
  <c r="W14" i="1"/>
  <c r="G14" i="1"/>
  <c r="M13" i="1"/>
  <c r="S12" i="1"/>
  <c r="C12" i="1"/>
  <c r="I11" i="1"/>
  <c r="O10" i="1"/>
  <c r="U9" i="1"/>
  <c r="E9" i="1"/>
  <c r="K8" i="1"/>
  <c r="Q7" i="1"/>
  <c r="W6" i="1"/>
  <c r="G6" i="1"/>
  <c r="M5" i="1"/>
  <c r="S4" i="1"/>
  <c r="C4" i="1"/>
  <c r="I3" i="1"/>
  <c r="O2" i="1"/>
  <c r="K5" i="1"/>
  <c r="Q4" i="1"/>
  <c r="W3" i="1"/>
  <c r="G3" i="1"/>
  <c r="M2" i="1"/>
  <c r="L18" i="1"/>
  <c r="H16" i="1"/>
  <c r="D14" i="1"/>
  <c r="V11" i="1"/>
  <c r="F11" i="1"/>
  <c r="R9" i="1"/>
  <c r="N7" i="1"/>
  <c r="D6" i="1"/>
  <c r="P4" i="1"/>
  <c r="F3" i="1"/>
  <c r="L2" i="1"/>
  <c r="K10" i="1"/>
  <c r="E42" i="1"/>
  <c r="Q39" i="1"/>
  <c r="I37" i="1"/>
  <c r="U33" i="1"/>
  <c r="R27" i="1"/>
  <c r="K23" i="1"/>
  <c r="O17" i="1"/>
  <c r="W13" i="1"/>
  <c r="U8" i="1"/>
  <c r="G5" i="1"/>
  <c r="I2" i="1"/>
  <c r="J23" i="1"/>
  <c r="F21" i="1"/>
  <c r="N17" i="1"/>
  <c r="P14" i="1"/>
  <c r="V13" i="1"/>
  <c r="B11" i="1"/>
  <c r="N9" i="1"/>
  <c r="V5" i="1"/>
  <c r="G10" i="1"/>
  <c r="N131" i="1"/>
  <c r="G118" i="1"/>
  <c r="O106" i="1"/>
  <c r="M96" i="1"/>
  <c r="I91" i="1"/>
  <c r="J87" i="1"/>
  <c r="S83" i="1"/>
  <c r="G81" i="1"/>
  <c r="H79" i="1"/>
  <c r="T76" i="1"/>
  <c r="O74" i="1"/>
  <c r="P72" i="1"/>
  <c r="T70" i="1"/>
  <c r="S68" i="1"/>
  <c r="V66" i="1"/>
  <c r="E65" i="1"/>
  <c r="J63" i="1"/>
  <c r="O61" i="1"/>
  <c r="G60" i="1"/>
  <c r="W58" i="1"/>
  <c r="O57" i="1"/>
  <c r="G56" i="1"/>
  <c r="W54" i="1"/>
  <c r="T53" i="1"/>
  <c r="L52" i="1"/>
  <c r="D51" i="1"/>
  <c r="R49" i="1"/>
  <c r="O48" i="1"/>
  <c r="I47" i="1"/>
  <c r="W45" i="1"/>
  <c r="P44" i="1"/>
  <c r="P43" i="1"/>
  <c r="J42" i="1"/>
  <c r="I41" i="1"/>
  <c r="D40" i="1"/>
  <c r="T38" i="1"/>
  <c r="T37" i="1"/>
  <c r="N36" i="1"/>
  <c r="M35" i="1"/>
  <c r="H34" i="1"/>
  <c r="B33" i="1"/>
  <c r="C32" i="1"/>
  <c r="U30" i="1"/>
  <c r="W29" i="1"/>
  <c r="C29" i="1"/>
  <c r="W27" i="1"/>
  <c r="C27" i="1"/>
  <c r="E26" i="1"/>
  <c r="E25" i="1"/>
  <c r="J24" i="1"/>
  <c r="P23" i="1"/>
  <c r="V22" i="1"/>
  <c r="F22" i="1"/>
  <c r="L21" i="1"/>
  <c r="R20" i="1"/>
  <c r="B20" i="1"/>
  <c r="H19" i="1"/>
  <c r="N18" i="1"/>
  <c r="T17" i="1"/>
  <c r="D17" i="1"/>
  <c r="J16" i="1"/>
  <c r="P15" i="1"/>
  <c r="V14" i="1"/>
  <c r="F14" i="1"/>
  <c r="L13" i="1"/>
  <c r="R12" i="1"/>
  <c r="B12" i="1"/>
  <c r="H11" i="1"/>
  <c r="N10" i="1"/>
  <c r="T9" i="1"/>
  <c r="D9" i="1"/>
  <c r="J8" i="1"/>
  <c r="P7" i="1"/>
  <c r="V6" i="1"/>
  <c r="F6" i="1"/>
  <c r="L5" i="1"/>
  <c r="R4" i="1"/>
  <c r="B4" i="1"/>
  <c r="H3" i="1"/>
  <c r="N2" i="1"/>
  <c r="K13" i="1"/>
  <c r="Q12" i="1"/>
  <c r="W11" i="1"/>
  <c r="G11" i="1"/>
  <c r="M10" i="1"/>
  <c r="S9" i="1"/>
  <c r="C9" i="1"/>
  <c r="I8" i="1"/>
  <c r="O7" i="1"/>
  <c r="U6" i="1"/>
  <c r="E6" i="1"/>
  <c r="P20" i="1"/>
  <c r="F19" i="1"/>
  <c r="R17" i="1"/>
  <c r="N15" i="1"/>
  <c r="J13" i="1"/>
  <c r="H8" i="1"/>
  <c r="J5" i="1"/>
  <c r="V3" i="1"/>
  <c r="E11" i="1"/>
  <c r="G8" i="1"/>
  <c r="M7" i="1"/>
  <c r="S6" i="1"/>
  <c r="C6" i="1"/>
  <c r="I5" i="1"/>
  <c r="O4" i="1"/>
  <c r="U3" i="1"/>
  <c r="K2" i="1"/>
  <c r="M49" i="1"/>
  <c r="K44" i="1"/>
  <c r="I36" i="1"/>
  <c r="O31" i="1"/>
  <c r="P28" i="1"/>
  <c r="S25" i="1"/>
  <c r="E24" i="1"/>
  <c r="M20" i="1"/>
  <c r="U16" i="1"/>
  <c r="O9" i="1"/>
  <c r="E8" i="1"/>
  <c r="D24" i="1"/>
  <c r="P22" i="1"/>
  <c r="D8" i="1"/>
  <c r="F5" i="1"/>
  <c r="L4" i="1"/>
  <c r="H2" i="1"/>
  <c r="M9" i="1"/>
  <c r="O6" i="1"/>
  <c r="J131" i="1"/>
  <c r="F118" i="1"/>
  <c r="N106" i="1"/>
  <c r="L96" i="1"/>
  <c r="H91" i="1"/>
  <c r="H87" i="1"/>
  <c r="R83" i="1"/>
  <c r="C81" i="1"/>
  <c r="W78" i="1"/>
  <c r="S76" i="1"/>
  <c r="K74" i="1"/>
  <c r="N72" i="1"/>
  <c r="Q70" i="1"/>
  <c r="O68" i="1"/>
  <c r="T66" i="1"/>
  <c r="C65" i="1"/>
  <c r="E63" i="1"/>
  <c r="K61" i="1"/>
  <c r="C60" i="1"/>
  <c r="V58" i="1"/>
  <c r="N57" i="1"/>
  <c r="F56" i="1"/>
  <c r="T54" i="1"/>
  <c r="Q53" i="1"/>
  <c r="K52" i="1"/>
  <c r="C51" i="1"/>
  <c r="Q49" i="1"/>
  <c r="K48" i="1"/>
  <c r="H47" i="1"/>
  <c r="V45" i="1"/>
  <c r="O44" i="1"/>
  <c r="O43" i="1"/>
  <c r="I42" i="1"/>
  <c r="E41" i="1"/>
  <c r="C40" i="1"/>
  <c r="S38" i="1"/>
  <c r="S37" i="1"/>
  <c r="M36" i="1"/>
  <c r="I35" i="1"/>
  <c r="G34" i="1"/>
  <c r="W32" i="1"/>
  <c r="B32" i="1"/>
  <c r="T30" i="1"/>
  <c r="V29" i="1"/>
  <c r="W28" i="1"/>
  <c r="V27" i="1"/>
  <c r="B27" i="1"/>
  <c r="C26" i="1"/>
  <c r="D25" i="1"/>
  <c r="I24" i="1"/>
  <c r="O23" i="1"/>
  <c r="U22" i="1"/>
  <c r="E22" i="1"/>
  <c r="K21" i="1"/>
  <c r="Q20" i="1"/>
  <c r="W19" i="1"/>
  <c r="G19" i="1"/>
  <c r="M18" i="1"/>
  <c r="S17" i="1"/>
  <c r="C17" i="1"/>
  <c r="I16" i="1"/>
  <c r="O15" i="1"/>
  <c r="U14" i="1"/>
  <c r="E14" i="1"/>
  <c r="V19" i="1"/>
  <c r="B17" i="1"/>
  <c r="T14" i="1"/>
  <c r="P12" i="1"/>
  <c r="L10" i="1"/>
  <c r="B9" i="1"/>
  <c r="T6" i="1"/>
  <c r="O12" i="1"/>
  <c r="W8" i="1"/>
  <c r="E3" i="1"/>
  <c r="M45" i="1"/>
  <c r="O38" i="1"/>
  <c r="C35" i="1"/>
  <c r="G13" i="1"/>
  <c r="M4" i="1"/>
  <c r="C3" i="1"/>
  <c r="R19" i="1"/>
  <c r="H18" i="1"/>
  <c r="F13" i="1"/>
  <c r="R11" i="1"/>
  <c r="B3" i="1"/>
  <c r="U129" i="1"/>
  <c r="Q116" i="1"/>
  <c r="G105" i="1"/>
  <c r="M95" i="1"/>
  <c r="G91" i="1"/>
  <c r="F87" i="1"/>
  <c r="P83" i="1"/>
  <c r="B81" i="1"/>
  <c r="S78" i="1"/>
  <c r="R76" i="1"/>
  <c r="J74" i="1"/>
  <c r="L72" i="1"/>
  <c r="L70" i="1"/>
  <c r="N68" i="1"/>
  <c r="R66" i="1"/>
  <c r="V64" i="1"/>
  <c r="W62" i="1"/>
  <c r="J61" i="1"/>
  <c r="V59" i="1"/>
  <c r="S58" i="1"/>
  <c r="M57" i="1"/>
  <c r="E56" i="1"/>
  <c r="S54" i="1"/>
  <c r="M53" i="1"/>
  <c r="J52" i="1"/>
  <c r="B51" i="1"/>
  <c r="P49" i="1"/>
  <c r="H48" i="1"/>
  <c r="E47" i="1"/>
  <c r="U45" i="1"/>
  <c r="N44" i="1"/>
  <c r="M43" i="1"/>
  <c r="H42" i="1"/>
  <c r="B41" i="1"/>
  <c r="B40" i="1"/>
  <c r="R38" i="1"/>
  <c r="Q37" i="1"/>
  <c r="L36" i="1"/>
  <c r="F35" i="1"/>
  <c r="F34" i="1"/>
  <c r="V32" i="1"/>
  <c r="W31" i="1"/>
  <c r="S30" i="1"/>
  <c r="U29" i="1"/>
  <c r="S28" i="1"/>
  <c r="U27" i="1"/>
  <c r="W26" i="1"/>
  <c r="V25" i="1"/>
  <c r="C25" i="1"/>
  <c r="H24" i="1"/>
  <c r="N23" i="1"/>
  <c r="T22" i="1"/>
  <c r="D22" i="1"/>
  <c r="J21" i="1"/>
  <c r="I18" i="1"/>
  <c r="Q14" i="1"/>
  <c r="S11" i="1"/>
  <c r="W5" i="1"/>
  <c r="T16" i="1"/>
  <c r="R3" i="1"/>
  <c r="Q11" i="1"/>
  <c r="S8" i="1"/>
  <c r="T129" i="1"/>
  <c r="P116" i="1"/>
  <c r="F105" i="1"/>
  <c r="L95" i="1"/>
  <c r="F91" i="1"/>
  <c r="D87" i="1"/>
  <c r="N83" i="1"/>
  <c r="W80" i="1"/>
  <c r="O78" i="1"/>
  <c r="M76" i="1"/>
  <c r="I74" i="1"/>
  <c r="I72" i="1"/>
  <c r="G70" i="1"/>
  <c r="M68" i="1"/>
  <c r="P66" i="1"/>
  <c r="R64" i="1"/>
  <c r="V62" i="1"/>
  <c r="I61" i="1"/>
  <c r="U59" i="1"/>
  <c r="O58" i="1"/>
  <c r="L57" i="1"/>
  <c r="D56" i="1"/>
  <c r="R54" i="1"/>
  <c r="J53" i="1"/>
  <c r="G52" i="1"/>
  <c r="W50" i="1"/>
  <c r="O49" i="1"/>
  <c r="G48" i="1"/>
  <c r="W46" i="1"/>
  <c r="T45" i="1"/>
  <c r="M44" i="1"/>
  <c r="I43" i="1"/>
  <c r="G42" i="1"/>
  <c r="W40" i="1"/>
  <c r="W39" i="1"/>
  <c r="Q38" i="1"/>
  <c r="M37" i="1"/>
  <c r="K36" i="1"/>
  <c r="E35" i="1"/>
  <c r="E34" i="1"/>
  <c r="U32" i="1"/>
  <c r="U31" i="1"/>
  <c r="R30" i="1"/>
  <c r="T29" i="1"/>
  <c r="R28" i="1"/>
  <c r="T27" i="1"/>
  <c r="V26" i="1"/>
  <c r="U25" i="1"/>
  <c r="B25" i="1"/>
  <c r="G24" i="1"/>
  <c r="M23" i="1"/>
  <c r="S22" i="1"/>
  <c r="C22" i="1"/>
  <c r="I21" i="1"/>
  <c r="O20" i="1"/>
  <c r="U19" i="1"/>
  <c r="E19" i="1"/>
  <c r="K18" i="1"/>
  <c r="Q17" i="1"/>
  <c r="W16" i="1"/>
  <c r="G16" i="1"/>
  <c r="M15" i="1"/>
  <c r="S14" i="1"/>
  <c r="C14" i="1"/>
  <c r="I13" i="1"/>
  <c r="U11" i="1"/>
  <c r="Q9" i="1"/>
  <c r="S19" i="1"/>
  <c r="L20" i="1"/>
  <c r="J15" i="1"/>
  <c r="L12" i="1"/>
  <c r="T8" i="1"/>
  <c r="J7" i="1"/>
  <c r="E13" i="1"/>
  <c r="I128" i="1"/>
  <c r="E115" i="1"/>
  <c r="V103" i="1"/>
  <c r="L94" i="1"/>
  <c r="J90" i="1"/>
  <c r="J86" i="1"/>
  <c r="H83" i="1"/>
  <c r="V80" i="1"/>
  <c r="N78" i="1"/>
  <c r="H76" i="1"/>
  <c r="H74" i="1"/>
  <c r="E72" i="1"/>
  <c r="F70" i="1"/>
  <c r="L68" i="1"/>
  <c r="M66" i="1"/>
  <c r="M64" i="1"/>
  <c r="U62" i="1"/>
  <c r="H61" i="1"/>
  <c r="T59" i="1"/>
  <c r="L58" i="1"/>
  <c r="I57" i="1"/>
  <c r="C56" i="1"/>
  <c r="Q54" i="1"/>
  <c r="I53" i="1"/>
  <c r="C52" i="1"/>
  <c r="V50" i="1"/>
  <c r="N49" i="1"/>
  <c r="F48" i="1"/>
  <c r="T46" i="1"/>
  <c r="Q45" i="1"/>
  <c r="L44" i="1"/>
  <c r="F43" i="1"/>
  <c r="F42" i="1"/>
  <c r="V40" i="1"/>
  <c r="U39" i="1"/>
  <c r="P38" i="1"/>
  <c r="J37" i="1"/>
  <c r="J36" i="1"/>
  <c r="D35" i="1"/>
  <c r="C34" i="1"/>
  <c r="T32" i="1"/>
  <c r="Q31" i="1"/>
  <c r="Q30" i="1"/>
  <c r="S29" i="1"/>
  <c r="Q28" i="1"/>
  <c r="S27" i="1"/>
  <c r="U26" i="1"/>
  <c r="T25" i="1"/>
  <c r="W24" i="1"/>
  <c r="F24" i="1"/>
  <c r="L23" i="1"/>
  <c r="R22" i="1"/>
  <c r="B22" i="1"/>
  <c r="H21" i="1"/>
  <c r="N20" i="1"/>
  <c r="T19" i="1"/>
  <c r="D19" i="1"/>
  <c r="J18" i="1"/>
  <c r="P17" i="1"/>
  <c r="V16" i="1"/>
  <c r="F16" i="1"/>
  <c r="L15" i="1"/>
  <c r="R14" i="1"/>
  <c r="B14" i="1"/>
  <c r="H13" i="1"/>
  <c r="N12" i="1"/>
  <c r="T11" i="1"/>
  <c r="D11" i="1"/>
  <c r="J10" i="1"/>
  <c r="P9" i="1"/>
  <c r="V8" i="1"/>
  <c r="F8" i="1"/>
  <c r="L7" i="1"/>
  <c r="R6" i="1"/>
  <c r="B6" i="1"/>
  <c r="H5" i="1"/>
  <c r="N4" i="1"/>
  <c r="T3" i="1"/>
  <c r="D3" i="1"/>
  <c r="J2" i="1"/>
  <c r="B56" i="1"/>
  <c r="P54" i="1"/>
  <c r="H53" i="1"/>
  <c r="V51" i="1"/>
  <c r="S50" i="1"/>
  <c r="E48" i="1"/>
  <c r="S46" i="1"/>
  <c r="E43" i="1"/>
  <c r="U40" i="1"/>
  <c r="S32" i="1"/>
  <c r="P30" i="1"/>
  <c r="S26" i="1"/>
  <c r="W21" i="1"/>
  <c r="H128" i="1"/>
  <c r="T114" i="1"/>
  <c r="T103" i="1"/>
  <c r="J94" i="1"/>
  <c r="I90" i="1"/>
  <c r="I86" i="1"/>
  <c r="T82" i="1"/>
  <c r="P80" i="1"/>
  <c r="L78" i="1"/>
  <c r="C76" i="1"/>
  <c r="W73" i="1"/>
  <c r="V71" i="1"/>
  <c r="E70" i="1"/>
  <c r="J68" i="1"/>
  <c r="I66" i="1"/>
  <c r="L64" i="1"/>
  <c r="T62" i="1"/>
  <c r="G61" i="1"/>
  <c r="S59" i="1"/>
  <c r="K58" i="1"/>
  <c r="E57" i="1"/>
  <c r="V24" i="1"/>
  <c r="G21" i="1"/>
  <c r="C19" i="1"/>
  <c r="E16" i="1"/>
  <c r="M12" i="1"/>
  <c r="C11" i="1"/>
  <c r="K7" i="1"/>
  <c r="V21" i="1"/>
  <c r="D16" i="1"/>
  <c r="S126" i="1"/>
  <c r="F113" i="1"/>
  <c r="T102" i="1"/>
  <c r="I94" i="1"/>
  <c r="D90" i="1"/>
  <c r="H86" i="1"/>
  <c r="R82" i="1"/>
  <c r="K80" i="1"/>
  <c r="J78" i="1"/>
  <c r="B76" i="1"/>
  <c r="S73" i="1"/>
  <c r="T71" i="1"/>
  <c r="D70" i="1"/>
  <c r="E68" i="1"/>
  <c r="D66" i="1"/>
  <c r="K64" i="1"/>
  <c r="R62" i="1"/>
  <c r="F61" i="1"/>
  <c r="R59" i="1"/>
  <c r="J58" i="1"/>
  <c r="B57" i="1"/>
  <c r="U55" i="1"/>
  <c r="O54" i="1"/>
  <c r="G53" i="1"/>
  <c r="U51" i="1"/>
  <c r="O50" i="1"/>
  <c r="L49" i="1"/>
  <c r="D48" i="1"/>
  <c r="R46" i="1"/>
  <c r="J45" i="1"/>
  <c r="J44" i="1"/>
  <c r="D43" i="1"/>
  <c r="C42" i="1"/>
  <c r="T40" i="1"/>
  <c r="N39" i="1"/>
  <c r="N38" i="1"/>
  <c r="H37" i="1"/>
  <c r="G36" i="1"/>
  <c r="B35" i="1"/>
  <c r="R33" i="1"/>
  <c r="R32" i="1"/>
  <c r="N31" i="1"/>
  <c r="O30" i="1"/>
  <c r="M29" i="1"/>
  <c r="O28" i="1"/>
  <c r="Q27" i="1"/>
  <c r="O26" i="1"/>
  <c r="R25" i="1"/>
  <c r="U24" i="1"/>
  <c r="K4" i="1"/>
  <c r="W2" i="1"/>
  <c r="G2" i="1"/>
</calcChain>
</file>

<file path=xl/sharedStrings.xml><?xml version="1.0" encoding="utf-8"?>
<sst xmlns="http://schemas.openxmlformats.org/spreadsheetml/2006/main" count="40" uniqueCount="40">
  <si>
    <t>Code</t>
  </si>
  <si>
    <t>銘柄コード</t>
    <phoneticPr fontId="1"/>
  </si>
  <si>
    <t>銘柄名称</t>
    <phoneticPr fontId="1"/>
  </si>
  <si>
    <t>現在日付</t>
    <phoneticPr fontId="1"/>
  </si>
  <si>
    <t>現在値</t>
    <phoneticPr fontId="1"/>
  </si>
  <si>
    <t>時価総額</t>
    <phoneticPr fontId="1"/>
  </si>
  <si>
    <t>単位株数</t>
    <phoneticPr fontId="1"/>
  </si>
  <si>
    <t>配当</t>
    <phoneticPr fontId="1"/>
  </si>
  <si>
    <t>PER</t>
    <phoneticPr fontId="1"/>
  </si>
  <si>
    <t>PBR</t>
    <phoneticPr fontId="1"/>
  </si>
  <si>
    <t>信用売残</t>
    <phoneticPr fontId="1"/>
  </si>
  <si>
    <t>192A</t>
  </si>
  <si>
    <t>194A</t>
  </si>
  <si>
    <t>195A</t>
  </si>
  <si>
    <t>196A</t>
  </si>
  <si>
    <t>197A</t>
  </si>
  <si>
    <t>198A</t>
  </si>
  <si>
    <t>202A</t>
  </si>
  <si>
    <t>205A</t>
  </si>
  <si>
    <t>206A</t>
  </si>
  <si>
    <t>208A</t>
  </si>
  <si>
    <t>211A</t>
  </si>
  <si>
    <t>212A</t>
  </si>
  <si>
    <t>215A</t>
  </si>
  <si>
    <t>218A</t>
  </si>
  <si>
    <t>219A</t>
  </si>
  <si>
    <t>220A</t>
  </si>
  <si>
    <t>228A</t>
  </si>
  <si>
    <t>信用売残前週比</t>
    <phoneticPr fontId="1"/>
  </si>
  <si>
    <t>信用買残</t>
    <phoneticPr fontId="1"/>
  </si>
  <si>
    <t>信用買残前週比</t>
    <phoneticPr fontId="1"/>
  </si>
  <si>
    <t>信用倍率</t>
    <phoneticPr fontId="1"/>
  </si>
  <si>
    <t>配当落日</t>
    <phoneticPr fontId="1"/>
  </si>
  <si>
    <t>中配落日</t>
    <phoneticPr fontId="1"/>
  </si>
  <si>
    <t>権利落日</t>
    <phoneticPr fontId="1"/>
  </si>
  <si>
    <t>決算発表日</t>
    <phoneticPr fontId="1"/>
  </si>
  <si>
    <t>年初来高値</t>
    <phoneticPr fontId="1"/>
  </si>
  <si>
    <t>年初来安値</t>
    <phoneticPr fontId="1"/>
  </si>
  <si>
    <t>上場来高値</t>
    <phoneticPr fontId="1"/>
  </si>
  <si>
    <t>上場来安値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</si>
</sst>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b2353dc584914e4193ea525a6339afd4">
      <tp>
        <v>0</v>
        <stp/>
        <stp>Market</stp>
        <stp>STOCK</stp>
        <stp>208A0.T</stp>
        <stp>信用倍率</stp>
        <tr r="O56" s="1"/>
      </tp>
      <tp>
        <v>0</v>
        <stp/>
        <stp>Market</stp>
        <stp>STOCK</stp>
        <stp>205A0.T</stp>
        <stp>信用倍率</stp>
        <tr r="O53" s="1"/>
      </tp>
      <tp>
        <v>2243.25</v>
        <stp/>
        <stp>Market</stp>
        <stp>STOCK</stp>
        <stp>20550.T</stp>
        <stp>信用倍率</stp>
        <tr r="O52" s="1"/>
      </tp>
      <tp>
        <v>13.15</v>
        <stp/>
        <stp>Market</stp>
        <stp>STOCK</stp>
        <stp>20530.T</stp>
        <stp>信用倍率</stp>
        <tr r="O51" s="1"/>
      </tp>
      <tp>
        <v>0</v>
        <stp/>
        <stp>Market</stp>
        <stp>STOCK</stp>
        <stp>206A0.T</stp>
        <stp>信用倍率</stp>
        <tr r="O55" s="1"/>
      </tp>
      <tp>
        <v>58.57</v>
        <stp/>
        <stp>Market</stp>
        <stp>STOCK</stp>
        <stp>20600.T</stp>
        <stp>信用倍率</stp>
        <tr r="O54" s="1"/>
      </tp>
      <tp>
        <v>0</v>
        <stp/>
        <stp>Market</stp>
        <stp>STOCK</stp>
        <stp>20090.T</stp>
        <stp>信用倍率</stp>
        <tr r="O49" s="1"/>
      </tp>
      <tp>
        <v>14.83</v>
        <stp/>
        <stp>Market</stp>
        <stp>STOCK</stp>
        <stp>20040.T</stp>
        <stp>信用倍率</stp>
        <tr r="O48" s="1"/>
      </tp>
      <tp>
        <v>2.5299999999999998</v>
        <stp/>
        <stp>Market</stp>
        <stp>STOCK</stp>
        <stp>20030.T</stp>
        <stp>信用倍率</stp>
        <tr r="O47" s="1"/>
      </tp>
      <tp>
        <v>2.69</v>
        <stp/>
        <stp>Market</stp>
        <stp>STOCK</stp>
        <stp>20020.T</stp>
        <stp>信用倍率</stp>
        <tr r="O46" s="1"/>
      </tp>
      <tp>
        <v>1.77</v>
        <stp/>
        <stp>Market</stp>
        <stp>STOCK</stp>
        <stp>20010.T</stp>
        <stp>信用倍率</stp>
        <tr r="O45" s="1"/>
      </tp>
      <tp>
        <v>0</v>
        <stp/>
        <stp>Market</stp>
        <stp>STOCK</stp>
        <stp>202A0.T</stp>
        <stp>信用倍率</stp>
        <tr r="O50" s="1"/>
      </tp>
      <tp>
        <v>4439.5</v>
        <stp/>
        <stp>Market</stp>
        <stp>STOCK</stp>
        <stp>218A0.T</stp>
        <stp>信用倍率</stp>
        <tr r="O99" s="1"/>
      </tp>
      <tp>
        <v>0</v>
        <stp/>
        <stp>Market</stp>
        <stp>STOCK</stp>
        <stp>21860.T</stp>
        <stp>信用倍率</stp>
        <tr r="O98" s="1"/>
      </tp>
      <tp>
        <v>0</v>
        <stp/>
        <stp>Market</stp>
        <stp>STOCK</stp>
        <stp>21850.T</stp>
        <stp>信用倍率</stp>
        <tr r="O97" s="1"/>
      </tp>
      <tp>
        <v>0</v>
        <stp/>
        <stp>Market</stp>
        <stp>STOCK</stp>
        <stp>21830.T</stp>
        <stp>信用倍率</stp>
        <tr r="O96" s="1"/>
      </tp>
      <tp>
        <v>12.12</v>
        <stp/>
        <stp>Market</stp>
        <stp>STOCK</stp>
        <stp>21810.T</stp>
        <stp>信用倍率</stp>
        <tr r="O95" s="1"/>
      </tp>
      <tp>
        <v>0</v>
        <stp/>
        <stp>Market</stp>
        <stp>STOCK</stp>
        <stp>21800.T</stp>
        <stp>信用倍率</stp>
        <tr r="O94" s="1"/>
      </tp>
      <tp>
        <v>2.14</v>
        <stp/>
        <stp>Market</stp>
        <stp>STOCK</stp>
        <stp>219A0.T</stp>
        <stp>信用倍率</stp>
        <tr r="O104" s="1"/>
      </tp>
      <tp>
        <v>5.27</v>
        <stp/>
        <stp>Market</stp>
        <stp>STOCK</stp>
        <stp>21980.T</stp>
        <stp>信用倍率</stp>
        <tr r="O103" s="1"/>
      </tp>
      <tp>
        <v>31.13</v>
        <stp/>
        <stp>Market</stp>
        <stp>STOCK</stp>
        <stp>21960.T</stp>
        <stp>信用倍率</stp>
        <tr r="O102" s="1"/>
      </tp>
      <tp>
        <v>0</v>
        <stp/>
        <stp>Market</stp>
        <stp>STOCK</stp>
        <stp>21950.T</stp>
        <stp>信用倍率</stp>
        <tr r="O101" s="1"/>
      </tp>
      <tp>
        <v>1.5</v>
        <stp/>
        <stp>Market</stp>
        <stp>STOCK</stp>
        <stp>21930.T</stp>
        <stp>信用倍率</stp>
        <tr r="O100" s="1"/>
      </tp>
      <tp>
        <v>17.62</v>
        <stp/>
        <stp>Market</stp>
        <stp>STOCK</stp>
        <stp>21480.T</stp>
        <stp>信用倍率</stp>
        <tr r="O75" s="1"/>
      </tp>
      <tp>
        <v>4.1500000000000004</v>
        <stp/>
        <stp>Market</stp>
        <stp>STOCK</stp>
        <stp>21460.T</stp>
        <stp>信用倍率</stp>
        <tr r="O74" s="1"/>
      </tp>
      <tp>
        <v>2.81</v>
        <stp/>
        <stp>Market</stp>
        <stp>STOCK</stp>
        <stp>215A0.T</stp>
        <stp>信用倍率</stp>
        <tr r="O83" s="1"/>
      </tp>
      <tp>
        <v>0</v>
        <stp/>
        <stp>Market</stp>
        <stp>STOCK</stp>
        <stp>21580.T</stp>
        <stp>信用倍率</stp>
        <tr r="O82" s="1"/>
      </tp>
      <tp>
        <v>25.31</v>
        <stp/>
        <stp>Market</stp>
        <stp>STOCK</stp>
        <stp>21570.T</stp>
        <stp>信用倍率</stp>
        <tr r="O81" s="1"/>
      </tp>
      <tp>
        <v>0</v>
        <stp/>
        <stp>Market</stp>
        <stp>STOCK</stp>
        <stp>21560.T</stp>
        <stp>信用倍率</stp>
        <tr r="O80" s="1"/>
      </tp>
      <tp>
        <v>3.76</v>
        <stp/>
        <stp>Market</stp>
        <stp>STOCK</stp>
        <stp>21540.T</stp>
        <stp>信用倍率</stp>
        <tr r="O79" s="1"/>
      </tp>
      <tp>
        <v>174.67</v>
        <stp/>
        <stp>Market</stp>
        <stp>STOCK</stp>
        <stp>21530.T</stp>
        <stp>信用倍率</stp>
        <tr r="O78" s="1"/>
      </tp>
      <tp>
        <v>0</v>
        <stp/>
        <stp>Market</stp>
        <stp>STOCK</stp>
        <stp>21520.T</stp>
        <stp>信用倍率</stp>
        <tr r="O77" s="1"/>
      </tp>
      <tp t="s">
        <v/>
        <stp/>
        <stp>Market</stp>
        <stp>STOCK</stp>
        <stp>21500.T</stp>
        <stp>信用倍率</stp>
        <tr r="O76" s="1"/>
      </tp>
      <tp>
        <v>23</v>
        <stp/>
        <stp>Market</stp>
        <stp>STOCK</stp>
        <stp>21690.T</stp>
        <stp>信用倍率</stp>
        <tr r="O89" s="1"/>
      </tp>
      <tp>
        <v>1.5</v>
        <stp/>
        <stp>Market</stp>
        <stp>STOCK</stp>
        <stp>21680.T</stp>
        <stp>信用倍率</stp>
        <tr r="O88" s="1"/>
      </tp>
      <tp>
        <v>0</v>
        <stp/>
        <stp>Market</stp>
        <stp>STOCK</stp>
        <stp>21640.T</stp>
        <stp>信用倍率</stp>
        <tr r="O87" s="1"/>
      </tp>
      <tp>
        <v>0</v>
        <stp/>
        <stp>Market</stp>
        <stp>STOCK</stp>
        <stp>21630.T</stp>
        <stp>信用倍率</stp>
        <tr r="O86" s="1"/>
      </tp>
      <tp>
        <v>127.75</v>
        <stp/>
        <stp>Market</stp>
        <stp>STOCK</stp>
        <stp>21620.T</stp>
        <stp>信用倍率</stp>
        <tr r="O85" s="1"/>
      </tp>
      <tp>
        <v>9.93</v>
        <stp/>
        <stp>Market</stp>
        <stp>STOCK</stp>
        <stp>21600.T</stp>
        <stp>信用倍率</stp>
        <tr r="O84" s="1"/>
      </tp>
      <tp>
        <v>0</v>
        <stp/>
        <stp>Market</stp>
        <stp>STOCK</stp>
        <stp>21790.T</stp>
        <stp>信用倍率</stp>
        <tr r="O93" s="1"/>
      </tp>
      <tp>
        <v>2.14</v>
        <stp/>
        <stp>Market</stp>
        <stp>STOCK</stp>
        <stp>21750.T</stp>
        <stp>信用倍率</stp>
        <tr r="O92" s="1"/>
      </tp>
      <tp>
        <v>4.97</v>
        <stp/>
        <stp>Market</stp>
        <stp>STOCK</stp>
        <stp>21730.T</stp>
        <stp>信用倍率</stp>
        <tr r="O91" s="1"/>
      </tp>
      <tp>
        <v>4.03</v>
        <stp/>
        <stp>Market</stp>
        <stp>STOCK</stp>
        <stp>21700.T</stp>
        <stp>信用倍率</stp>
        <tr r="O90" s="1"/>
      </tp>
      <tp>
        <v>5.92</v>
        <stp/>
        <stp>Market</stp>
        <stp>STOCK</stp>
        <stp>21090.T</stp>
        <stp>信用倍率</stp>
        <tr r="O58" s="1"/>
      </tp>
      <tp>
        <v>11.41</v>
        <stp/>
        <stp>Market</stp>
        <stp>STOCK</stp>
        <stp>21080.T</stp>
        <stp>信用倍率</stp>
        <tr r="O57" s="1"/>
      </tp>
      <tp>
        <v>0</v>
        <stp/>
        <stp>Market</stp>
        <stp>STOCK</stp>
        <stp>211A0.T</stp>
        <stp>信用倍率</stp>
        <tr r="O62" s="1"/>
      </tp>
      <tp>
        <v>3.87</v>
        <stp/>
        <stp>Market</stp>
        <stp>STOCK</stp>
        <stp>21170.T</stp>
        <stp>信用倍率</stp>
        <tr r="O61" s="1"/>
      </tp>
      <tp>
        <v>10.53</v>
        <stp/>
        <stp>Market</stp>
        <stp>STOCK</stp>
        <stp>21140.T</stp>
        <stp>信用倍率</stp>
        <tr r="O60" s="1"/>
      </tp>
      <tp>
        <v>36.58</v>
        <stp/>
        <stp>Market</stp>
        <stp>STOCK</stp>
        <stp>21120.T</stp>
        <stp>信用倍率</stp>
        <tr r="O59" s="1"/>
      </tp>
      <tp>
        <v>279.14</v>
        <stp/>
        <stp>Market</stp>
        <stp>STOCK</stp>
        <stp>212A0.T</stp>
        <stp>信用倍率</stp>
        <tr r="O68" s="1"/>
      </tp>
      <tp>
        <v>15.28</v>
        <stp/>
        <stp>Market</stp>
        <stp>STOCK</stp>
        <stp>21270.T</stp>
        <stp>信用倍率</stp>
        <tr r="O67" s="1"/>
      </tp>
      <tp>
        <v>8.52</v>
        <stp/>
        <stp>Market</stp>
        <stp>STOCK</stp>
        <stp>21240.T</stp>
        <stp>信用倍率</stp>
        <tr r="O66" s="1"/>
      </tp>
      <tp>
        <v>0</v>
        <stp/>
        <stp>Market</stp>
        <stp>STOCK</stp>
        <stp>21220.T</stp>
        <stp>信用倍率</stp>
        <tr r="O65" s="1"/>
      </tp>
      <tp>
        <v>28.09</v>
        <stp/>
        <stp>Market</stp>
        <stp>STOCK</stp>
        <stp>21210.T</stp>
        <stp>信用倍率</stp>
        <tr r="O64" s="1"/>
      </tp>
      <tp>
        <v>3.23</v>
        <stp/>
        <stp>Market</stp>
        <stp>STOCK</stp>
        <stp>21200.T</stp>
        <stp>信用倍率</stp>
        <tr r="O63" s="1"/>
      </tp>
      <tp>
        <v>10.3</v>
        <stp/>
        <stp>Market</stp>
        <stp>STOCK</stp>
        <stp>21390.T</stp>
        <stp>信用倍率</stp>
        <tr r="O73" s="1"/>
      </tp>
      <tp>
        <v>11.23</v>
        <stp/>
        <stp>Market</stp>
        <stp>STOCK</stp>
        <stp>21380.T</stp>
        <stp>信用倍率</stp>
        <tr r="O72" s="1"/>
      </tp>
      <tp>
        <v>0</v>
        <stp/>
        <stp>Market</stp>
        <stp>STOCK</stp>
        <stp>21360.T</stp>
        <stp>信用倍率</stp>
        <tr r="O71" s="1"/>
      </tp>
      <tp>
        <v>0</v>
        <stp/>
        <stp>Market</stp>
        <stp>STOCK</stp>
        <stp>21340.T</stp>
        <stp>信用倍率</stp>
        <tr r="O70" s="1"/>
      </tp>
      <tp>
        <v>52.92</v>
        <stp/>
        <stp>Market</stp>
        <stp>STOCK</stp>
        <stp>21300.T</stp>
        <stp>信用倍率</stp>
        <tr r="O69" s="1"/>
      </tp>
      <tp t="s">
        <v>-</v>
        <stp/>
        <stp>Market</stp>
        <stp>STOCK</stp>
        <stp>19920.T</stp>
        <stp>信用売残</stp>
        <tr r="K42" s="1"/>
      </tp>
      <tp t="s">
        <v>-</v>
        <stp/>
        <stp>Market</stp>
        <stp>STOCK</stp>
        <stp>19970.T</stp>
        <stp>信用売残</stp>
        <tr r="K44" s="1"/>
      </tp>
      <tp t="s">
        <v>-</v>
        <stp/>
        <stp>Market</stp>
        <stp>STOCK</stp>
        <stp>19940.T</stp>
        <stp>信用売残</stp>
        <tr r="K43" s="1"/>
      </tp>
      <tp>
        <v>4800</v>
        <stp/>
        <stp>Market</stp>
        <stp>STOCK</stp>
        <stp>198A0.T</stp>
        <stp>信用売残</stp>
        <tr r="K41" s="1"/>
      </tp>
      <tp>
        <v>5400</v>
        <stp/>
        <stp>Market</stp>
        <stp>STOCK</stp>
        <stp>19820.T</stp>
        <stp>信用売残</stp>
        <tr r="K40" s="1"/>
      </tp>
      <tp t="s">
        <v>-</v>
        <stp/>
        <stp>Market</stp>
        <stp>STOCK</stp>
        <stp>19810.T</stp>
        <stp>信用売残</stp>
        <tr r="K39" s="1"/>
      </tp>
      <tp>
        <v>56700</v>
        <stp/>
        <stp>Market</stp>
        <stp>STOCK</stp>
        <stp>19800.T</stp>
        <stp>信用売残</stp>
        <tr r="K38" s="1"/>
      </tp>
      <tp>
        <v>16400</v>
        <stp/>
        <stp>Market</stp>
        <stp>STOCK</stp>
        <stp>19300.T</stp>
        <stp>信用売残</stp>
        <tr r="K6" s="1"/>
      </tp>
      <tp>
        <v>22600</v>
        <stp/>
        <stp>Market</stp>
        <stp>STOCK</stp>
        <stp>19340.T</stp>
        <stp>信用売残</stp>
        <tr r="K7" s="1"/>
      </tp>
      <tp>
        <v>19000</v>
        <stp/>
        <stp>Market</stp>
        <stp>STOCK</stp>
        <stp>19390.T</stp>
        <stp>信用売残</stp>
        <tr r="K9" s="1"/>
      </tp>
      <tp>
        <v>93300</v>
        <stp/>
        <stp>Market</stp>
        <stp>STOCK</stp>
        <stp>19380.T</stp>
        <stp>信用売残</stp>
        <tr r="K8" s="1"/>
      </tp>
      <tp t="s">
        <v>-</v>
        <stp/>
        <stp>Market</stp>
        <stp>STOCK</stp>
        <stp>192A0.T</stp>
        <stp>信用売残</stp>
        <tr r="K5" s="1"/>
      </tp>
      <tp>
        <v>15600</v>
        <stp/>
        <stp>Market</stp>
        <stp>STOCK</stp>
        <stp>19260.T</stp>
        <stp>信用売残</stp>
        <tr r="K2" s="1"/>
      </tp>
      <tp>
        <v>47700</v>
        <stp/>
        <stp>Market</stp>
        <stp>STOCK</stp>
        <stp>19290.T</stp>
        <stp>信用売残</stp>
        <tr r="K4" s="1"/>
      </tp>
      <tp>
        <v>120900</v>
        <stp/>
        <stp>Market</stp>
        <stp>STOCK</stp>
        <stp>19280.T</stp>
        <stp>信用売残</stp>
        <tr r="K3" s="1"/>
      </tp>
      <tp>
        <v>112700</v>
        <stp/>
        <stp>Market</stp>
        <stp>STOCK</stp>
        <stp>197A0.T</stp>
        <stp>信用売残</stp>
        <tr r="K37" s="1"/>
      </tp>
      <tp>
        <v>2900</v>
        <stp/>
        <stp>Market</stp>
        <stp>STOCK</stp>
        <stp>19720.T</stp>
        <stp>信用売残</stp>
        <tr r="K33" s="1"/>
      </tp>
      <tp>
        <v>77800</v>
        <stp/>
        <stp>Market</stp>
        <stp>STOCK</stp>
        <stp>19760.T</stp>
        <stp>信用売残</stp>
        <tr r="K35" s="1"/>
      </tp>
      <tp>
        <v>12800</v>
        <stp/>
        <stp>Market</stp>
        <stp>STOCK</stp>
        <stp>19750.T</stp>
        <stp>信用売残</stp>
        <tr r="K34" s="1"/>
      </tp>
      <tp>
        <v>19800</v>
        <stp/>
        <stp>Market</stp>
        <stp>STOCK</stp>
        <stp>19790.T</stp>
        <stp>信用売残</stp>
        <tr r="K36" s="1"/>
      </tp>
      <tp t="s">
        <v>-</v>
        <stp/>
        <stp>Market</stp>
        <stp>STOCK</stp>
        <stp>196A0.T</stp>
        <stp>信用売残</stp>
        <tr r="K32" s="1"/>
      </tp>
      <tp>
        <v>91000</v>
        <stp/>
        <stp>Market</stp>
        <stp>STOCK</stp>
        <stp>19630.T</stp>
        <stp>信用売残</stp>
        <tr r="K25" s="1"/>
      </tp>
      <tp>
        <v>21700</v>
        <stp/>
        <stp>Market</stp>
        <stp>STOCK</stp>
        <stp>19610.T</stp>
        <stp>信用売残</stp>
        <tr r="K24" s="1"/>
      </tp>
      <tp t="s">
        <v>-</v>
        <stp/>
        <stp>Market</stp>
        <stp>STOCK</stp>
        <stp>19600.T</stp>
        <stp>信用売残</stp>
        <tr r="K23" s="1"/>
      </tp>
      <tp>
        <v>6000</v>
        <stp/>
        <stp>Market</stp>
        <stp>STOCK</stp>
        <stp>19670.T</stp>
        <stp>信用売残</stp>
        <tr r="K29" s="1"/>
      </tp>
      <tp>
        <v>2300</v>
        <stp/>
        <stp>Market</stp>
        <stp>STOCK</stp>
        <stp>19660.T</stp>
        <stp>信用売残</stp>
        <tr r="K28" s="1"/>
      </tp>
      <tp>
        <v>11000</v>
        <stp/>
        <stp>Market</stp>
        <stp>STOCK</stp>
        <stp>19650.T</stp>
        <stp>信用売残</stp>
        <tr r="K27" s="1"/>
      </tp>
      <tp>
        <v>4700</v>
        <stp/>
        <stp>Market</stp>
        <stp>STOCK</stp>
        <stp>19640.T</stp>
        <stp>信用売残</stp>
        <tr r="K26" s="1"/>
      </tp>
      <tp>
        <v>40900</v>
        <stp/>
        <stp>Market</stp>
        <stp>STOCK</stp>
        <stp>19690.T</stp>
        <stp>信用売残</stp>
        <tr r="K31" s="1"/>
      </tp>
      <tp>
        <v>13700</v>
        <stp/>
        <stp>Market</stp>
        <stp>STOCK</stp>
        <stp>19680.T</stp>
        <stp>信用売残</stp>
        <tr r="K30" s="1"/>
      </tp>
      <tp>
        <v>4100</v>
        <stp/>
        <stp>Market</stp>
        <stp>STOCK</stp>
        <stp>195A0.T</stp>
        <stp>信用売残</stp>
        <tr r="K22" s="1"/>
      </tp>
      <tp>
        <v>16600</v>
        <stp/>
        <stp>Market</stp>
        <stp>STOCK</stp>
        <stp>19520.T</stp>
        <stp>信用売残</stp>
        <tr r="K20" s="1"/>
      </tp>
      <tp>
        <v>21100</v>
        <stp/>
        <stp>Market</stp>
        <stp>STOCK</stp>
        <stp>19510.T</stp>
        <stp>信用売残</stp>
        <tr r="K19" s="1"/>
      </tp>
      <tp>
        <v>22500</v>
        <stp/>
        <stp>Market</stp>
        <stp>STOCK</stp>
        <stp>19500.T</stp>
        <stp>信用売残</stp>
        <tr r="K18" s="1"/>
      </tp>
      <tp>
        <v>15200</v>
        <stp/>
        <stp>Market</stp>
        <stp>STOCK</stp>
        <stp>19590.T</stp>
        <stp>信用売残</stp>
        <tr r="K21" s="1"/>
      </tp>
      <tp t="s">
        <v>-</v>
        <stp/>
        <stp>Market</stp>
        <stp>STOCK</stp>
        <stp>194A0.T</stp>
        <stp>信用売残</stp>
        <tr r="K17" s="1"/>
      </tp>
      <tp>
        <v>412200</v>
        <stp/>
        <stp>Market</stp>
        <stp>STOCK</stp>
        <stp>19420.T</stp>
        <stp>信用売残</stp>
        <tr r="K11" s="1"/>
      </tp>
      <tp>
        <v>18300</v>
        <stp/>
        <stp>Market</stp>
        <stp>STOCK</stp>
        <stp>19410.T</stp>
        <stp>信用売残</stp>
        <tr r="K10" s="1"/>
      </tp>
      <tp>
        <v>32700</v>
        <stp/>
        <stp>Market</stp>
        <stp>STOCK</stp>
        <stp>19460.T</stp>
        <stp>信用売残</stp>
        <tr r="K14" s="1"/>
      </tp>
      <tp>
        <v>503200</v>
        <stp/>
        <stp>Market</stp>
        <stp>STOCK</stp>
        <stp>19450.T</stp>
        <stp>信用売残</stp>
        <tr r="K13" s="1"/>
      </tp>
      <tp>
        <v>39600</v>
        <stp/>
        <stp>Market</stp>
        <stp>STOCK</stp>
        <stp>19440.T</stp>
        <stp>信用売残</stp>
        <tr r="K12" s="1"/>
      </tp>
      <tp>
        <v>200</v>
        <stp/>
        <stp>Market</stp>
        <stp>STOCK</stp>
        <stp>19490.T</stp>
        <stp>信用売残</stp>
        <tr r="K16" s="1"/>
      </tp>
      <tp t="s">
        <v>-</v>
        <stp/>
        <stp>Market</stp>
        <stp>STOCK</stp>
        <stp>19480.T</stp>
        <stp>信用売残</stp>
        <tr r="K15" s="1"/>
      </tp>
      <tp>
        <v>0</v>
        <stp/>
        <stp>Market</stp>
        <stp>STOCK</stp>
        <stp>228A0.T</stp>
        <stp>信用倍率</stp>
        <tr r="O133" s="1"/>
      </tp>
      <tp>
        <v>0.44</v>
        <stp/>
        <stp>Market</stp>
        <stp>STOCK</stp>
        <stp>22880.T</stp>
        <stp>信用倍率</stp>
        <tr r="O132" s="1"/>
      </tp>
      <tp>
        <v>121.16</v>
        <stp/>
        <stp>Market</stp>
        <stp>STOCK</stp>
        <stp>22860.T</stp>
        <stp>信用倍率</stp>
        <tr r="O131" s="1"/>
      </tp>
      <tp>
        <v>0.22</v>
        <stp/>
        <stp>Market</stp>
        <stp>STOCK</stp>
        <stp>22820.T</stp>
        <stp>信用倍率</stp>
        <tr r="O130" s="1"/>
      </tp>
      <tp>
        <v>10.24</v>
        <stp/>
        <stp>Market</stp>
        <stp>STOCK</stp>
        <stp>22810.T</stp>
        <stp>信用倍率</stp>
        <tr r="O129" s="1"/>
      </tp>
      <tp>
        <v>0.78</v>
        <stp/>
        <stp>Market</stp>
        <stp>STOCK</stp>
        <stp>22960.T</stp>
        <stp>信用倍率</stp>
        <tr r="O138" s="1"/>
      </tp>
      <tp>
        <v>2.75</v>
        <stp/>
        <stp>Market</stp>
        <stp>STOCK</stp>
        <stp>22940.T</stp>
        <stp>信用倍率</stp>
        <tr r="O137" s="1"/>
      </tp>
      <tp>
        <v>0</v>
        <stp/>
        <stp>Market</stp>
        <stp>STOCK</stp>
        <stp>22930.T</stp>
        <stp>信用倍率</stp>
        <tr r="O136" s="1"/>
      </tp>
      <tp>
        <v>4.46</v>
        <stp/>
        <stp>Market</stp>
        <stp>STOCK</stp>
        <stp>22920.T</stp>
        <stp>信用倍率</stp>
        <tr r="O135" s="1"/>
      </tp>
      <tp>
        <v>1.68</v>
        <stp/>
        <stp>Market</stp>
        <stp>STOCK</stp>
        <stp>22910.T</stp>
        <stp>信用倍率</stp>
        <tr r="O134" s="1"/>
      </tp>
      <tp>
        <v>2.4</v>
        <stp/>
        <stp>Market</stp>
        <stp>STOCK</stp>
        <stp>22690.T</stp>
        <stp>信用倍率</stp>
        <tr r="O127" s="1"/>
      </tp>
      <tp>
        <v>0</v>
        <stp/>
        <stp>Market</stp>
        <stp>STOCK</stp>
        <stp>22680.T</stp>
        <stp>信用倍率</stp>
        <tr r="O126" s="1"/>
      </tp>
      <tp>
        <v>8.93</v>
        <stp/>
        <stp>Market</stp>
        <stp>STOCK</stp>
        <stp>22670.T</stp>
        <stp>信用倍率</stp>
        <tr r="O125" s="1"/>
      </tp>
      <tp>
        <v>1.39</v>
        <stp/>
        <stp>Market</stp>
        <stp>STOCK</stp>
        <stp>22660.T</stp>
        <stp>信用倍率</stp>
        <tr r="O124" s="1"/>
      </tp>
      <tp>
        <v>4.54</v>
        <stp/>
        <stp>Market</stp>
        <stp>STOCK</stp>
        <stp>22640.T</stp>
        <stp>信用倍率</stp>
        <tr r="O123" s="1"/>
      </tp>
      <tp>
        <v>3.72</v>
        <stp/>
        <stp>Market</stp>
        <stp>STOCK</stp>
        <stp>22700.T</stp>
        <stp>信用倍率</stp>
        <tr r="O128" s="1"/>
      </tp>
      <tp>
        <v>0</v>
        <stp/>
        <stp>Market</stp>
        <stp>STOCK</stp>
        <stp>220A0.T</stp>
        <stp>信用倍率</stp>
        <tr r="O111" s="1"/>
      </tp>
      <tp>
        <v>11.88</v>
        <stp/>
        <stp>Market</stp>
        <stp>STOCK</stp>
        <stp>22090.T</stp>
        <stp>信用倍率</stp>
        <tr r="O110" s="1"/>
      </tp>
      <tp>
        <v>0</v>
        <stp/>
        <stp>Market</stp>
        <stp>STOCK</stp>
        <stp>22080.T</stp>
        <stp>信用倍率</stp>
        <tr r="O109" s="1"/>
      </tp>
      <tp>
        <v>8.5399999999999991</v>
        <stp/>
        <stp>Market</stp>
        <stp>STOCK</stp>
        <stp>22070.T</stp>
        <stp>信用倍率</stp>
        <tr r="O108" s="1"/>
      </tp>
      <tp>
        <v>1.34</v>
        <stp/>
        <stp>Market</stp>
        <stp>STOCK</stp>
        <stp>22060.T</stp>
        <stp>信用倍率</stp>
        <tr r="O107" s="1"/>
      </tp>
      <tp>
        <v>1.0900000000000001</v>
        <stp/>
        <stp>Market</stp>
        <stp>STOCK</stp>
        <stp>22040.T</stp>
        <stp>信用倍率</stp>
        <tr r="O106" s="1"/>
      </tp>
      <tp>
        <v>2.46</v>
        <stp/>
        <stp>Market</stp>
        <stp>STOCK</stp>
        <stp>22010.T</stp>
        <stp>信用倍率</stp>
        <tr r="O105" s="1"/>
      </tp>
      <tp>
        <v>0.27</v>
        <stp/>
        <stp>Market</stp>
        <stp>STOCK</stp>
        <stp>22170.T</stp>
        <stp>信用倍率</stp>
        <tr r="O116" s="1"/>
      </tp>
      <tp>
        <v>6.57</v>
        <stp/>
        <stp>Market</stp>
        <stp>STOCK</stp>
        <stp>22160.T</stp>
        <stp>信用倍率</stp>
        <tr r="O115" s="1"/>
      </tp>
      <tp>
        <v>28.2</v>
        <stp/>
        <stp>Market</stp>
        <stp>STOCK</stp>
        <stp>22150.T</stp>
        <stp>信用倍率</stp>
        <tr r="O114" s="1"/>
      </tp>
      <tp>
        <v>2.58</v>
        <stp/>
        <stp>Market</stp>
        <stp>STOCK</stp>
        <stp>22120.T</stp>
        <stp>信用倍率</stp>
        <tr r="O113" s="1"/>
      </tp>
      <tp>
        <v>1.1599999999999999</v>
        <stp/>
        <stp>Market</stp>
        <stp>STOCK</stp>
        <stp>22110.T</stp>
        <stp>信用倍率</stp>
        <tr r="O112" s="1"/>
      </tp>
      <tp>
        <v>1.02</v>
        <stp/>
        <stp>Market</stp>
        <stp>STOCK</stp>
        <stp>22290.T</stp>
        <stp>信用倍率</stp>
        <tr r="O122" s="1"/>
      </tp>
      <tp>
        <v>1.72</v>
        <stp/>
        <stp>Market</stp>
        <stp>STOCK</stp>
        <stp>22260.T</stp>
        <stp>信用倍率</stp>
        <tr r="O121" s="1"/>
      </tp>
      <tp>
        <v>0</v>
        <stp/>
        <stp>Market</stp>
        <stp>STOCK</stp>
        <stp>22240.T</stp>
        <stp>信用倍率</stp>
        <tr r="O120" s="1"/>
      </tp>
      <tp>
        <v>1.19</v>
        <stp/>
        <stp>Market</stp>
        <stp>STOCK</stp>
        <stp>22220.T</stp>
        <stp>信用倍率</stp>
        <tr r="O119" s="1"/>
      </tp>
      <tp>
        <v>0</v>
        <stp/>
        <stp>Market</stp>
        <stp>STOCK</stp>
        <stp>22210.T</stp>
        <stp>信用倍率</stp>
        <tr r="O118" s="1"/>
      </tp>
      <tp>
        <v>9.32</v>
        <stp/>
        <stp>Market</stp>
        <stp>STOCK</stp>
        <stp>22200.T</stp>
        <stp>信用倍率</stp>
        <tr r="O117" s="1"/>
      </tp>
      <tp>
        <v>0</v>
        <stp/>
        <stp>Market</stp>
        <stp>STOCK</stp>
        <stp>23070.T</stp>
        <stp>信用倍率</stp>
        <tr r="O144" s="1"/>
      </tp>
      <tp>
        <v>0.42</v>
        <stp/>
        <stp>Market</stp>
        <stp>STOCK</stp>
        <stp>23050.T</stp>
        <stp>信用倍率</stp>
        <tr r="O143" s="1"/>
      </tp>
      <tp>
        <v>95.09</v>
        <stp/>
        <stp>Market</stp>
        <stp>STOCK</stp>
        <stp>23040.T</stp>
        <stp>信用倍率</stp>
        <tr r="O142" s="1"/>
      </tp>
      <tp>
        <v>0</v>
        <stp/>
        <stp>Market</stp>
        <stp>STOCK</stp>
        <stp>23030.T</stp>
        <stp>信用倍率</stp>
        <tr r="O141" s="1"/>
      </tp>
      <tp>
        <v>14.13</v>
        <stp/>
        <stp>Market</stp>
        <stp>STOCK</stp>
        <stp>23010.T</stp>
        <stp>信用倍率</stp>
        <tr r="O140" s="1"/>
      </tp>
      <tp>
        <v>0</v>
        <stp/>
        <stp>Market</stp>
        <stp>STOCK</stp>
        <stp>23000.T</stp>
        <stp>信用倍率</stp>
        <tr r="O139" s="1"/>
      </tp>
      <tp>
        <v>9.31</v>
        <stp/>
        <stp>Market</stp>
        <stp>STOCK</stp>
        <stp>23170.T</stp>
        <stp>信用倍率</stp>
        <tr r="O147" s="1"/>
      </tp>
      <tp>
        <v>7.47</v>
        <stp/>
        <stp>Market</stp>
        <stp>STOCK</stp>
        <stp>23150.T</stp>
        <stp>信用倍率</stp>
        <tr r="O146" s="1"/>
      </tp>
      <tp>
        <v>0</v>
        <stp/>
        <stp>Market</stp>
        <stp>STOCK</stp>
        <stp>23110.T</stp>
        <stp>信用倍率</stp>
        <tr r="O145" s="1"/>
      </tp>
      <tp>
        <v>6.28</v>
        <stp/>
        <stp>Market</stp>
        <stp>STOCK</stp>
        <stp>23260.T</stp>
        <stp>信用倍率</stp>
        <tr r="O151" s="1"/>
      </tp>
      <tp>
        <v>4.3099999999999996</v>
        <stp/>
        <stp>Market</stp>
        <stp>STOCK</stp>
        <stp>23250.T</stp>
        <stp>信用倍率</stp>
        <tr r="O150" s="1"/>
      </tp>
      <tp>
        <v>0</v>
        <stp/>
        <stp>Market</stp>
        <stp>STOCK</stp>
        <stp>23230.T</stp>
        <stp>信用倍率</stp>
        <tr r="O149" s="1"/>
      </tp>
      <tp>
        <v>0</v>
        <stp/>
        <stp>Market</stp>
        <stp>STOCK</stp>
        <stp>23210.T</stp>
        <stp>信用倍率</stp>
        <tr r="O148" s="1"/>
      </tp>
    </main>
    <main first="rtdsrv.b2353dc584914e4193ea525a6339afd4">
      <tp t="s">
        <v>-</v>
        <stp/>
        <stp>Market</stp>
        <stp>STOCK</stp>
        <stp>208A0.T</stp>
        <stp>信用売残</stp>
        <tr r="K56" s="1"/>
      </tp>
      <tp t="s">
        <v>-</v>
        <stp/>
        <stp>Market</stp>
        <stp>STOCK</stp>
        <stp>202A0.T</stp>
        <stp>信用売残</stp>
        <tr r="K50" s="1"/>
      </tp>
      <tp>
        <v>3600</v>
        <stp/>
        <stp>Market</stp>
        <stp>STOCK</stp>
        <stp>20030.T</stp>
        <stp>信用売残</stp>
        <tr r="K47" s="1"/>
      </tp>
      <tp>
        <v>63500</v>
        <stp/>
        <stp>Market</stp>
        <stp>STOCK</stp>
        <stp>20020.T</stp>
        <stp>信用売残</stp>
        <tr r="K46" s="1"/>
      </tp>
      <tp>
        <v>31100</v>
        <stp/>
        <stp>Market</stp>
        <stp>STOCK</stp>
        <stp>20010.T</stp>
        <stp>信用売残</stp>
        <tr r="K45" s="1"/>
      </tp>
      <tp>
        <v>14700</v>
        <stp/>
        <stp>Market</stp>
        <stp>STOCK</stp>
        <stp>20040.T</stp>
        <stp>信用売残</stp>
        <tr r="K48" s="1"/>
      </tp>
      <tp t="s">
        <v>-</v>
        <stp/>
        <stp>Market</stp>
        <stp>STOCK</stp>
        <stp>20090.T</stp>
        <stp>信用売残</stp>
        <tr r="K49" s="1"/>
      </tp>
      <tp t="s">
        <v>-</v>
        <stp/>
        <stp>Market</stp>
        <stp>STOCK</stp>
        <stp>206A0.T</stp>
        <stp>信用売残</stp>
        <tr r="K55" s="1"/>
      </tp>
      <tp>
        <v>5600</v>
        <stp/>
        <stp>Market</stp>
        <stp>STOCK</stp>
        <stp>20600.T</stp>
        <stp>信用売残</stp>
        <tr r="K54" s="1"/>
      </tp>
      <tp t="s">
        <v>-</v>
        <stp/>
        <stp>Market</stp>
        <stp>STOCK</stp>
        <stp>205A0.T</stp>
        <stp>信用売残</stp>
        <tr r="K53" s="1"/>
      </tp>
      <tp>
        <v>10300</v>
        <stp/>
        <stp>Market</stp>
        <stp>STOCK</stp>
        <stp>20530.T</stp>
        <stp>信用売残</stp>
        <tr r="K51" s="1"/>
      </tp>
      <tp>
        <v>400</v>
        <stp/>
        <stp>Market</stp>
        <stp>STOCK</stp>
        <stp>20550.T</stp>
        <stp>信用売残</stp>
        <tr r="K52" s="1"/>
      </tp>
      <tp>
        <v>455.21</v>
        <stp/>
        <stp>Market</stp>
        <stp>STOCK</stp>
        <stp>198A0.T</stp>
        <stp>信用倍率</stp>
        <tr r="O41" s="1"/>
      </tp>
      <tp>
        <v>5.7</v>
        <stp/>
        <stp>Market</stp>
        <stp>STOCK</stp>
        <stp>19820.T</stp>
        <stp>信用倍率</stp>
        <tr r="O40" s="1"/>
      </tp>
      <tp>
        <v>0</v>
        <stp/>
        <stp>Market</stp>
        <stp>STOCK</stp>
        <stp>19810.T</stp>
        <stp>信用倍率</stp>
        <tr r="O39" s="1"/>
      </tp>
      <tp>
        <v>11.39</v>
        <stp/>
        <stp>Market</stp>
        <stp>STOCK</stp>
        <stp>19800.T</stp>
        <stp>信用倍率</stp>
        <tr r="O38" s="1"/>
      </tp>
      <tp>
        <v>0</v>
        <stp/>
        <stp>Market</stp>
        <stp>STOCK</stp>
        <stp>19970.T</stp>
        <stp>信用倍率</stp>
        <tr r="O44" s="1"/>
      </tp>
      <tp>
        <v>0</v>
        <stp/>
        <stp>Market</stp>
        <stp>STOCK</stp>
        <stp>19940.T</stp>
        <stp>信用倍率</stp>
        <tr r="O43" s="1"/>
      </tp>
      <tp>
        <v>0</v>
        <stp/>
        <stp>Market</stp>
        <stp>STOCK</stp>
        <stp>19920.T</stp>
        <stp>信用倍率</stp>
        <tr r="O42" s="1"/>
      </tp>
      <tp>
        <v>0</v>
        <stp/>
        <stp>Market</stp>
        <stp>STOCK</stp>
        <stp>194A0.T</stp>
        <stp>信用倍率</stp>
        <tr r="O17" s="1"/>
      </tp>
      <tp>
        <v>0</v>
        <stp/>
        <stp>Market</stp>
        <stp>STOCK</stp>
        <stp>19490.T</stp>
        <stp>信用倍率</stp>
        <tr r="O16" s="1"/>
      </tp>
      <tp>
        <v>0</v>
        <stp/>
        <stp>Market</stp>
        <stp>STOCK</stp>
        <stp>19480.T</stp>
        <stp>信用倍率</stp>
        <tr r="O15" s="1"/>
      </tp>
      <tp>
        <v>12.85</v>
        <stp/>
        <stp>Market</stp>
        <stp>STOCK</stp>
        <stp>19460.T</stp>
        <stp>信用倍率</stp>
        <tr r="O14" s="1"/>
      </tp>
      <tp>
        <v>1.1499999999999999</v>
        <stp/>
        <stp>Market</stp>
        <stp>STOCK</stp>
        <stp>19450.T</stp>
        <stp>信用倍率</stp>
        <tr r="O13" s="1"/>
      </tp>
      <tp>
        <v>3.67</v>
        <stp/>
        <stp>Market</stp>
        <stp>STOCK</stp>
        <stp>19440.T</stp>
        <stp>信用倍率</stp>
        <tr r="O12" s="1"/>
      </tp>
      <tp>
        <v>1.54</v>
        <stp/>
        <stp>Market</stp>
        <stp>STOCK</stp>
        <stp>19420.T</stp>
        <stp>信用倍率</stp>
        <tr r="O11" s="1"/>
      </tp>
      <tp>
        <v>5.64</v>
        <stp/>
        <stp>Market</stp>
        <stp>STOCK</stp>
        <stp>19410.T</stp>
        <stp>信用倍率</stp>
        <tr r="O10" s="1"/>
      </tp>
      <tp>
        <v>95.05</v>
        <stp/>
        <stp>Market</stp>
        <stp>STOCK</stp>
        <stp>195A0.T</stp>
        <stp>信用倍率</stp>
        <tr r="O22" s="1"/>
      </tp>
      <tp>
        <v>4.9800000000000004</v>
        <stp/>
        <stp>Market</stp>
        <stp>STOCK</stp>
        <stp>19590.T</stp>
        <stp>信用倍率</stp>
        <tr r="O21" s="1"/>
      </tp>
      <tp>
        <v>11.31</v>
        <stp/>
        <stp>Market</stp>
        <stp>STOCK</stp>
        <stp>19520.T</stp>
        <stp>信用倍率</stp>
        <tr r="O20" s="1"/>
      </tp>
      <tp>
        <v>6.15</v>
        <stp/>
        <stp>Market</stp>
        <stp>STOCK</stp>
        <stp>19510.T</stp>
        <stp>信用倍率</stp>
        <tr r="O19" s="1"/>
      </tp>
      <tp>
        <v>5.76</v>
        <stp/>
        <stp>Market</stp>
        <stp>STOCK</stp>
        <stp>19500.T</stp>
        <stp>信用倍率</stp>
        <tr r="O18" s="1"/>
      </tp>
      <tp>
        <v>0</v>
        <stp/>
        <stp>Market</stp>
        <stp>STOCK</stp>
        <stp>196A0.T</stp>
        <stp>信用倍率</stp>
        <tr r="O32" s="1"/>
      </tp>
      <tp>
        <v>10.73</v>
        <stp/>
        <stp>Market</stp>
        <stp>STOCK</stp>
        <stp>19690.T</stp>
        <stp>信用倍率</stp>
        <tr r="O31" s="1"/>
      </tp>
      <tp>
        <v>14.55</v>
        <stp/>
        <stp>Market</stp>
        <stp>STOCK</stp>
        <stp>19680.T</stp>
        <stp>信用倍率</stp>
        <tr r="O30" s="1"/>
      </tp>
      <tp>
        <v>24</v>
        <stp/>
        <stp>Market</stp>
        <stp>STOCK</stp>
        <stp>19670.T</stp>
        <stp>信用倍率</stp>
        <tr r="O29" s="1"/>
      </tp>
      <tp>
        <v>35.96</v>
        <stp/>
        <stp>Market</stp>
        <stp>STOCK</stp>
        <stp>19660.T</stp>
        <stp>信用倍率</stp>
        <tr r="O28" s="1"/>
      </tp>
      <tp>
        <v>10.74</v>
        <stp/>
        <stp>Market</stp>
        <stp>STOCK</stp>
        <stp>19650.T</stp>
        <stp>信用倍率</stp>
        <tr r="O27" s="1"/>
      </tp>
      <tp>
        <v>9.5500000000000007</v>
        <stp/>
        <stp>Market</stp>
        <stp>STOCK</stp>
        <stp>19640.T</stp>
        <stp>信用倍率</stp>
        <tr r="O26" s="1"/>
      </tp>
      <tp>
        <v>16.16</v>
        <stp/>
        <stp>Market</stp>
        <stp>STOCK</stp>
        <stp>19630.T</stp>
        <stp>信用倍率</stp>
        <tr r="O25" s="1"/>
      </tp>
      <tp>
        <v>6.95</v>
        <stp/>
        <stp>Market</stp>
        <stp>STOCK</stp>
        <stp>19610.T</stp>
        <stp>信用倍率</stp>
        <tr r="O24" s="1"/>
      </tp>
      <tp>
        <v>0</v>
        <stp/>
        <stp>Market</stp>
        <stp>STOCK</stp>
        <stp>19600.T</stp>
        <stp>信用倍率</stp>
        <tr r="O23" s="1"/>
      </tp>
      <tp>
        <v>18.829999999999998</v>
        <stp/>
        <stp>Market</stp>
        <stp>STOCK</stp>
        <stp>197A0.T</stp>
        <stp>信用倍率</stp>
        <tr r="O37" s="1"/>
      </tp>
      <tp>
        <v>2.8</v>
        <stp/>
        <stp>Market</stp>
        <stp>STOCK</stp>
        <stp>19790.T</stp>
        <stp>信用倍率</stp>
        <tr r="O36" s="1"/>
      </tp>
      <tp>
        <v>0.72</v>
        <stp/>
        <stp>Market</stp>
        <stp>STOCK</stp>
        <stp>19760.T</stp>
        <stp>信用倍率</stp>
        <tr r="O35" s="1"/>
      </tp>
      <tp>
        <v>7.86</v>
        <stp/>
        <stp>Market</stp>
        <stp>STOCK</stp>
        <stp>19750.T</stp>
        <stp>信用倍率</stp>
        <tr r="O34" s="1"/>
      </tp>
      <tp>
        <v>165.24</v>
        <stp/>
        <stp>Market</stp>
        <stp>STOCK</stp>
        <stp>19720.T</stp>
        <stp>信用倍率</stp>
        <tr r="O33" s="1"/>
      </tp>
      <tp>
        <v>0</v>
        <stp/>
        <stp>Market</stp>
        <stp>STOCK</stp>
        <stp>192A0.T</stp>
        <stp>信用倍率</stp>
        <tr r="O5" s="1"/>
      </tp>
      <tp>
        <v>4.4000000000000004</v>
        <stp/>
        <stp>Market</stp>
        <stp>STOCK</stp>
        <stp>19290.T</stp>
        <stp>信用倍率</stp>
        <tr r="O4" s="1"/>
      </tp>
      <tp>
        <v>5.46</v>
        <stp/>
        <stp>Market</stp>
        <stp>STOCK</stp>
        <stp>19280.T</stp>
        <stp>信用倍率</stp>
        <tr r="O3" s="1"/>
      </tp>
      <tp>
        <v>8.6199999999999992</v>
        <stp/>
        <stp>Market</stp>
        <stp>STOCK</stp>
        <stp>19260.T</stp>
        <stp>信用倍率</stp>
        <tr r="O2" s="1"/>
      </tp>
      <tp>
        <v>14.53</v>
        <stp/>
        <stp>Market</stp>
        <stp>STOCK</stp>
        <stp>19390.T</stp>
        <stp>信用倍率</stp>
        <tr r="O9" s="1"/>
      </tp>
      <tp>
        <v>2.44</v>
        <stp/>
        <stp>Market</stp>
        <stp>STOCK</stp>
        <stp>19380.T</stp>
        <stp>信用倍率</stp>
        <tr r="O8" s="1"/>
      </tp>
      <tp>
        <v>5.42</v>
        <stp/>
        <stp>Market</stp>
        <stp>STOCK</stp>
        <stp>19340.T</stp>
        <stp>信用倍率</stp>
        <tr r="O7" s="1"/>
      </tp>
      <tp>
        <v>17.989999999999998</v>
        <stp/>
        <stp>Market</stp>
        <stp>STOCK</stp>
        <stp>19300.T</stp>
        <stp>信用倍率</stp>
        <tr r="O6" s="1"/>
      </tp>
      <tp>
        <v>816200</v>
        <stp/>
        <stp>Market</stp>
        <stp>STOCK</stp>
        <stp>219A0.T</stp>
        <stp>信用売残</stp>
        <tr r="K104" s="1"/>
      </tp>
      <tp>
        <v>1033100</v>
        <stp/>
        <stp>Market</stp>
        <stp>STOCK</stp>
        <stp>21930.T</stp>
        <stp>信用売残</stp>
        <tr r="K100" s="1"/>
      </tp>
      <tp>
        <v>16500</v>
        <stp/>
        <stp>Market</stp>
        <stp>STOCK</stp>
        <stp>21960.T</stp>
        <stp>信用売残</stp>
        <tr r="K102" s="1"/>
      </tp>
      <tp t="s">
        <v>-</v>
        <stp/>
        <stp>Market</stp>
        <stp>STOCK</stp>
        <stp>21950.T</stp>
        <stp>信用売残</stp>
        <tr r="K101" s="1"/>
      </tp>
      <tp>
        <v>16800</v>
        <stp/>
        <stp>Market</stp>
        <stp>STOCK</stp>
        <stp>21980.T</stp>
        <stp>信用売残</stp>
        <tr r="K103" s="1"/>
      </tp>
      <tp>
        <v>400</v>
        <stp/>
        <stp>Market</stp>
        <stp>STOCK</stp>
        <stp>218A0.T</stp>
        <stp>信用売残</stp>
        <tr r="K99" s="1"/>
      </tp>
      <tp t="s">
        <v>-</v>
        <stp/>
        <stp>Market</stp>
        <stp>STOCK</stp>
        <stp>21830.T</stp>
        <stp>信用売残</stp>
        <tr r="K96" s="1"/>
      </tp>
      <tp>
        <v>283800</v>
        <stp/>
        <stp>Market</stp>
        <stp>STOCK</stp>
        <stp>21810.T</stp>
        <stp>信用売残</stp>
        <tr r="K95" s="1"/>
      </tp>
      <tp t="s">
        <v>-</v>
        <stp/>
        <stp>Market</stp>
        <stp>STOCK</stp>
        <stp>21800.T</stp>
        <stp>信用売残</stp>
        <tr r="K94" s="1"/>
      </tp>
      <tp t="s">
        <v>-</v>
        <stp/>
        <stp>Market</stp>
        <stp>STOCK</stp>
        <stp>21860.T</stp>
        <stp>信用売残</stp>
        <tr r="K98" s="1"/>
      </tp>
      <tp t="s">
        <v>-</v>
        <stp/>
        <stp>Market</stp>
        <stp>STOCK</stp>
        <stp>21850.T</stp>
        <stp>信用売残</stp>
        <tr r="K97" s="1"/>
      </tp>
      <tp>
        <v>7400</v>
        <stp/>
        <stp>Market</stp>
        <stp>STOCK</stp>
        <stp>21300.T</stp>
        <stp>信用売残</stp>
        <tr r="K69" s="1"/>
      </tp>
      <tp t="s">
        <v>-</v>
        <stp/>
        <stp>Market</stp>
        <stp>STOCK</stp>
        <stp>21360.T</stp>
        <stp>信用売残</stp>
        <tr r="K71" s="1"/>
      </tp>
      <tp t="s">
        <v>-</v>
        <stp/>
        <stp>Market</stp>
        <stp>STOCK</stp>
        <stp>21340.T</stp>
        <stp>信用売残</stp>
        <tr r="K70" s="1"/>
      </tp>
      <tp>
        <v>10300</v>
        <stp/>
        <stp>Market</stp>
        <stp>STOCK</stp>
        <stp>21390.T</stp>
        <stp>信用売残</stp>
        <tr r="K73" s="1"/>
      </tp>
      <tp>
        <v>36700</v>
        <stp/>
        <stp>Market</stp>
        <stp>STOCK</stp>
        <stp>21380.T</stp>
        <stp>信用売残</stp>
        <tr r="K72" s="1"/>
      </tp>
      <tp>
        <v>2900</v>
        <stp/>
        <stp>Market</stp>
        <stp>STOCK</stp>
        <stp>212A0.T</stp>
        <stp>信用売残</stp>
        <tr r="K68" s="1"/>
      </tp>
      <tp t="s">
        <v>-</v>
        <stp/>
        <stp>Market</stp>
        <stp>STOCK</stp>
        <stp>21220.T</stp>
        <stp>信用売残</stp>
        <tr r="K65" s="1"/>
      </tp>
      <tp>
        <v>17600</v>
        <stp/>
        <stp>Market</stp>
        <stp>STOCK</stp>
        <stp>21210.T</stp>
        <stp>信用売残</stp>
        <tr r="K64" s="1"/>
      </tp>
      <tp>
        <v>1085600</v>
        <stp/>
        <stp>Market</stp>
        <stp>STOCK</stp>
        <stp>21200.T</stp>
        <stp>信用売残</stp>
        <tr r="K63" s="1"/>
      </tp>
      <tp>
        <v>202800</v>
        <stp/>
        <stp>Market</stp>
        <stp>STOCK</stp>
        <stp>21270.T</stp>
        <stp>信用売残</stp>
        <tr r="K67" s="1"/>
      </tp>
      <tp>
        <v>49100</v>
        <stp/>
        <stp>Market</stp>
        <stp>STOCK</stp>
        <stp>21240.T</stp>
        <stp>信用売残</stp>
        <tr r="K66" s="1"/>
      </tp>
      <tp t="s">
        <v>-</v>
        <stp/>
        <stp>Market</stp>
        <stp>STOCK</stp>
        <stp>211A0.T</stp>
        <stp>信用売残</stp>
        <tr r="K62" s="1"/>
      </tp>
      <tp>
        <v>8600</v>
        <stp/>
        <stp>Market</stp>
        <stp>STOCK</stp>
        <stp>21120.T</stp>
        <stp>信用売残</stp>
        <tr r="K59" s="1"/>
      </tp>
      <tp>
        <v>8600</v>
        <stp/>
        <stp>Market</stp>
        <stp>STOCK</stp>
        <stp>21170.T</stp>
        <stp>信用売残</stp>
        <tr r="K61" s="1"/>
      </tp>
      <tp>
        <v>3200</v>
        <stp/>
        <stp>Market</stp>
        <stp>STOCK</stp>
        <stp>21140.T</stp>
        <stp>信用売残</stp>
        <tr r="K60" s="1"/>
      </tp>
      <tp>
        <v>4800</v>
        <stp/>
        <stp>Market</stp>
        <stp>STOCK</stp>
        <stp>21090.T</stp>
        <stp>信用売残</stp>
        <tr r="K58" s="1"/>
      </tp>
      <tp>
        <v>34000</v>
        <stp/>
        <stp>Market</stp>
        <stp>STOCK</stp>
        <stp>21080.T</stp>
        <stp>信用売残</stp>
        <tr r="K57" s="1"/>
      </tp>
      <tp>
        <v>37100</v>
        <stp/>
        <stp>Market</stp>
        <stp>STOCK</stp>
        <stp>21730.T</stp>
        <stp>信用売残</stp>
        <tr r="K91" s="1"/>
      </tp>
      <tp>
        <v>300700</v>
        <stp/>
        <stp>Market</stp>
        <stp>STOCK</stp>
        <stp>21700.T</stp>
        <stp>信用売残</stp>
        <tr r="K90" s="1"/>
      </tp>
      <tp>
        <v>128300</v>
        <stp/>
        <stp>Market</stp>
        <stp>STOCK</stp>
        <stp>21750.T</stp>
        <stp>信用売残</stp>
        <tr r="K92" s="1"/>
      </tp>
      <tp>
        <v>0</v>
        <stp/>
        <stp>Market</stp>
        <stp>STOCK</stp>
        <stp>21790.T</stp>
        <stp>信用売残</stp>
        <tr r="K93" s="1"/>
      </tp>
      <tp t="s">
        <v>-</v>
        <stp/>
        <stp>Market</stp>
        <stp>STOCK</stp>
        <stp>21630.T</stp>
        <stp>信用売残</stp>
        <tr r="K86" s="1"/>
      </tp>
      <tp>
        <v>10200</v>
        <stp/>
        <stp>Market</stp>
        <stp>STOCK</stp>
        <stp>21620.T</stp>
        <stp>信用売残</stp>
        <tr r="K85" s="1"/>
      </tp>
      <tp>
        <v>645400</v>
        <stp/>
        <stp>Market</stp>
        <stp>STOCK</stp>
        <stp>21600.T</stp>
        <stp>信用売残</stp>
        <tr r="K84" s="1"/>
      </tp>
      <tp t="s">
        <v>-</v>
        <stp/>
        <stp>Market</stp>
        <stp>STOCK</stp>
        <stp>21640.T</stp>
        <stp>信用売残</stp>
        <tr r="K87" s="1"/>
      </tp>
      <tp>
        <v>500</v>
        <stp/>
        <stp>Market</stp>
        <stp>STOCK</stp>
        <stp>21690.T</stp>
        <stp>信用売残</stp>
        <tr r="K89" s="1"/>
      </tp>
      <tp>
        <v>92500</v>
        <stp/>
        <stp>Market</stp>
        <stp>STOCK</stp>
        <stp>21680.T</stp>
        <stp>信用売残</stp>
        <tr r="K88" s="1"/>
      </tp>
      <tp>
        <v>2406200</v>
        <stp/>
        <stp>Market</stp>
        <stp>STOCK</stp>
        <stp>215A0.T</stp>
        <stp>信用売残</stp>
        <tr r="K83" s="1"/>
      </tp>
      <tp>
        <v>1200</v>
        <stp/>
        <stp>Market</stp>
        <stp>STOCK</stp>
        <stp>21530.T</stp>
        <stp>信用売残</stp>
        <tr r="K78" s="1"/>
      </tp>
      <tp t="s">
        <v>-</v>
        <stp/>
        <stp>Market</stp>
        <stp>STOCK</stp>
        <stp>21520.T</stp>
        <stp>信用売残</stp>
        <tr r="K77" s="1"/>
      </tp>
      <tp t="s">
        <v/>
        <stp/>
        <stp>Market</stp>
        <stp>STOCK</stp>
        <stp>21500.T</stp>
        <stp>信用売残</stp>
        <tr r="K76" s="1"/>
      </tp>
      <tp>
        <v>43000</v>
        <stp/>
        <stp>Market</stp>
        <stp>STOCK</stp>
        <stp>21570.T</stp>
        <stp>信用売残</stp>
        <tr r="K81" s="1"/>
      </tp>
      <tp t="s">
        <v>-</v>
        <stp/>
        <stp>Market</stp>
        <stp>STOCK</stp>
        <stp>21560.T</stp>
        <stp>信用売残</stp>
        <tr r="K80" s="1"/>
      </tp>
      <tp>
        <v>27600</v>
        <stp/>
        <stp>Market</stp>
        <stp>STOCK</stp>
        <stp>21540.T</stp>
        <stp>信用売残</stp>
        <tr r="K79" s="1"/>
      </tp>
      <tp t="s">
        <v>-</v>
        <stp/>
        <stp>Market</stp>
        <stp>STOCK</stp>
        <stp>21580.T</stp>
        <stp>信用売残</stp>
        <tr r="K82" s="1"/>
      </tp>
      <tp>
        <v>1142300</v>
        <stp/>
        <stp>Market</stp>
        <stp>STOCK</stp>
        <stp>21460.T</stp>
        <stp>信用売残</stp>
        <tr r="K74" s="1"/>
      </tp>
      <tp>
        <v>9200</v>
        <stp/>
        <stp>Market</stp>
        <stp>STOCK</stp>
        <stp>21480.T</stp>
        <stp>信用売残</stp>
        <tr r="K75" s="1"/>
      </tp>
      <tp t="s">
        <v>-</v>
        <stp/>
        <stp>Market</stp>
        <stp>STOCK</stp>
        <stp>22930.T</stp>
        <stp>信用売残</stp>
        <tr r="K136" s="1"/>
      </tp>
      <tp>
        <v>10300</v>
        <stp/>
        <stp>Market</stp>
        <stp>STOCK</stp>
        <stp>22920.T</stp>
        <stp>信用売残</stp>
        <tr r="K135" s="1"/>
      </tp>
      <tp>
        <v>26900</v>
        <stp/>
        <stp>Market</stp>
        <stp>STOCK</stp>
        <stp>22910.T</stp>
        <stp>信用売残</stp>
        <tr r="K134" s="1"/>
      </tp>
      <tp>
        <v>81100</v>
        <stp/>
        <stp>Market</stp>
        <stp>STOCK</stp>
        <stp>22960.T</stp>
        <stp>信用売残</stp>
        <tr r="K138" s="1"/>
      </tp>
      <tp>
        <v>35200</v>
        <stp/>
        <stp>Market</stp>
        <stp>STOCK</stp>
        <stp>22940.T</stp>
        <stp>信用売残</stp>
        <tr r="K137" s="1"/>
      </tp>
      <tp t="s">
        <v>-</v>
        <stp/>
        <stp>Market</stp>
        <stp>STOCK</stp>
        <stp>228A0.T</stp>
        <stp>信用売残</stp>
        <tr r="K133" s="1"/>
      </tp>
      <tp>
        <v>255300</v>
        <stp/>
        <stp>Market</stp>
        <stp>STOCK</stp>
        <stp>22820.T</stp>
        <stp>信用売残</stp>
        <tr r="K130" s="1"/>
      </tp>
      <tp>
        <v>65300</v>
        <stp/>
        <stp>Market</stp>
        <stp>STOCK</stp>
        <stp>22810.T</stp>
        <stp>信用売残</stp>
        <tr r="K129" s="1"/>
      </tp>
      <tp>
        <v>5500</v>
        <stp/>
        <stp>Market</stp>
        <stp>STOCK</stp>
        <stp>22860.T</stp>
        <stp>信用売残</stp>
        <tr r="K131" s="1"/>
      </tp>
      <tp>
        <v>218000</v>
        <stp/>
        <stp>Market</stp>
        <stp>STOCK</stp>
        <stp>22880.T</stp>
        <stp>信用売残</stp>
        <tr r="K132" s="1"/>
      </tp>
      <tp>
        <v>175700</v>
        <stp/>
        <stp>Market</stp>
        <stp>STOCK</stp>
        <stp>22220.T</stp>
        <stp>信用売残</stp>
        <tr r="K119" s="1"/>
      </tp>
      <tp t="s">
        <v>-</v>
        <stp/>
        <stp>Market</stp>
        <stp>STOCK</stp>
        <stp>22210.T</stp>
        <stp>信用売残</stp>
        <tr r="K118" s="1"/>
      </tp>
      <tp>
        <v>12400</v>
        <stp/>
        <stp>Market</stp>
        <stp>STOCK</stp>
        <stp>22200.T</stp>
        <stp>信用売残</stp>
        <tr r="K117" s="1"/>
      </tp>
      <tp>
        <v>2500</v>
        <stp/>
        <stp>Market</stp>
        <stp>STOCK</stp>
        <stp>22260.T</stp>
        <stp>信用売残</stp>
        <tr r="K121" s="1"/>
      </tp>
      <tp t="s">
        <v>-</v>
        <stp/>
        <stp>Market</stp>
        <stp>STOCK</stp>
        <stp>22240.T</stp>
        <stp>信用売残</stp>
        <tr r="K120" s="1"/>
      </tp>
      <tp>
        <v>62900</v>
        <stp/>
        <stp>Market</stp>
        <stp>STOCK</stp>
        <stp>22290.T</stp>
        <stp>信用売残</stp>
        <tr r="K122" s="1"/>
      </tp>
      <tp>
        <v>66300</v>
        <stp/>
        <stp>Market</stp>
        <stp>STOCK</stp>
        <stp>22120.T</stp>
        <stp>信用売残</stp>
        <tr r="K113" s="1"/>
      </tp>
      <tp>
        <v>76100</v>
        <stp/>
        <stp>Market</stp>
        <stp>STOCK</stp>
        <stp>22110.T</stp>
        <stp>信用売残</stp>
        <tr r="K112" s="1"/>
      </tp>
      <tp>
        <v>99800</v>
        <stp/>
        <stp>Market</stp>
        <stp>STOCK</stp>
        <stp>22170.T</stp>
        <stp>信用売残</stp>
        <tr r="K116" s="1"/>
      </tp>
      <tp>
        <v>33200</v>
        <stp/>
        <stp>Market</stp>
        <stp>STOCK</stp>
        <stp>22160.T</stp>
        <stp>信用売残</stp>
        <tr r="K115" s="1"/>
      </tp>
      <tp>
        <v>3500</v>
        <stp/>
        <stp>Market</stp>
        <stp>STOCK</stp>
        <stp>22150.T</stp>
        <stp>信用売残</stp>
        <tr r="K114" s="1"/>
      </tp>
      <tp t="s">
        <v>-</v>
        <stp/>
        <stp>Market</stp>
        <stp>STOCK</stp>
        <stp>220A0.T</stp>
        <stp>信用売残</stp>
        <tr r="K111" s="1"/>
      </tp>
      <tp>
        <v>17700</v>
        <stp/>
        <stp>Market</stp>
        <stp>STOCK</stp>
        <stp>22010.T</stp>
        <stp>信用売残</stp>
        <tr r="K105" s="1"/>
      </tp>
      <tp>
        <v>89300</v>
        <stp/>
        <stp>Market</stp>
        <stp>STOCK</stp>
        <stp>22070.T</stp>
        <stp>信用売残</stp>
        <tr r="K108" s="1"/>
      </tp>
      <tp>
        <v>87200</v>
        <stp/>
        <stp>Market</stp>
        <stp>STOCK</stp>
        <stp>22060.T</stp>
        <stp>信用売残</stp>
        <tr r="K107" s="1"/>
      </tp>
      <tp>
        <v>6500</v>
        <stp/>
        <stp>Market</stp>
        <stp>STOCK</stp>
        <stp>22040.T</stp>
        <stp>信用売残</stp>
        <tr r="K106" s="1"/>
      </tp>
      <tp>
        <v>1700</v>
        <stp/>
        <stp>Market</stp>
        <stp>STOCK</stp>
        <stp>22090.T</stp>
        <stp>信用売残</stp>
        <tr r="K110" s="1"/>
      </tp>
      <tp t="s">
        <v>-</v>
        <stp/>
        <stp>Market</stp>
        <stp>STOCK</stp>
        <stp>22080.T</stp>
        <stp>信用売残</stp>
        <tr r="K109" s="1"/>
      </tp>
      <tp>
        <v>31000</v>
        <stp/>
        <stp>Market</stp>
        <stp>STOCK</stp>
        <stp>22700.T</stp>
        <stp>信用売残</stp>
        <tr r="K128" s="1"/>
      </tp>
      <tp>
        <v>113900</v>
        <stp/>
        <stp>Market</stp>
        <stp>STOCK</stp>
        <stp>22670.T</stp>
        <stp>信用売残</stp>
        <tr r="K125" s="1"/>
      </tp>
      <tp>
        <v>25900</v>
        <stp/>
        <stp>Market</stp>
        <stp>STOCK</stp>
        <stp>22660.T</stp>
        <stp>信用売残</stp>
        <tr r="K124" s="1"/>
      </tp>
      <tp>
        <v>16100</v>
        <stp/>
        <stp>Market</stp>
        <stp>STOCK</stp>
        <stp>22640.T</stp>
        <stp>信用売残</stp>
        <tr r="K123" s="1"/>
      </tp>
      <tp>
        <v>109500</v>
        <stp/>
        <stp>Market</stp>
        <stp>STOCK</stp>
        <stp>22690.T</stp>
        <stp>信用売残</stp>
        <tr r="K127" s="1"/>
      </tp>
      <tp t="s">
        <v>-</v>
        <stp/>
        <stp>Market</stp>
        <stp>STOCK</stp>
        <stp>22680.T</stp>
        <stp>信用売残</stp>
        <tr r="K126" s="1"/>
      </tp>
      <tp t="s">
        <v>-</v>
        <stp/>
        <stp>Market</stp>
        <stp>STOCK</stp>
        <stp>23230.T</stp>
        <stp>信用売残</stp>
        <tr r="K149" s="1"/>
      </tp>
      <tp t="s">
        <v>-</v>
        <stp/>
        <stp>Market</stp>
        <stp>STOCK</stp>
        <stp>23210.T</stp>
        <stp>信用売残</stp>
        <tr r="K148" s="1"/>
      </tp>
      <tp>
        <v>28900</v>
        <stp/>
        <stp>Market</stp>
        <stp>STOCK</stp>
        <stp>23260.T</stp>
        <stp>信用売残</stp>
        <tr r="K151" s="1"/>
      </tp>
      <tp>
        <v>33300</v>
        <stp/>
        <stp>Market</stp>
        <stp>STOCK</stp>
        <stp>23250.T</stp>
        <stp>信用売残</stp>
        <tr r="K150" s="1"/>
      </tp>
      <tp t="s">
        <v>-</v>
        <stp/>
        <stp>Market</stp>
        <stp>STOCK</stp>
        <stp>23110.T</stp>
        <stp>信用売残</stp>
        <tr r="K145" s="1"/>
      </tp>
      <tp>
        <v>169800</v>
        <stp/>
        <stp>Market</stp>
        <stp>STOCK</stp>
        <stp>23170.T</stp>
        <stp>信用売残</stp>
        <tr r="K147" s="1"/>
      </tp>
      <tp>
        <v>1842100</v>
        <stp/>
        <stp>Market</stp>
        <stp>STOCK</stp>
        <stp>23150.T</stp>
        <stp>信用売残</stp>
        <tr r="K146" s="1"/>
      </tp>
      <tp t="s">
        <v>-</v>
        <stp/>
        <stp>Market</stp>
        <stp>STOCK</stp>
        <stp>23030.T</stp>
        <stp>信用売残</stp>
        <tr r="K141" s="1"/>
      </tp>
      <tp>
        <v>6700</v>
        <stp/>
        <stp>Market</stp>
        <stp>STOCK</stp>
        <stp>23010.T</stp>
        <stp>信用売残</stp>
        <tr r="K140" s="1"/>
      </tp>
      <tp t="s">
        <v>-</v>
        <stp/>
        <stp>Market</stp>
        <stp>STOCK</stp>
        <stp>23000.T</stp>
        <stp>信用売残</stp>
        <tr r="K139" s="1"/>
      </tp>
      <tp t="s">
        <v>-</v>
        <stp/>
        <stp>Market</stp>
        <stp>STOCK</stp>
        <stp>23070.T</stp>
        <stp>信用売残</stp>
        <tr r="K144" s="1"/>
      </tp>
      <tp>
        <v>32300</v>
        <stp/>
        <stp>Market</stp>
        <stp>STOCK</stp>
        <stp>23050.T</stp>
        <stp>信用売残</stp>
        <tr r="K143" s="1"/>
      </tp>
      <tp>
        <v>1100</v>
        <stp/>
        <stp>Market</stp>
        <stp>STOCK</stp>
        <stp>23040.T</stp>
        <stp>信用売残</stp>
        <tr r="K142" s="1"/>
      </tp>
    </main>
    <main first="rtdsrv.b2353dc584914e4193ea525a6339afd4">
      <tp t="s">
        <v>2026/03/05</v>
        <stp/>
        <stp>Market</stp>
        <stp>STOCK</stp>
        <stp>21980.T</stp>
        <stp>現在日付</stp>
        <tr r="D103" s="1"/>
      </tp>
      <tp t="s">
        <v>2026/03/05</v>
        <stp/>
        <stp>Market</stp>
        <stp>STOCK</stp>
        <stp>21950.T</stp>
        <stp>現在日付</stp>
        <tr r="D101" s="1"/>
      </tp>
      <tp t="s">
        <v>2026/03/05</v>
        <stp/>
        <stp>Market</stp>
        <stp>STOCK</stp>
        <stp>21960.T</stp>
        <stp>現在日付</stp>
        <tr r="D102" s="1"/>
      </tp>
      <tp t="s">
        <v>2026/03/05</v>
        <stp/>
        <stp>Market</stp>
        <stp>STOCK</stp>
        <stp>21930.T</stp>
        <stp>現在日付</stp>
        <tr r="D100" s="1"/>
      </tp>
      <tp t="s">
        <v>2026/03/05</v>
        <stp/>
        <stp>Market</stp>
        <stp>STOCK</stp>
        <stp>219A0.T</stp>
        <stp>現在日付</stp>
        <tr r="D104" s="1"/>
      </tp>
      <tp t="s">
        <v>2026/03/05</v>
        <stp/>
        <stp>Market</stp>
        <stp>STOCK</stp>
        <stp>21850.T</stp>
        <stp>現在日付</stp>
        <tr r="D97" s="1"/>
      </tp>
      <tp t="s">
        <v>2026/03/05</v>
        <stp/>
        <stp>Market</stp>
        <stp>STOCK</stp>
        <stp>21860.T</stp>
        <stp>現在日付</stp>
        <tr r="D98" s="1"/>
      </tp>
      <tp t="s">
        <v>2026/03/05</v>
        <stp/>
        <stp>Market</stp>
        <stp>STOCK</stp>
        <stp>21800.T</stp>
        <stp>現在日付</stp>
        <tr r="D94" s="1"/>
      </tp>
      <tp t="s">
        <v>2026/03/05</v>
        <stp/>
        <stp>Market</stp>
        <stp>STOCK</stp>
        <stp>21810.T</stp>
        <stp>現在日付</stp>
        <tr r="D95" s="1"/>
      </tp>
      <tp t="s">
        <v>2026/03/05</v>
        <stp/>
        <stp>Market</stp>
        <stp>STOCK</stp>
        <stp>21830.T</stp>
        <stp>現在日付</stp>
        <tr r="D96" s="1"/>
      </tp>
      <tp t="s">
        <v>2026/03/05</v>
        <stp/>
        <stp>Market</stp>
        <stp>STOCK</stp>
        <stp>218A0.T</stp>
        <stp>現在日付</stp>
        <tr r="D99" s="1"/>
      </tp>
      <tp t="s">
        <v>2026/03/05</v>
        <stp/>
        <stp>Market</stp>
        <stp>STOCK</stp>
        <stp>21140.T</stp>
        <stp>現在日付</stp>
        <tr r="D60" s="1"/>
      </tp>
      <tp t="s">
        <v>2026/03/05</v>
        <stp/>
        <stp>Market</stp>
        <stp>STOCK</stp>
        <stp>21170.T</stp>
        <stp>現在日付</stp>
        <tr r="D61" s="1"/>
      </tp>
      <tp t="s">
        <v>2026/03/05</v>
        <stp/>
        <stp>Market</stp>
        <stp>STOCK</stp>
        <stp>21120.T</stp>
        <stp>現在日付</stp>
        <tr r="D59" s="1"/>
      </tp>
      <tp t="s">
        <v>2026/03/05</v>
        <stp/>
        <stp>Market</stp>
        <stp>STOCK</stp>
        <stp>211A0.T</stp>
        <stp>現在日付</stp>
        <tr r="D62" s="1"/>
      </tp>
      <tp t="s">
        <v>2026/03/05</v>
        <stp/>
        <stp>Market</stp>
        <stp>STOCK</stp>
        <stp>21080.T</stp>
        <stp>現在日付</stp>
        <tr r="D57" s="1"/>
      </tp>
      <tp t="s">
        <v>2026/03/05</v>
        <stp/>
        <stp>Market</stp>
        <stp>STOCK</stp>
        <stp>21090.T</stp>
        <stp>現在日付</stp>
        <tr r="D58" s="1"/>
      </tp>
      <tp t="s">
        <v>2026/03/05</v>
        <stp/>
        <stp>Market</stp>
        <stp>STOCK</stp>
        <stp>21380.T</stp>
        <stp>現在日付</stp>
        <tr r="D72" s="1"/>
      </tp>
      <tp t="s">
        <v>2026/03/05</v>
        <stp/>
        <stp>Market</stp>
        <stp>STOCK</stp>
        <stp>21390.T</stp>
        <stp>現在日付</stp>
        <tr r="D73" s="1"/>
      </tp>
      <tp t="s">
        <v>2026/03/05</v>
        <stp/>
        <stp>Market</stp>
        <stp>STOCK</stp>
        <stp>21340.T</stp>
        <stp>現在日付</stp>
        <tr r="D70" s="1"/>
      </tp>
      <tp t="s">
        <v>2026/03/05</v>
        <stp/>
        <stp>Market</stp>
        <stp>STOCK</stp>
        <stp>21360.T</stp>
        <stp>現在日付</stp>
        <tr r="D71" s="1"/>
      </tp>
      <tp t="s">
        <v>2026/03/05</v>
        <stp/>
        <stp>Market</stp>
        <stp>STOCK</stp>
        <stp>21300.T</stp>
        <stp>現在日付</stp>
        <tr r="D69" s="1"/>
      </tp>
      <tp t="s">
        <v>2026/03/05</v>
        <stp/>
        <stp>Market</stp>
        <stp>STOCK</stp>
        <stp>21240.T</stp>
        <stp>現在日付</stp>
        <tr r="D66" s="1"/>
      </tp>
      <tp t="s">
        <v>2026/03/05</v>
        <stp/>
        <stp>Market</stp>
        <stp>STOCK</stp>
        <stp>21270.T</stp>
        <stp>現在日付</stp>
        <tr r="D67" s="1"/>
      </tp>
      <tp t="s">
        <v>2026/03/05</v>
        <stp/>
        <stp>Market</stp>
        <stp>STOCK</stp>
        <stp>21200.T</stp>
        <stp>現在日付</stp>
        <tr r="D63" s="1"/>
      </tp>
      <tp t="s">
        <v>2026/03/05</v>
        <stp/>
        <stp>Market</stp>
        <stp>STOCK</stp>
        <stp>21210.T</stp>
        <stp>現在日付</stp>
        <tr r="D64" s="1"/>
      </tp>
      <tp t="s">
        <v>2026/03/05</v>
        <stp/>
        <stp>Market</stp>
        <stp>STOCK</stp>
        <stp>21220.T</stp>
        <stp>現在日付</stp>
        <tr r="D65" s="1"/>
      </tp>
      <tp t="s">
        <v>2026/03/05</v>
        <stp/>
        <stp>Market</stp>
        <stp>STOCK</stp>
        <stp>212A0.T</stp>
        <stp>現在日付</stp>
        <tr r="D68" s="1"/>
      </tp>
      <tp t="s">
        <v>2026/03/05</v>
        <stp/>
        <stp>Market</stp>
        <stp>STOCK</stp>
        <stp>21580.T</stp>
        <stp>現在日付</stp>
        <tr r="D82" s="1"/>
      </tp>
      <tp t="s">
        <v>2026/03/05</v>
        <stp/>
        <stp>Market</stp>
        <stp>STOCK</stp>
        <stp>21540.T</stp>
        <stp>現在日付</stp>
        <tr r="D79" s="1"/>
      </tp>
      <tp t="s">
        <v>2026/03/05</v>
        <stp/>
        <stp>Market</stp>
        <stp>STOCK</stp>
        <stp>21560.T</stp>
        <stp>現在日付</stp>
        <tr r="D80" s="1"/>
      </tp>
      <tp t="s">
        <v>2026/03/05</v>
        <stp/>
        <stp>Market</stp>
        <stp>STOCK</stp>
        <stp>21570.T</stp>
        <stp>現在日付</stp>
        <tr r="D81" s="1"/>
      </tp>
      <tp t="s">
        <v/>
        <stp/>
        <stp>Market</stp>
        <stp>STOCK</stp>
        <stp>21500.T</stp>
        <stp>現在日付</stp>
        <tr r="D76" s="1"/>
      </tp>
      <tp t="s">
        <v>2026/03/05</v>
        <stp/>
        <stp>Market</stp>
        <stp>STOCK</stp>
        <stp>21520.T</stp>
        <stp>現在日付</stp>
        <tr r="D77" s="1"/>
      </tp>
      <tp t="s">
        <v>2026/03/05</v>
        <stp/>
        <stp>Market</stp>
        <stp>STOCK</stp>
        <stp>21530.T</stp>
        <stp>現在日付</stp>
        <tr r="D78" s="1"/>
      </tp>
      <tp t="s">
        <v>2026/03/05</v>
        <stp/>
        <stp>Market</stp>
        <stp>STOCK</stp>
        <stp>215A0.T</stp>
        <stp>現在日付</stp>
        <tr r="D83" s="1"/>
      </tp>
      <tp t="s">
        <v>2026/03/05</v>
        <stp/>
        <stp>Market</stp>
        <stp>STOCK</stp>
        <stp>21480.T</stp>
        <stp>現在日付</stp>
        <tr r="D75" s="1"/>
      </tp>
      <tp t="s">
        <v>2026/03/05</v>
        <stp/>
        <stp>Market</stp>
        <stp>STOCK</stp>
        <stp>21460.T</stp>
        <stp>現在日付</stp>
        <tr r="D74" s="1"/>
      </tp>
      <tp t="s">
        <v>2026/03/05</v>
        <stp/>
        <stp>Market</stp>
        <stp>STOCK</stp>
        <stp>21790.T</stp>
        <stp>現在日付</stp>
        <tr r="D93" s="1"/>
      </tp>
      <tp t="s">
        <v>2026/03/05</v>
        <stp/>
        <stp>Market</stp>
        <stp>STOCK</stp>
        <stp>21750.T</stp>
        <stp>現在日付</stp>
        <tr r="D92" s="1"/>
      </tp>
      <tp t="s">
        <v>2026/03/05</v>
        <stp/>
        <stp>Market</stp>
        <stp>STOCK</stp>
        <stp>21700.T</stp>
        <stp>現在日付</stp>
        <tr r="D90" s="1"/>
      </tp>
      <tp t="s">
        <v>2026/03/05</v>
        <stp/>
        <stp>Market</stp>
        <stp>STOCK</stp>
        <stp>21730.T</stp>
        <stp>現在日付</stp>
        <tr r="D91" s="1"/>
      </tp>
      <tp t="s">
        <v>2026/03/05</v>
        <stp/>
        <stp>Market</stp>
        <stp>STOCK</stp>
        <stp>21680.T</stp>
        <stp>現在日付</stp>
        <tr r="D88" s="1"/>
      </tp>
      <tp t="s">
        <v>2026/03/05</v>
        <stp/>
        <stp>Market</stp>
        <stp>STOCK</stp>
        <stp>21690.T</stp>
        <stp>現在日付</stp>
        <tr r="D89" s="1"/>
      </tp>
      <tp t="s">
        <v>2026/03/05</v>
        <stp/>
        <stp>Market</stp>
        <stp>STOCK</stp>
        <stp>21640.T</stp>
        <stp>現在日付</stp>
        <tr r="D87" s="1"/>
      </tp>
      <tp t="s">
        <v>2026/03/05</v>
        <stp/>
        <stp>Market</stp>
        <stp>STOCK</stp>
        <stp>21600.T</stp>
        <stp>現在日付</stp>
        <tr r="D84" s="1"/>
      </tp>
      <tp t="s">
        <v>2026/03/05</v>
        <stp/>
        <stp>Market</stp>
        <stp>STOCK</stp>
        <stp>21620.T</stp>
        <stp>現在日付</stp>
        <tr r="D85" s="1"/>
      </tp>
      <tp t="s">
        <v>2026/03/05</v>
        <stp/>
        <stp>Market</stp>
        <stp>STOCK</stp>
        <stp>21630.T</stp>
        <stp>現在日付</stp>
        <tr r="D86" s="1"/>
      </tp>
      <tp t="s">
        <v>2026/03/05</v>
        <stp/>
        <stp>Market</stp>
        <stp>STOCK</stp>
        <stp>208A0.T</stp>
        <stp>現在日付</stp>
        <tr r="D56" s="1"/>
      </tp>
      <tp t="s">
        <v>2026/03/05</v>
        <stp/>
        <stp>Market</stp>
        <stp>STOCK</stp>
        <stp>20090.T</stp>
        <stp>現在日付</stp>
        <tr r="D49" s="1"/>
      </tp>
      <tp t="s">
        <v>2026/03/05</v>
        <stp/>
        <stp>Market</stp>
        <stp>STOCK</stp>
        <stp>20040.T</stp>
        <stp>現在日付</stp>
        <tr r="D48" s="1"/>
      </tp>
      <tp t="s">
        <v>2026/03/05</v>
        <stp/>
        <stp>Market</stp>
        <stp>STOCK</stp>
        <stp>20010.T</stp>
        <stp>現在日付</stp>
        <tr r="D45" s="1"/>
      </tp>
      <tp t="s">
        <v>2026/03/05</v>
        <stp/>
        <stp>Market</stp>
        <stp>STOCK</stp>
        <stp>20020.T</stp>
        <stp>現在日付</stp>
        <tr r="D46" s="1"/>
      </tp>
      <tp t="s">
        <v>2026/03/05</v>
        <stp/>
        <stp>Market</stp>
        <stp>STOCK</stp>
        <stp>20030.T</stp>
        <stp>現在日付</stp>
        <tr r="D47" s="1"/>
      </tp>
      <tp t="s">
        <v>2026/03/05</v>
        <stp/>
        <stp>Market</stp>
        <stp>STOCK</stp>
        <stp>202A0.T</stp>
        <stp>現在日付</stp>
        <tr r="D50" s="1"/>
      </tp>
      <tp t="s">
        <v>2026/03/05</v>
        <stp/>
        <stp>Market</stp>
        <stp>STOCK</stp>
        <stp>20550.T</stp>
        <stp>現在日付</stp>
        <tr r="D52" s="1"/>
      </tp>
      <tp t="s">
        <v>2026/03/05</v>
        <stp/>
        <stp>Market</stp>
        <stp>STOCK</stp>
        <stp>20530.T</stp>
        <stp>現在日付</stp>
        <tr r="D51" s="1"/>
      </tp>
      <tp t="s">
        <v>2026/03/05</v>
        <stp/>
        <stp>Market</stp>
        <stp>STOCK</stp>
        <stp>205A0.T</stp>
        <stp>現在日付</stp>
        <tr r="D53" s="1"/>
      </tp>
      <tp t="s">
        <v>2026/03/05</v>
        <stp/>
        <stp>Market</stp>
        <stp>STOCK</stp>
        <stp>20600.T</stp>
        <stp>現在日付</stp>
        <tr r="D54" s="1"/>
      </tp>
      <tp t="s">
        <v>2026/03/05</v>
        <stp/>
        <stp>Market</stp>
        <stp>STOCK</stp>
        <stp>206A0.T</stp>
        <stp>現在日付</stp>
        <tr r="D55" s="1"/>
      </tp>
      <tp t="s">
        <v>2026/03/05</v>
        <stp/>
        <stp>Market</stp>
        <stp>STOCK</stp>
        <stp>23150.T</stp>
        <stp>現在日付</stp>
        <tr r="D146" s="1"/>
      </tp>
      <tp t="s">
        <v>2026/03/05</v>
        <stp/>
        <stp>Market</stp>
        <stp>STOCK</stp>
        <stp>23170.T</stp>
        <stp>現在日付</stp>
        <tr r="D147" s="1"/>
      </tp>
      <tp t="s">
        <v>2026/03/05</v>
        <stp/>
        <stp>Market</stp>
        <stp>STOCK</stp>
        <stp>23110.T</stp>
        <stp>現在日付</stp>
        <tr r="D145" s="1"/>
      </tp>
      <tp t="s">
        <v>2026/03/05</v>
        <stp/>
        <stp>Market</stp>
        <stp>STOCK</stp>
        <stp>23040.T</stp>
        <stp>現在日付</stp>
        <tr r="D142" s="1"/>
      </tp>
      <tp t="s">
        <v>2026/03/05</v>
        <stp/>
        <stp>Market</stp>
        <stp>STOCK</stp>
        <stp>23050.T</stp>
        <stp>現在日付</stp>
        <tr r="D143" s="1"/>
      </tp>
      <tp t="s">
        <v>2026/03/05</v>
        <stp/>
        <stp>Market</stp>
        <stp>STOCK</stp>
        <stp>23070.T</stp>
        <stp>現在日付</stp>
        <tr r="D144" s="1"/>
      </tp>
      <tp t="s">
        <v>2026/03/05</v>
        <stp/>
        <stp>Market</stp>
        <stp>STOCK</stp>
        <stp>23000.T</stp>
        <stp>現在日付</stp>
        <tr r="D139" s="1"/>
      </tp>
      <tp t="s">
        <v>2026/03/05</v>
        <stp/>
        <stp>Market</stp>
        <stp>STOCK</stp>
        <stp>23010.T</stp>
        <stp>現在日付</stp>
        <tr r="D140" s="1"/>
      </tp>
      <tp t="s">
        <v>2026/03/05</v>
        <stp/>
        <stp>Market</stp>
        <stp>STOCK</stp>
        <stp>23030.T</stp>
        <stp>現在日付</stp>
        <tr r="D141" s="1"/>
      </tp>
      <tp t="s">
        <v>2026/03/05</v>
        <stp/>
        <stp>Market</stp>
        <stp>STOCK</stp>
        <stp>23250.T</stp>
        <stp>現在日付</stp>
        <tr r="D150" s="1"/>
      </tp>
      <tp t="s">
        <v>2026/03/05</v>
        <stp/>
        <stp>Market</stp>
        <stp>STOCK</stp>
        <stp>23260.T</stp>
        <stp>現在日付</stp>
        <tr r="D151" s="1"/>
      </tp>
      <tp t="s">
        <v>2026/03/05</v>
        <stp/>
        <stp>Market</stp>
        <stp>STOCK</stp>
        <stp>23210.T</stp>
        <stp>現在日付</stp>
        <tr r="D148" s="1"/>
      </tp>
      <tp t="s">
        <v>2026/03/05</v>
        <stp/>
        <stp>Market</stp>
        <stp>STOCK</stp>
        <stp>23230.T</stp>
        <stp>現在日付</stp>
        <tr r="D149" s="1"/>
      </tp>
      <tp t="s">
        <v>2026/03/05</v>
        <stp/>
        <stp>Market</stp>
        <stp>STOCK</stp>
        <stp>22940.T</stp>
        <stp>現在日付</stp>
        <tr r="D137" s="1"/>
      </tp>
      <tp t="s">
        <v>2026/03/05</v>
        <stp/>
        <stp>Market</stp>
        <stp>STOCK</stp>
        <stp>22960.T</stp>
        <stp>現在日付</stp>
        <tr r="D138" s="1"/>
      </tp>
      <tp t="s">
        <v>2026/03/05</v>
        <stp/>
        <stp>Market</stp>
        <stp>STOCK</stp>
        <stp>22910.T</stp>
        <stp>現在日付</stp>
        <tr r="D134" s="1"/>
      </tp>
      <tp t="s">
        <v>2026/03/05</v>
        <stp/>
        <stp>Market</stp>
        <stp>STOCK</stp>
        <stp>22920.T</stp>
        <stp>現在日付</stp>
        <tr r="D135" s="1"/>
      </tp>
      <tp t="s">
        <v>2026/03/05</v>
        <stp/>
        <stp>Market</stp>
        <stp>STOCK</stp>
        <stp>22930.T</stp>
        <stp>現在日付</stp>
        <tr r="D136" s="1"/>
      </tp>
      <tp t="s">
        <v>2026/03/05</v>
        <stp/>
        <stp>Market</stp>
        <stp>STOCK</stp>
        <stp>22880.T</stp>
        <stp>現在日付</stp>
        <tr r="D132" s="1"/>
      </tp>
      <tp t="s">
        <v>2026/03/05</v>
        <stp/>
        <stp>Market</stp>
        <stp>STOCK</stp>
        <stp>22860.T</stp>
        <stp>現在日付</stp>
        <tr r="D131" s="1"/>
      </tp>
      <tp t="s">
        <v>2026/03/05</v>
        <stp/>
        <stp>Market</stp>
        <stp>STOCK</stp>
        <stp>22810.T</stp>
        <stp>現在日付</stp>
        <tr r="D129" s="1"/>
      </tp>
      <tp t="s">
        <v>2026/03/05</v>
        <stp/>
        <stp>Market</stp>
        <stp>STOCK</stp>
        <stp>22820.T</stp>
        <stp>現在日付</stp>
        <tr r="D130" s="1"/>
      </tp>
      <tp t="s">
        <v>2026/03/05</v>
        <stp/>
        <stp>Market</stp>
        <stp>STOCK</stp>
        <stp>228A0.T</stp>
        <stp>現在日付</stp>
        <tr r="D133" s="1"/>
      </tp>
      <tp t="s">
        <v>2026/03/05</v>
        <stp/>
        <stp>Market</stp>
        <stp>STOCK</stp>
        <stp>22150.T</stp>
        <stp>現在日付</stp>
        <tr r="D114" s="1"/>
      </tp>
      <tp t="s">
        <v>2026/03/05</v>
        <stp/>
        <stp>Market</stp>
        <stp>STOCK</stp>
        <stp>22160.T</stp>
        <stp>現在日付</stp>
        <tr r="D115" s="1"/>
      </tp>
      <tp t="s">
        <v>2026/03/05</v>
        <stp/>
        <stp>Market</stp>
        <stp>STOCK</stp>
        <stp>22170.T</stp>
        <stp>現在日付</stp>
        <tr r="D116" s="1"/>
      </tp>
      <tp t="s">
        <v>2026/03/05</v>
        <stp/>
        <stp>Market</stp>
        <stp>STOCK</stp>
        <stp>22110.T</stp>
        <stp>現在日付</stp>
        <tr r="D112" s="1"/>
      </tp>
      <tp t="s">
        <v>2026/03/05</v>
        <stp/>
        <stp>Market</stp>
        <stp>STOCK</stp>
        <stp>22120.T</stp>
        <stp>現在日付</stp>
        <tr r="D113" s="1"/>
      </tp>
      <tp t="s">
        <v>2026/03/05</v>
        <stp/>
        <stp>Market</stp>
        <stp>STOCK</stp>
        <stp>22080.T</stp>
        <stp>現在日付</stp>
        <tr r="D109" s="1"/>
      </tp>
      <tp t="s">
        <v>2026/03/05</v>
        <stp/>
        <stp>Market</stp>
        <stp>STOCK</stp>
        <stp>22090.T</stp>
        <stp>現在日付</stp>
        <tr r="D110" s="1"/>
      </tp>
      <tp t="s">
        <v>2026/03/05</v>
        <stp/>
        <stp>Market</stp>
        <stp>STOCK</stp>
        <stp>22040.T</stp>
        <stp>現在日付</stp>
        <tr r="D106" s="1"/>
      </tp>
      <tp t="s">
        <v>2026/03/05</v>
        <stp/>
        <stp>Market</stp>
        <stp>STOCK</stp>
        <stp>22060.T</stp>
        <stp>現在日付</stp>
        <tr r="D107" s="1"/>
      </tp>
      <tp t="s">
        <v>2026/03/05</v>
        <stp/>
        <stp>Market</stp>
        <stp>STOCK</stp>
        <stp>22070.T</stp>
        <stp>現在日付</stp>
        <tr r="D108" s="1"/>
      </tp>
      <tp t="s">
        <v>2026/03/05</v>
        <stp/>
        <stp>Market</stp>
        <stp>STOCK</stp>
        <stp>22010.T</stp>
        <stp>現在日付</stp>
        <tr r="D105" s="1"/>
      </tp>
      <tp t="s">
        <v>2026/03/05</v>
        <stp/>
        <stp>Market</stp>
        <stp>STOCK</stp>
        <stp>220A0.T</stp>
        <stp>現在日付</stp>
        <tr r="D111" s="1"/>
      </tp>
      <tp t="s">
        <v>2026/03/05</v>
        <stp/>
        <stp>Market</stp>
        <stp>STOCK</stp>
        <stp>22290.T</stp>
        <stp>現在日付</stp>
        <tr r="D122" s="1"/>
      </tp>
      <tp t="s">
        <v>2026/03/05</v>
        <stp/>
        <stp>Market</stp>
        <stp>STOCK</stp>
        <stp>22240.T</stp>
        <stp>現在日付</stp>
        <tr r="D120" s="1"/>
      </tp>
      <tp t="s">
        <v>2026/03/05</v>
        <stp/>
        <stp>Market</stp>
        <stp>STOCK</stp>
        <stp>22260.T</stp>
        <stp>現在日付</stp>
        <tr r="D121" s="1"/>
      </tp>
      <tp t="s">
        <v>2026/03/05</v>
        <stp/>
        <stp>Market</stp>
        <stp>STOCK</stp>
        <stp>22200.T</stp>
        <stp>現在日付</stp>
        <tr r="D117" s="1"/>
      </tp>
      <tp t="s">
        <v>2026/03/05</v>
        <stp/>
        <stp>Market</stp>
        <stp>STOCK</stp>
        <stp>22210.T</stp>
        <stp>現在日付</stp>
        <tr r="D118" s="1"/>
      </tp>
      <tp t="s">
        <v>2026/03/05</v>
        <stp/>
        <stp>Market</stp>
        <stp>STOCK</stp>
        <stp>22220.T</stp>
        <stp>現在日付</stp>
        <tr r="D119" s="1"/>
      </tp>
      <tp t="s">
        <v>2026/03/05</v>
        <stp/>
        <stp>Market</stp>
        <stp>STOCK</stp>
        <stp>22700.T</stp>
        <stp>現在日付</stp>
        <tr r="D128" s="1"/>
      </tp>
      <tp t="s">
        <v>2026/03/05</v>
        <stp/>
        <stp>Market</stp>
        <stp>STOCK</stp>
        <stp>22680.T</stp>
        <stp>現在日付</stp>
        <tr r="D126" s="1"/>
      </tp>
      <tp t="s">
        <v>2026/03/05</v>
        <stp/>
        <stp>Market</stp>
        <stp>STOCK</stp>
        <stp>22690.T</stp>
        <stp>現在日付</stp>
        <tr r="D127" s="1"/>
      </tp>
      <tp t="s">
        <v>2026/03/05</v>
        <stp/>
        <stp>Market</stp>
        <stp>STOCK</stp>
        <stp>22640.T</stp>
        <stp>現在日付</stp>
        <tr r="D123" s="1"/>
      </tp>
      <tp t="s">
        <v>2026/03/05</v>
        <stp/>
        <stp>Market</stp>
        <stp>STOCK</stp>
        <stp>22660.T</stp>
        <stp>現在日付</stp>
        <tr r="D124" s="1"/>
      </tp>
      <tp t="s">
        <v>2026/03/05</v>
        <stp/>
        <stp>Market</stp>
        <stp>STOCK</stp>
        <stp>22670.T</stp>
        <stp>現在日付</stp>
        <tr r="D125" s="1"/>
      </tp>
      <tp t="s">
        <v>2026/03/05</v>
        <stp/>
        <stp>Market</stp>
        <stp>STOCK</stp>
        <stp>19940.T</stp>
        <stp>現在日付</stp>
        <tr r="D43" s="1"/>
      </tp>
      <tp t="s">
        <v>2026/03/05</v>
        <stp/>
        <stp>Market</stp>
        <stp>STOCK</stp>
        <stp>19970.T</stp>
        <stp>現在日付</stp>
        <tr r="D44" s="1"/>
      </tp>
      <tp t="s">
        <v>2026/03/05</v>
        <stp/>
        <stp>Market</stp>
        <stp>STOCK</stp>
        <stp>19920.T</stp>
        <stp>現在日付</stp>
        <tr r="D42" s="1"/>
      </tp>
      <tp t="s">
        <v>2026/03/05</v>
        <stp/>
        <stp>Market</stp>
        <stp>STOCK</stp>
        <stp>19800.T</stp>
        <stp>現在日付</stp>
        <tr r="D38" s="1"/>
      </tp>
      <tp t="s">
        <v>2026/03/05</v>
        <stp/>
        <stp>Market</stp>
        <stp>STOCK</stp>
        <stp>19810.T</stp>
        <stp>現在日付</stp>
        <tr r="D39" s="1"/>
      </tp>
      <tp t="s">
        <v>2026/03/05</v>
        <stp/>
        <stp>Market</stp>
        <stp>STOCK</stp>
        <stp>19820.T</stp>
        <stp>現在日付</stp>
        <tr r="D40" s="1"/>
      </tp>
      <tp t="s">
        <v>2026/03/05</v>
        <stp/>
        <stp>Market</stp>
        <stp>STOCK</stp>
        <stp>198A0.T</stp>
        <stp>現在日付</stp>
        <tr r="D41" s="1"/>
      </tp>
      <tp t="s">
        <v>2026/03/05</v>
        <stp/>
        <stp>Market</stp>
        <stp>STOCK</stp>
        <stp>19380.T</stp>
        <stp>現在日付</stp>
        <tr r="D8" s="1"/>
      </tp>
      <tp t="s">
        <v>2026/03/05</v>
        <stp/>
        <stp>Market</stp>
        <stp>STOCK</stp>
        <stp>19390.T</stp>
        <stp>現在日付</stp>
        <tr r="D9" s="1"/>
      </tp>
      <tp t="s">
        <v>2026/03/05</v>
        <stp/>
        <stp>Market</stp>
        <stp>STOCK</stp>
        <stp>19340.T</stp>
        <stp>現在日付</stp>
        <tr r="D7" s="1"/>
      </tp>
      <tp t="s">
        <v>2026/03/05</v>
        <stp/>
        <stp>Market</stp>
        <stp>STOCK</stp>
        <stp>19300.T</stp>
        <stp>現在日付</stp>
        <tr r="D6" s="1"/>
      </tp>
      <tp t="s">
        <v>2026/03/05</v>
        <stp/>
        <stp>Market</stp>
        <stp>STOCK</stp>
        <stp>19280.T</stp>
        <stp>現在日付</stp>
        <tr r="D3" s="1"/>
      </tp>
      <tp t="s">
        <v>2026/03/05</v>
        <stp/>
        <stp>Market</stp>
        <stp>STOCK</stp>
        <stp>19290.T</stp>
        <stp>現在日付</stp>
        <tr r="D4" s="1"/>
      </tp>
      <tp t="s">
        <v>2026/03/05</v>
        <stp/>
        <stp>Market</stp>
        <stp>STOCK</stp>
        <stp>19260.T</stp>
        <stp>現在日付</stp>
        <tr r="D2" s="1"/>
      </tp>
      <tp t="s">
        <v>2026/03/05</v>
        <stp/>
        <stp>Market</stp>
        <stp>STOCK</stp>
        <stp>192A0.T</stp>
        <stp>現在日付</stp>
        <tr r="D5" s="1"/>
      </tp>
      <tp t="s">
        <v>2026/03/05</v>
        <stp/>
        <stp>Market</stp>
        <stp>STOCK</stp>
        <stp>19590.T</stp>
        <stp>現在日付</stp>
        <tr r="D21" s="1"/>
      </tp>
      <tp t="s">
        <v>2026/03/05</v>
        <stp/>
        <stp>Market</stp>
        <stp>STOCK</stp>
        <stp>19500.T</stp>
        <stp>現在日付</stp>
        <tr r="D18" s="1"/>
      </tp>
      <tp t="s">
        <v>2026/03/05</v>
        <stp/>
        <stp>Market</stp>
        <stp>STOCK</stp>
        <stp>19510.T</stp>
        <stp>現在日付</stp>
        <tr r="D19" s="1"/>
      </tp>
      <tp t="s">
        <v>2026/03/05</v>
        <stp/>
        <stp>Market</stp>
        <stp>STOCK</stp>
        <stp>19520.T</stp>
        <stp>現在日付</stp>
        <tr r="D20" s="1"/>
      </tp>
      <tp t="s">
        <v>2026/03/05</v>
        <stp/>
        <stp>Market</stp>
        <stp>STOCK</stp>
        <stp>195A0.T</stp>
        <stp>現在日付</stp>
        <tr r="D22" s="1"/>
      </tp>
      <tp t="s">
        <v>2026/03/05</v>
        <stp/>
        <stp>Market</stp>
        <stp>STOCK</stp>
        <stp>19480.T</stp>
        <stp>現在日付</stp>
        <tr r="D15" s="1"/>
      </tp>
      <tp t="s">
        <v>2026/03/05</v>
        <stp/>
        <stp>Market</stp>
        <stp>STOCK</stp>
        <stp>19490.T</stp>
        <stp>現在日付</stp>
        <tr r="D16" s="1"/>
      </tp>
      <tp t="s">
        <v>2026/03/05</v>
        <stp/>
        <stp>Market</stp>
        <stp>STOCK</stp>
        <stp>19440.T</stp>
        <stp>現在日付</stp>
        <tr r="D12" s="1"/>
      </tp>
      <tp t="s">
        <v>2026/03/05</v>
        <stp/>
        <stp>Market</stp>
        <stp>STOCK</stp>
        <stp>19450.T</stp>
        <stp>現在日付</stp>
        <tr r="D13" s="1"/>
      </tp>
      <tp t="s">
        <v>2026/03/05</v>
        <stp/>
        <stp>Market</stp>
        <stp>STOCK</stp>
        <stp>19460.T</stp>
        <stp>現在日付</stp>
        <tr r="D14" s="1"/>
      </tp>
      <tp t="s">
        <v>2026/03/05</v>
        <stp/>
        <stp>Market</stp>
        <stp>STOCK</stp>
        <stp>19410.T</stp>
        <stp>現在日付</stp>
        <tr r="D10" s="1"/>
      </tp>
      <tp t="s">
        <v>2026/03/05</v>
        <stp/>
        <stp>Market</stp>
        <stp>STOCK</stp>
        <stp>19420.T</stp>
        <stp>現在日付</stp>
        <tr r="D11" s="1"/>
      </tp>
      <tp t="s">
        <v>2026/03/05</v>
        <stp/>
        <stp>Market</stp>
        <stp>STOCK</stp>
        <stp>194A0.T</stp>
        <stp>現在日付</stp>
        <tr r="D17" s="1"/>
      </tp>
      <tp t="s">
        <v>2026/03/05</v>
        <stp/>
        <stp>Market</stp>
        <stp>STOCK</stp>
        <stp>19790.T</stp>
        <stp>現在日付</stp>
        <tr r="D36" s="1"/>
      </tp>
      <tp t="s">
        <v>2026/03/05</v>
        <stp/>
        <stp>Market</stp>
        <stp>STOCK</stp>
        <stp>19750.T</stp>
        <stp>現在日付</stp>
        <tr r="D34" s="1"/>
      </tp>
      <tp t="s">
        <v>2026/03/05</v>
        <stp/>
        <stp>Market</stp>
        <stp>STOCK</stp>
        <stp>19760.T</stp>
        <stp>現在日付</stp>
        <tr r="D35" s="1"/>
      </tp>
      <tp t="s">
        <v>2026/03/05</v>
        <stp/>
        <stp>Market</stp>
        <stp>STOCK</stp>
        <stp>19720.T</stp>
        <stp>現在日付</stp>
        <tr r="D33" s="1"/>
      </tp>
      <tp t="s">
        <v>2026/03/05</v>
        <stp/>
        <stp>Market</stp>
        <stp>STOCK</stp>
        <stp>197A0.T</stp>
        <stp>現在日付</stp>
        <tr r="D37" s="1"/>
      </tp>
      <tp t="s">
        <v>2026/03/05</v>
        <stp/>
        <stp>Market</stp>
        <stp>STOCK</stp>
        <stp>19680.T</stp>
        <stp>現在日付</stp>
        <tr r="D30" s="1"/>
      </tp>
      <tp t="s">
        <v>2026/03/05</v>
        <stp/>
        <stp>Market</stp>
        <stp>STOCK</stp>
        <stp>19690.T</stp>
        <stp>現在日付</stp>
        <tr r="D31" s="1"/>
      </tp>
      <tp t="s">
        <v>2026/03/05</v>
        <stp/>
        <stp>Market</stp>
        <stp>STOCK</stp>
        <stp>19640.T</stp>
        <stp>現在日付</stp>
        <tr r="D26" s="1"/>
      </tp>
      <tp t="s">
        <v>2026/03/05</v>
        <stp/>
        <stp>Market</stp>
        <stp>STOCK</stp>
        <stp>19650.T</stp>
        <stp>現在日付</stp>
        <tr r="D27" s="1"/>
      </tp>
      <tp t="s">
        <v>2026/03/05</v>
        <stp/>
        <stp>Market</stp>
        <stp>STOCK</stp>
        <stp>19660.T</stp>
        <stp>現在日付</stp>
        <tr r="D28" s="1"/>
      </tp>
      <tp t="s">
        <v>2026/03/05</v>
        <stp/>
        <stp>Market</stp>
        <stp>STOCK</stp>
        <stp>19670.T</stp>
        <stp>現在日付</stp>
        <tr r="D29" s="1"/>
      </tp>
      <tp t="s">
        <v>2026/03/05</v>
        <stp/>
        <stp>Market</stp>
        <stp>STOCK</stp>
        <stp>19600.T</stp>
        <stp>現在日付</stp>
        <tr r="D23" s="1"/>
      </tp>
      <tp t="s">
        <v>2026/03/05</v>
        <stp/>
        <stp>Market</stp>
        <stp>STOCK</stp>
        <stp>19610.T</stp>
        <stp>現在日付</stp>
        <tr r="D24" s="1"/>
      </tp>
      <tp t="s">
        <v>2026/03/05</v>
        <stp/>
        <stp>Market</stp>
        <stp>STOCK</stp>
        <stp>19630.T</stp>
        <stp>現在日付</stp>
        <tr r="D25" s="1"/>
      </tp>
      <tp t="s">
        <v>2026/03/05</v>
        <stp/>
        <stp>Market</stp>
        <stp>STOCK</stp>
        <stp>196A0.T</stp>
        <stp>現在日付</stp>
        <tr r="D32" s="1"/>
      </tp>
      <tp>
        <v>2.0499999999999998</v>
        <stp/>
        <stp>Market</stp>
        <stp>STOCK</stp>
        <stp>19260.T</stp>
        <stp>PBR</stp>
        <tr r="J2" s="1"/>
      </tp>
      <tp>
        <v>1.21</v>
        <stp/>
        <stp>Market</stp>
        <stp>STOCK</stp>
        <stp>19280.T</stp>
        <stp>PBR</stp>
        <tr r="J3" s="1"/>
      </tp>
      <tp>
        <v>1.63</v>
        <stp/>
        <stp>Market</stp>
        <stp>STOCK</stp>
        <stp>19290.T</stp>
        <stp>PBR</stp>
        <tr r="J4" s="1"/>
      </tp>
      <tp>
        <v>2.2599999999999998</v>
        <stp/>
        <stp>Market</stp>
        <stp>STOCK</stp>
        <stp>192A0.T</stp>
        <stp>PBR</stp>
        <tr r="J5" s="1"/>
      </tp>
      <tp>
        <v>1.06</v>
        <stp/>
        <stp>Market</stp>
        <stp>STOCK</stp>
        <stp>19300.T</stp>
        <stp>PBR</stp>
        <tr r="J6" s="1"/>
      </tp>
      <tp>
        <v>1.28</v>
        <stp/>
        <stp>Market</stp>
        <stp>STOCK</stp>
        <stp>19340.T</stp>
        <stp>PBR</stp>
        <tr r="J7" s="1"/>
      </tp>
      <tp>
        <v>1.1599999999999999</v>
        <stp/>
        <stp>Market</stp>
        <stp>STOCK</stp>
        <stp>19380.T</stp>
        <stp>PBR</stp>
        <tr r="J8" s="1"/>
      </tp>
      <tp>
        <v>1.38</v>
        <stp/>
        <stp>Market</stp>
        <stp>STOCK</stp>
        <stp>19390.T</stp>
        <stp>PBR</stp>
        <tr r="J9" s="1"/>
      </tp>
      <tp>
        <v>1.1100000000000001</v>
        <stp/>
        <stp>Market</stp>
        <stp>STOCK</stp>
        <stp>19410.T</stp>
        <stp>PBR</stp>
        <tr r="J10" s="1"/>
      </tp>
      <tp>
        <v>3.43</v>
        <stp/>
        <stp>Market</stp>
        <stp>STOCK</stp>
        <stp>19420.T</stp>
        <stp>PBR</stp>
        <tr r="J11" s="1"/>
      </tp>
      <tp>
        <v>2.62</v>
        <stp/>
        <stp>Market</stp>
        <stp>STOCK</stp>
        <stp>19440.T</stp>
        <stp>PBR</stp>
        <tr r="J12" s="1"/>
      </tp>
      <tp>
        <v>0.9</v>
        <stp/>
        <stp>Market</stp>
        <stp>STOCK</stp>
        <stp>19450.T</stp>
        <stp>PBR</stp>
        <tr r="J13" s="1"/>
      </tp>
      <tp>
        <v>1.45</v>
        <stp/>
        <stp>Market</stp>
        <stp>STOCK</stp>
        <stp>19460.T</stp>
        <stp>PBR</stp>
        <tr r="J14" s="1"/>
      </tp>
      <tp>
        <v>2.65</v>
        <stp/>
        <stp>Market</stp>
        <stp>STOCK</stp>
        <stp>19480.T</stp>
        <stp>PBR</stp>
        <tr r="J15" s="1"/>
      </tp>
      <tp>
        <v>0</v>
        <stp/>
        <stp>Market</stp>
        <stp>STOCK</stp>
        <stp>19490.T</stp>
        <stp>PBR</stp>
        <tr r="J16" s="1"/>
      </tp>
      <tp>
        <v>4.47</v>
        <stp/>
        <stp>Market</stp>
        <stp>STOCK</stp>
        <stp>194A0.T</stp>
        <stp>PBR</stp>
        <tr r="J17" s="1"/>
      </tp>
      <tp>
        <v>1.51</v>
        <stp/>
        <stp>Market</stp>
        <stp>STOCK</stp>
        <stp>19500.T</stp>
        <stp>PBR</stp>
        <tr r="J18" s="1"/>
      </tp>
      <tp>
        <v>1.8</v>
        <stp/>
        <stp>Market</stp>
        <stp>STOCK</stp>
        <stp>19510.T</stp>
        <stp>PBR</stp>
        <tr r="J19" s="1"/>
      </tp>
      <tp>
        <v>2.41</v>
        <stp/>
        <stp>Market</stp>
        <stp>STOCK</stp>
        <stp>19520.T</stp>
        <stp>PBR</stp>
        <tr r="J20" s="1"/>
      </tp>
      <tp>
        <v>2.2000000000000002</v>
        <stp/>
        <stp>Market</stp>
        <stp>STOCK</stp>
        <stp>19590.T</stp>
        <stp>PBR</stp>
        <tr r="J21" s="1"/>
      </tp>
      <tp>
        <v>3.41</v>
        <stp/>
        <stp>Market</stp>
        <stp>STOCK</stp>
        <stp>195A0.T</stp>
        <stp>PBR</stp>
        <tr r="J22" s="1"/>
      </tp>
      <tp>
        <v>0.75</v>
        <stp/>
        <stp>Market</stp>
        <stp>STOCK</stp>
        <stp>19600.T</stp>
        <stp>PBR</stp>
        <tr r="J23" s="1"/>
      </tp>
      <tp>
        <v>3.5</v>
        <stp/>
        <stp>Market</stp>
        <stp>STOCK</stp>
        <stp>19610.T</stp>
        <stp>PBR</stp>
        <tr r="J24" s="1"/>
      </tp>
      <tp>
        <v>1.32</v>
        <stp/>
        <stp>Market</stp>
        <stp>STOCK</stp>
        <stp>19630.T</stp>
        <stp>PBR</stp>
        <tr r="J25" s="1"/>
      </tp>
      <tp>
        <v>1.23</v>
        <stp/>
        <stp>Market</stp>
        <stp>STOCK</stp>
        <stp>19640.T</stp>
        <stp>PBR</stp>
        <tr r="J26" s="1"/>
      </tp>
      <tp>
        <v>2.58</v>
        <stp/>
        <stp>Market</stp>
        <stp>STOCK</stp>
        <stp>19650.T</stp>
        <stp>PBR</stp>
        <tr r="J27" s="1"/>
      </tp>
      <tp>
        <v>0.68</v>
        <stp/>
        <stp>Market</stp>
        <stp>STOCK</stp>
        <stp>19660.T</stp>
        <stp>PBR</stp>
        <tr r="J28" s="1"/>
      </tp>
      <tp>
        <v>1.34</v>
        <stp/>
        <stp>Market</stp>
        <stp>STOCK</stp>
        <stp>19670.T</stp>
        <stp>PBR</stp>
        <tr r="J29" s="1"/>
      </tp>
      <tp>
        <v>1.57</v>
        <stp/>
        <stp>Market</stp>
        <stp>STOCK</stp>
        <stp>19680.T</stp>
        <stp>PBR</stp>
        <tr r="J30" s="1"/>
      </tp>
      <tp>
        <v>3.45</v>
        <stp/>
        <stp>Market</stp>
        <stp>STOCK</stp>
        <stp>19690.T</stp>
        <stp>PBR</stp>
        <tr r="J31" s="1"/>
      </tp>
      <tp>
        <v>1.04</v>
        <stp/>
        <stp>Market</stp>
        <stp>STOCK</stp>
        <stp>196A0.T</stp>
        <stp>PBR</stp>
        <tr r="J32" s="1"/>
      </tp>
      <tp>
        <v>1.02</v>
        <stp/>
        <stp>Market</stp>
        <stp>STOCK</stp>
        <stp>19720.T</stp>
        <stp>PBR</stp>
        <tr r="J33" s="1"/>
      </tp>
      <tp>
        <v>2.52</v>
        <stp/>
        <stp>Market</stp>
        <stp>STOCK</stp>
        <stp>19750.T</stp>
        <stp>PBR</stp>
        <tr r="J34" s="1"/>
      </tp>
      <tp>
        <v>1.32</v>
        <stp/>
        <stp>Market</stp>
        <stp>STOCK</stp>
        <stp>19760.T</stp>
        <stp>PBR</stp>
        <tr r="J35" s="1"/>
      </tp>
      <tp>
        <v>1.55</v>
        <stp/>
        <stp>Market</stp>
        <stp>STOCK</stp>
        <stp>19790.T</stp>
        <stp>PBR</stp>
        <tr r="J36" s="1"/>
      </tp>
      <tp>
        <v>3.28</v>
        <stp/>
        <stp>Market</stp>
        <stp>STOCK</stp>
        <stp>197A0.T</stp>
        <stp>PBR</stp>
        <tr r="J37" s="1"/>
      </tp>
      <tp>
        <v>3.7</v>
        <stp/>
        <stp>Market</stp>
        <stp>STOCK</stp>
        <stp>19800.T</stp>
        <stp>PBR</stp>
        <tr r="J38" s="1"/>
      </tp>
      <tp>
        <v>0.86</v>
        <stp/>
        <stp>Market</stp>
        <stp>STOCK</stp>
        <stp>19810.T</stp>
        <stp>PBR</stp>
        <tr r="J39" s="1"/>
      </tp>
      <tp>
        <v>1.87</v>
        <stp/>
        <stp>Market</stp>
        <stp>STOCK</stp>
        <stp>19820.T</stp>
        <stp>PBR</stp>
        <tr r="J40" s="1"/>
      </tp>
      <tp>
        <v>2.4900000000000002</v>
        <stp/>
        <stp>Market</stp>
        <stp>STOCK</stp>
        <stp>198A0.T</stp>
        <stp>PBR</stp>
        <tr r="J41" s="1"/>
      </tp>
      <tp>
        <v>1.05</v>
        <stp/>
        <stp>Market</stp>
        <stp>STOCK</stp>
        <stp>19920.T</stp>
        <stp>PBR</stp>
        <tr r="J42" s="1"/>
      </tp>
      <tp>
        <v>0.42</v>
        <stp/>
        <stp>Market</stp>
        <stp>STOCK</stp>
        <stp>19940.T</stp>
        <stp>PBR</stp>
        <tr r="J43" s="1"/>
      </tp>
      <tp>
        <v>1.08</v>
        <stp/>
        <stp>Market</stp>
        <stp>STOCK</stp>
        <stp>19970.T</stp>
        <stp>PBR</stp>
        <tr r="J44" s="1"/>
      </tp>
      <tp>
        <v>17.010000000000002</v>
        <stp/>
        <stp>Market</stp>
        <stp>STOCK</stp>
        <stp>19260.T</stp>
        <stp>PER</stp>
        <tr r="I2" s="1"/>
      </tp>
      <tp>
        <v>9.9499999999999993</v>
        <stp/>
        <stp>Market</stp>
        <stp>STOCK</stp>
        <stp>19280.T</stp>
        <stp>PER</stp>
        <tr r="I3" s="1"/>
      </tp>
      <tp>
        <v>15.41</v>
        <stp/>
        <stp>Market</stp>
        <stp>STOCK</stp>
        <stp>19290.T</stp>
        <stp>PER</stp>
        <tr r="I4" s="1"/>
      </tp>
      <tp>
        <v>19.52</v>
        <stp/>
        <stp>Market</stp>
        <stp>STOCK</stp>
        <stp>192A0.T</stp>
        <stp>PER</stp>
        <tr r="I5" s="1"/>
      </tp>
      <tp>
        <v>12.84</v>
        <stp/>
        <stp>Market</stp>
        <stp>STOCK</stp>
        <stp>19300.T</stp>
        <stp>PER</stp>
        <tr r="I6" s="1"/>
      </tp>
      <tp>
        <v>18.96</v>
        <stp/>
        <stp>Market</stp>
        <stp>STOCK</stp>
        <stp>19340.T</stp>
        <stp>PER</stp>
        <tr r="I7" s="1"/>
      </tp>
      <tp>
        <v>15.13</v>
        <stp/>
        <stp>Market</stp>
        <stp>STOCK</stp>
        <stp>19380.T</stp>
        <stp>PER</stp>
        <tr r="I8" s="1"/>
      </tp>
      <tp>
        <v>15.41</v>
        <stp/>
        <stp>Market</stp>
        <stp>STOCK</stp>
        <stp>19390.T</stp>
        <stp>PER</stp>
        <tr r="I9" s="1"/>
      </tp>
      <tp>
        <v>14.52</v>
        <stp/>
        <stp>Market</stp>
        <stp>STOCK</stp>
        <stp>19410.T</stp>
        <stp>PER</stp>
        <tr r="I10" s="1"/>
      </tp>
      <tp>
        <v>21.46</v>
        <stp/>
        <stp>Market</stp>
        <stp>STOCK</stp>
        <stp>19420.T</stp>
        <stp>PER</stp>
        <tr r="I11" s="1"/>
      </tp>
      <tp>
        <v>24.67</v>
        <stp/>
        <stp>Market</stp>
        <stp>STOCK</stp>
        <stp>19440.T</stp>
        <stp>PER</stp>
        <tr r="I12" s="1"/>
      </tp>
      <tp>
        <v>18.579999999999998</v>
        <stp/>
        <stp>Market</stp>
        <stp>STOCK</stp>
        <stp>19450.T</stp>
        <stp>PER</stp>
        <tr r="I13" s="1"/>
      </tp>
      <tp>
        <v>13.58</v>
        <stp/>
        <stp>Market</stp>
        <stp>STOCK</stp>
        <stp>19460.T</stp>
        <stp>PER</stp>
        <tr r="I14" s="1"/>
      </tp>
      <tp>
        <v>27.33</v>
        <stp/>
        <stp>Market</stp>
        <stp>STOCK</stp>
        <stp>19480.T</stp>
        <stp>PER</stp>
        <tr r="I15" s="1"/>
      </tp>
      <tp>
        <v>0</v>
        <stp/>
        <stp>Market</stp>
        <stp>STOCK</stp>
        <stp>19490.T</stp>
        <stp>PER</stp>
        <tr r="I16" s="1"/>
      </tp>
      <tp>
        <v>15.31</v>
        <stp/>
        <stp>Market</stp>
        <stp>STOCK</stp>
        <stp>194A0.T</stp>
        <stp>PER</stp>
        <tr r="I17" s="1"/>
      </tp>
      <tp>
        <v>17.75</v>
        <stp/>
        <stp>Market</stp>
        <stp>STOCK</stp>
        <stp>19500.T</stp>
        <stp>PER</stp>
        <tr r="I18" s="1"/>
      </tp>
      <tp>
        <v>18.16</v>
        <stp/>
        <stp>Market</stp>
        <stp>STOCK</stp>
        <stp>19510.T</stp>
        <stp>PER</stp>
        <tr r="I19" s="1"/>
      </tp>
      <tp>
        <v>16.940000000000001</v>
        <stp/>
        <stp>Market</stp>
        <stp>STOCK</stp>
        <stp>19520.T</stp>
        <stp>PER</stp>
        <tr r="I20" s="1"/>
      </tp>
      <tp>
        <v>19.62</v>
        <stp/>
        <stp>Market</stp>
        <stp>STOCK</stp>
        <stp>19590.T</stp>
        <stp>PER</stp>
        <tr r="I21" s="1"/>
      </tp>
      <tp>
        <v>0</v>
        <stp/>
        <stp>Market</stp>
        <stp>STOCK</stp>
        <stp>195A0.T</stp>
        <stp>PER</stp>
        <tr r="I22" s="1"/>
      </tp>
      <tp>
        <v>11.41</v>
        <stp/>
        <stp>Market</stp>
        <stp>STOCK</stp>
        <stp>19600.T</stp>
        <stp>PER</stp>
        <tr r="I23" s="1"/>
      </tp>
      <tp>
        <v>16.989999999999998</v>
        <stp/>
        <stp>Market</stp>
        <stp>STOCK</stp>
        <stp>19610.T</stp>
        <stp>PER</stp>
        <tr r="I24" s="1"/>
      </tp>
      <tp>
        <v>18.2</v>
        <stp/>
        <stp>Market</stp>
        <stp>STOCK</stp>
        <stp>19630.T</stp>
        <stp>PER</stp>
        <tr r="I25" s="1"/>
      </tp>
      <tp>
        <v>9.3800000000000008</v>
        <stp/>
        <stp>Market</stp>
        <stp>STOCK</stp>
        <stp>19640.T</stp>
        <stp>PER</stp>
        <tr r="I26" s="1"/>
      </tp>
      <tp>
        <v>14.27</v>
        <stp/>
        <stp>Market</stp>
        <stp>STOCK</stp>
        <stp>19650.T</stp>
        <stp>PER</stp>
        <tr r="I27" s="1"/>
      </tp>
      <tp>
        <v>13.76</v>
        <stp/>
        <stp>Market</stp>
        <stp>STOCK</stp>
        <stp>19660.T</stp>
        <stp>PER</stp>
        <tr r="I28" s="1"/>
      </tp>
      <tp>
        <v>12.14</v>
        <stp/>
        <stp>Market</stp>
        <stp>STOCK</stp>
        <stp>19670.T</stp>
        <stp>PER</stp>
        <tr r="I29" s="1"/>
      </tp>
      <tp>
        <v>17.43</v>
        <stp/>
        <stp>Market</stp>
        <stp>STOCK</stp>
        <stp>19680.T</stp>
        <stp>PER</stp>
        <tr r="I30" s="1"/>
      </tp>
      <tp>
        <v>18.18</v>
        <stp/>
        <stp>Market</stp>
        <stp>STOCK</stp>
        <stp>19690.T</stp>
        <stp>PER</stp>
        <tr r="I31" s="1"/>
      </tp>
      <tp>
        <v>16.93</v>
        <stp/>
        <stp>Market</stp>
        <stp>STOCK</stp>
        <stp>196A0.T</stp>
        <stp>PER</stp>
        <tr r="I32" s="1"/>
      </tp>
      <tp>
        <v>10.28</v>
        <stp/>
        <stp>Market</stp>
        <stp>STOCK</stp>
        <stp>19720.T</stp>
        <stp>PER</stp>
        <tr r="I33" s="1"/>
      </tp>
      <tp>
        <v>13.89</v>
        <stp/>
        <stp>Market</stp>
        <stp>STOCK</stp>
        <stp>19750.T</stp>
        <stp>PER</stp>
        <tr r="I34" s="1"/>
      </tp>
      <tp>
        <v>16.309999999999999</v>
        <stp/>
        <stp>Market</stp>
        <stp>STOCK</stp>
        <stp>19760.T</stp>
        <stp>PER</stp>
        <tr r="I35" s="1"/>
      </tp>
      <tp>
        <v>15.44</v>
        <stp/>
        <stp>Market</stp>
        <stp>STOCK</stp>
        <stp>19790.T</stp>
        <stp>PER</stp>
        <tr r="I36" s="1"/>
      </tp>
      <tp>
        <v>6.65</v>
        <stp/>
        <stp>Market</stp>
        <stp>STOCK</stp>
        <stp>197A0.T</stp>
        <stp>PER</stp>
        <tr r="I37" s="1"/>
      </tp>
      <tp>
        <v>18.09</v>
        <stp/>
        <stp>Market</stp>
        <stp>STOCK</stp>
        <stp>19800.T</stp>
        <stp>PER</stp>
        <tr r="I38" s="1"/>
      </tp>
      <tp>
        <v>13.22</v>
        <stp/>
        <stp>Market</stp>
        <stp>STOCK</stp>
        <stp>19810.T</stp>
        <stp>PER</stp>
        <tr r="I39" s="1"/>
      </tp>
      <tp>
        <v>18.489999999999998</v>
        <stp/>
        <stp>Market</stp>
        <stp>STOCK</stp>
        <stp>19820.T</stp>
        <stp>PER</stp>
        <tr r="I40" s="1"/>
      </tp>
      <tp>
        <v>0</v>
        <stp/>
        <stp>Market</stp>
        <stp>STOCK</stp>
        <stp>198A0.T</stp>
        <stp>PER</stp>
        <tr r="I41" s="1"/>
      </tp>
      <tp>
        <v>18.64</v>
        <stp/>
        <stp>Market</stp>
        <stp>STOCK</stp>
        <stp>19920.T</stp>
        <stp>PER</stp>
        <tr r="I42" s="1"/>
      </tp>
      <tp>
        <v>27.02</v>
        <stp/>
        <stp>Market</stp>
        <stp>STOCK</stp>
        <stp>19940.T</stp>
        <stp>PER</stp>
        <tr r="I43" s="1"/>
      </tp>
      <tp>
        <v>10.210000000000001</v>
        <stp/>
        <stp>Market</stp>
        <stp>STOCK</stp>
        <stp>19970.T</stp>
        <stp>PER</stp>
        <tr r="I44" s="1"/>
      </tp>
      <tp>
        <v>1.79</v>
        <stp/>
        <stp>Market</stp>
        <stp>STOCK</stp>
        <stp>22010.T</stp>
        <stp>PBR</stp>
        <tr r="J105" s="1"/>
      </tp>
      <tp>
        <v>0.72</v>
        <stp/>
        <stp>Market</stp>
        <stp>STOCK</stp>
        <stp>22040.T</stp>
        <stp>PBR</stp>
        <tr r="J106" s="1"/>
      </tp>
      <tp>
        <v>1.38</v>
        <stp/>
        <stp>Market</stp>
        <stp>STOCK</stp>
        <stp>22060.T</stp>
        <stp>PBR</stp>
        <tr r="J107" s="1"/>
      </tp>
      <tp>
        <v>0.8</v>
        <stp/>
        <stp>Market</stp>
        <stp>STOCK</stp>
        <stp>22070.T</stp>
        <stp>PBR</stp>
        <tr r="J108" s="1"/>
      </tp>
      <tp>
        <v>1.26</v>
        <stp/>
        <stp>Market</stp>
        <stp>STOCK</stp>
        <stp>22080.T</stp>
        <stp>PBR</stp>
        <tr r="J109" s="1"/>
      </tp>
      <tp>
        <v>1.36</v>
        <stp/>
        <stp>Market</stp>
        <stp>STOCK</stp>
        <stp>22090.T</stp>
        <stp>PBR</stp>
        <tr r="J110" s="1"/>
      </tp>
      <tp>
        <v>1.23</v>
        <stp/>
        <stp>Market</stp>
        <stp>STOCK</stp>
        <stp>220A0.T</stp>
        <stp>PBR</stp>
        <tr r="J111" s="1"/>
      </tp>
      <tp>
        <v>1.04</v>
        <stp/>
        <stp>Market</stp>
        <stp>STOCK</stp>
        <stp>22110.T</stp>
        <stp>PBR</stp>
        <tr r="J112" s="1"/>
      </tp>
      <tp>
        <v>1.46</v>
        <stp/>
        <stp>Market</stp>
        <stp>STOCK</stp>
        <stp>22120.T</stp>
        <stp>PBR</stp>
        <tr r="J113" s="1"/>
      </tp>
      <tp>
        <v>0.49</v>
        <stp/>
        <stp>Market</stp>
        <stp>STOCK</stp>
        <stp>22150.T</stp>
        <stp>PBR</stp>
        <tr r="J114" s="1"/>
      </tp>
      <tp>
        <v>2.91</v>
        <stp/>
        <stp>Market</stp>
        <stp>STOCK</stp>
        <stp>22160.T</stp>
        <stp>PBR</stp>
        <tr r="J115" s="1"/>
      </tp>
      <tp>
        <v>1.55</v>
        <stp/>
        <stp>Market</stp>
        <stp>STOCK</stp>
        <stp>22170.T</stp>
        <stp>PBR</stp>
        <tr r="J116" s="1"/>
      </tp>
      <tp>
        <v>0.96</v>
        <stp/>
        <stp>Market</stp>
        <stp>STOCK</stp>
        <stp>22200.T</stp>
        <stp>PBR</stp>
        <tr r="J117" s="1"/>
      </tp>
      <tp>
        <v>0.46</v>
        <stp/>
        <stp>Market</stp>
        <stp>STOCK</stp>
        <stp>22210.T</stp>
        <stp>PBR</stp>
        <tr r="J118" s="1"/>
      </tp>
      <tp>
        <v>7.2</v>
        <stp/>
        <stp>Market</stp>
        <stp>STOCK</stp>
        <stp>22220.T</stp>
        <stp>PBR</stp>
        <tr r="J119" s="1"/>
      </tp>
      <tp>
        <v>6.77</v>
        <stp/>
        <stp>Market</stp>
        <stp>STOCK</stp>
        <stp>22240.T</stp>
        <stp>PBR</stp>
        <tr r="J120" s="1"/>
      </tp>
      <tp>
        <v>2.59</v>
        <stp/>
        <stp>Market</stp>
        <stp>STOCK</stp>
        <stp>22260.T</stp>
        <stp>PBR</stp>
        <tr r="J121" s="1"/>
      </tp>
      <tp>
        <v>1.9</v>
        <stp/>
        <stp>Market</stp>
        <stp>STOCK</stp>
        <stp>22290.T</stp>
        <stp>PBR</stp>
        <tr r="J122" s="1"/>
      </tp>
      <tp>
        <v>1.46</v>
        <stp/>
        <stp>Market</stp>
        <stp>STOCK</stp>
        <stp>22640.T</stp>
        <stp>PBR</stp>
        <tr r="J123" s="1"/>
      </tp>
      <tp>
        <v>0.68</v>
        <stp/>
        <stp>Market</stp>
        <stp>STOCK</stp>
        <stp>22660.T</stp>
        <stp>PBR</stp>
        <tr r="J124" s="1"/>
      </tp>
      <tp>
        <v>1.37</v>
        <stp/>
        <stp>Market</stp>
        <stp>STOCK</stp>
        <stp>22670.T</stp>
        <stp>PBR</stp>
        <tr r="J125" s="1"/>
      </tp>
      <tp>
        <v>2.58</v>
        <stp/>
        <stp>Market</stp>
        <stp>STOCK</stp>
        <stp>22680.T</stp>
        <stp>PBR</stp>
        <tr r="J126" s="1"/>
      </tp>
      <tp>
        <v>1.39</v>
        <stp/>
        <stp>Market</stp>
        <stp>STOCK</stp>
        <stp>22690.T</stp>
        <stp>PBR</stp>
        <tr r="J127" s="1"/>
      </tp>
      <tp>
        <v>0.89</v>
        <stp/>
        <stp>Market</stp>
        <stp>STOCK</stp>
        <stp>22700.T</stp>
        <stp>PBR</stp>
        <tr r="J128" s="1"/>
      </tp>
      <tp>
        <v>1.1599999999999999</v>
        <stp/>
        <stp>Market</stp>
        <stp>STOCK</stp>
        <stp>22810.T</stp>
        <stp>PBR</stp>
        <tr r="J129" s="1"/>
      </tp>
      <tp>
        <v>1.27</v>
        <stp/>
        <stp>Market</stp>
        <stp>STOCK</stp>
        <stp>22820.T</stp>
        <stp>PBR</stp>
        <tr r="J130" s="1"/>
      </tp>
      <tp>
        <v>0.59</v>
        <stp/>
        <stp>Market</stp>
        <stp>STOCK</stp>
        <stp>22860.T</stp>
        <stp>PBR</stp>
        <tr r="J131" s="1"/>
      </tp>
      <tp>
        <v>0.77</v>
        <stp/>
        <stp>Market</stp>
        <stp>STOCK</stp>
        <stp>22880.T</stp>
        <stp>PBR</stp>
        <tr r="J132" s="1"/>
      </tp>
      <tp>
        <v>2.5</v>
        <stp/>
        <stp>Market</stp>
        <stp>STOCK</stp>
        <stp>228A0.T</stp>
        <stp>PBR</stp>
        <tr r="J133" s="1"/>
      </tp>
      <tp>
        <v>1.1200000000000001</v>
        <stp/>
        <stp>Market</stp>
        <stp>STOCK</stp>
        <stp>22910.T</stp>
        <stp>PBR</stp>
        <tr r="J134" s="1"/>
      </tp>
      <tp>
        <v>0.77</v>
        <stp/>
        <stp>Market</stp>
        <stp>STOCK</stp>
        <stp>22920.T</stp>
        <stp>PBR</stp>
        <tr r="J135" s="1"/>
      </tp>
      <tp>
        <v>1.83</v>
        <stp/>
        <stp>Market</stp>
        <stp>STOCK</stp>
        <stp>22930.T</stp>
        <stp>PBR</stp>
        <tr r="J136" s="1"/>
      </tp>
      <tp>
        <v>1.89</v>
        <stp/>
        <stp>Market</stp>
        <stp>STOCK</stp>
        <stp>22940.T</stp>
        <stp>PBR</stp>
        <tr r="J137" s="1"/>
      </tp>
      <tp>
        <v>1.22</v>
        <stp/>
        <stp>Market</stp>
        <stp>STOCK</stp>
        <stp>22960.T</stp>
        <stp>PBR</stp>
        <tr r="J138" s="1"/>
      </tp>
      <tp>
        <v>1.05</v>
        <stp/>
        <stp>Market</stp>
        <stp>STOCK</stp>
        <stp>23000.T</stp>
        <stp>PBR</stp>
        <tr r="J139" s="1"/>
      </tp>
      <tp>
        <v>1.68</v>
        <stp/>
        <stp>Market</stp>
        <stp>STOCK</stp>
        <stp>23010.T</stp>
        <stp>PBR</stp>
        <tr r="J140" s="1"/>
      </tp>
      <tp>
        <v>2.81</v>
        <stp/>
        <stp>Market</stp>
        <stp>STOCK</stp>
        <stp>23030.T</stp>
        <stp>PBR</stp>
        <tr r="J141" s="1"/>
      </tp>
      <tp>
        <v>1.55</v>
        <stp/>
        <stp>Market</stp>
        <stp>STOCK</stp>
        <stp>23040.T</stp>
        <stp>PBR</stp>
        <tr r="J142" s="1"/>
      </tp>
      <tp>
        <v>1.17</v>
        <stp/>
        <stp>Market</stp>
        <stp>STOCK</stp>
        <stp>23050.T</stp>
        <stp>PBR</stp>
        <tr r="J143" s="1"/>
      </tp>
      <tp>
        <v>2.34</v>
        <stp/>
        <stp>Market</stp>
        <stp>STOCK</stp>
        <stp>23070.T</stp>
        <stp>PBR</stp>
        <tr r="J144" s="1"/>
      </tp>
      <tp>
        <v>1.55</v>
        <stp/>
        <stp>Market</stp>
        <stp>STOCK</stp>
        <stp>23110.T</stp>
        <stp>PBR</stp>
        <tr r="J145" s="1"/>
      </tp>
      <tp>
        <v>3.64</v>
        <stp/>
        <stp>Market</stp>
        <stp>STOCK</stp>
        <stp>23150.T</stp>
        <stp>PBR</stp>
        <tr r="J146" s="1"/>
      </tp>
      <tp>
        <v>4.17</v>
        <stp/>
        <stp>Market</stp>
        <stp>STOCK</stp>
        <stp>23170.T</stp>
        <stp>PBR</stp>
        <tr r="J147" s="1"/>
      </tp>
      <tp>
        <v>9.99</v>
        <stp/>
        <stp>Market</stp>
        <stp>STOCK</stp>
        <stp>23210.T</stp>
        <stp>PBR</stp>
        <tr r="J148" s="1"/>
      </tp>
      <tp>
        <v>6.94</v>
        <stp/>
        <stp>Market</stp>
        <stp>STOCK</stp>
        <stp>23230.T</stp>
        <stp>PBR</stp>
        <tr r="J149" s="1"/>
      </tp>
      <tp>
        <v>1.53</v>
        <stp/>
        <stp>Market</stp>
        <stp>STOCK</stp>
        <stp>23250.T</stp>
        <stp>PBR</stp>
        <tr r="J150" s="1"/>
      </tp>
      <tp>
        <v>3.98</v>
        <stp/>
        <stp>Market</stp>
        <stp>STOCK</stp>
        <stp>23260.T</stp>
        <stp>PBR</stp>
        <tr r="J151" s="1"/>
      </tp>
      <tp>
        <v>0.88</v>
        <stp/>
        <stp>Market</stp>
        <stp>STOCK</stp>
        <stp>20010.T</stp>
        <stp>PBR</stp>
        <tr r="J45" s="1"/>
      </tp>
      <tp>
        <v>1.22</v>
        <stp/>
        <stp>Market</stp>
        <stp>STOCK</stp>
        <stp>20020.T</stp>
        <stp>PBR</stp>
        <tr r="J46" s="1"/>
      </tp>
      <tp>
        <v>1.32</v>
        <stp/>
        <stp>Market</stp>
        <stp>STOCK</stp>
        <stp>20030.T</stp>
        <stp>PBR</stp>
        <tr r="J47" s="1"/>
      </tp>
      <tp>
        <v>0.76</v>
        <stp/>
        <stp>Market</stp>
        <stp>STOCK</stp>
        <stp>20040.T</stp>
        <stp>PBR</stp>
        <tr r="J48" s="1"/>
      </tp>
      <tp>
        <v>0.69</v>
        <stp/>
        <stp>Market</stp>
        <stp>STOCK</stp>
        <stp>20090.T</stp>
        <stp>PBR</stp>
        <tr r="J49" s="1"/>
      </tp>
      <tp>
        <v>17.600000000000001</v>
        <stp/>
        <stp>Market</stp>
        <stp>STOCK</stp>
        <stp>202A0.T</stp>
        <stp>PBR</stp>
        <tr r="J50" s="1"/>
      </tp>
      <tp>
        <v>0.78</v>
        <stp/>
        <stp>Market</stp>
        <stp>STOCK</stp>
        <stp>20530.T</stp>
        <stp>PBR</stp>
        <tr r="J51" s="1"/>
      </tp>
      <tp>
        <v>0.37</v>
        <stp/>
        <stp>Market</stp>
        <stp>STOCK</stp>
        <stp>20550.T</stp>
        <stp>PBR</stp>
        <tr r="J52" s="1"/>
      </tp>
      <tp>
        <v>2.11</v>
        <stp/>
        <stp>Market</stp>
        <stp>STOCK</stp>
        <stp>205A0.T</stp>
        <stp>PBR</stp>
        <tr r="J53" s="1"/>
      </tp>
      <tp>
        <v>0.84</v>
        <stp/>
        <stp>Market</stp>
        <stp>STOCK</stp>
        <stp>20600.T</stp>
        <stp>PBR</stp>
        <tr r="J54" s="1"/>
      </tp>
      <tp>
        <v>2.61</v>
        <stp/>
        <stp>Market</stp>
        <stp>STOCK</stp>
        <stp>206A0.T</stp>
        <stp>PBR</stp>
        <tr r="J55" s="1"/>
      </tp>
      <tp>
        <v>3.24</v>
        <stp/>
        <stp>Market</stp>
        <stp>STOCK</stp>
        <stp>208A0.T</stp>
        <stp>PBR</stp>
        <tr r="J56" s="1"/>
      </tp>
      <tp>
        <v>0.71</v>
        <stp/>
        <stp>Market</stp>
        <stp>STOCK</stp>
        <stp>21080.T</stp>
        <stp>PBR</stp>
        <tr r="J57" s="1"/>
      </tp>
      <tp>
        <v>0.95</v>
        <stp/>
        <stp>Market</stp>
        <stp>STOCK</stp>
        <stp>21090.T</stp>
        <stp>PBR</stp>
        <tr r="J58" s="1"/>
      </tp>
      <tp>
        <v>0.86</v>
        <stp/>
        <stp>Market</stp>
        <stp>STOCK</stp>
        <stp>21120.T</stp>
        <stp>PBR</stp>
        <tr r="J59" s="1"/>
      </tp>
      <tp>
        <v>1.32</v>
        <stp/>
        <stp>Market</stp>
        <stp>STOCK</stp>
        <stp>21140.T</stp>
        <stp>PBR</stp>
        <tr r="J60" s="1"/>
      </tp>
      <tp>
        <v>1.27</v>
        <stp/>
        <stp>Market</stp>
        <stp>STOCK</stp>
        <stp>21170.T</stp>
        <stp>PBR</stp>
        <tr r="J61" s="1"/>
      </tp>
      <tp>
        <v>1.04</v>
        <stp/>
        <stp>Market</stp>
        <stp>STOCK</stp>
        <stp>211A0.T</stp>
        <stp>PBR</stp>
        <tr r="J62" s="1"/>
      </tp>
      <tp>
        <v>1.03</v>
        <stp/>
        <stp>Market</stp>
        <stp>STOCK</stp>
        <stp>21200.T</stp>
        <stp>PBR</stp>
        <tr r="J63" s="1"/>
      </tp>
      <tp>
        <v>0.98</v>
        <stp/>
        <stp>Market</stp>
        <stp>STOCK</stp>
        <stp>21210.T</stp>
        <stp>PBR</stp>
        <tr r="J64" s="1"/>
      </tp>
      <tp>
        <v>1.45</v>
        <stp/>
        <stp>Market</stp>
        <stp>STOCK</stp>
        <stp>21220.T</stp>
        <stp>PBR</stp>
        <tr r="J65" s="1"/>
      </tp>
      <tp>
        <v>6.19</v>
        <stp/>
        <stp>Market</stp>
        <stp>STOCK</stp>
        <stp>21240.T</stp>
        <stp>PBR</stp>
        <tr r="J66" s="1"/>
      </tp>
      <tp>
        <v>4.26</v>
        <stp/>
        <stp>Market</stp>
        <stp>STOCK</stp>
        <stp>21270.T</stp>
        <stp>PBR</stp>
        <tr r="J67" s="1"/>
      </tp>
      <tp>
        <v>7.02</v>
        <stp/>
        <stp>Market</stp>
        <stp>STOCK</stp>
        <stp>212A0.T</stp>
        <stp>PBR</stp>
        <tr r="J68" s="1"/>
      </tp>
      <tp>
        <v>2.59</v>
        <stp/>
        <stp>Market</stp>
        <stp>STOCK</stp>
        <stp>21300.T</stp>
        <stp>PBR</stp>
        <tr r="J69" s="1"/>
      </tp>
      <tp>
        <v>3.13</v>
        <stp/>
        <stp>Market</stp>
        <stp>STOCK</stp>
        <stp>21340.T</stp>
        <stp>PBR</stp>
        <tr r="J70" s="1"/>
      </tp>
      <tp>
        <v>1.52</v>
        <stp/>
        <stp>Market</stp>
        <stp>STOCK</stp>
        <stp>21360.T</stp>
        <stp>PBR</stp>
        <tr r="J71" s="1"/>
      </tp>
      <tp>
        <v>0.6</v>
        <stp/>
        <stp>Market</stp>
        <stp>STOCK</stp>
        <stp>21380.T</stp>
        <stp>PBR</stp>
        <tr r="J72" s="1"/>
      </tp>
      <tp>
        <v>1.85</v>
        <stp/>
        <stp>Market</stp>
        <stp>STOCK</stp>
        <stp>21390.T</stp>
        <stp>PBR</stp>
        <tr r="J73" s="1"/>
      </tp>
      <tp>
        <v>4.67</v>
        <stp/>
        <stp>Market</stp>
        <stp>STOCK</stp>
        <stp>21460.T</stp>
        <stp>PBR</stp>
        <tr r="J74" s="1"/>
      </tp>
      <tp>
        <v>4.6100000000000003</v>
        <stp/>
        <stp>Market</stp>
        <stp>STOCK</stp>
        <stp>21480.T</stp>
        <stp>PBR</stp>
        <tr r="J75" s="1"/>
      </tp>
      <tp t="s">
        <v/>
        <stp/>
        <stp>Market</stp>
        <stp>STOCK</stp>
        <stp>21500.T</stp>
        <stp>PBR</stp>
        <tr r="J76" s="1"/>
      </tp>
      <tp>
        <v>1.49</v>
        <stp/>
        <stp>Market</stp>
        <stp>STOCK</stp>
        <stp>21520.T</stp>
        <stp>PBR</stp>
        <tr r="J77" s="1"/>
      </tp>
      <tp>
        <v>0.95</v>
        <stp/>
        <stp>Market</stp>
        <stp>STOCK</stp>
        <stp>21530.T</stp>
        <stp>PBR</stp>
        <tr r="J78" s="1"/>
      </tp>
      <tp>
        <v>2</v>
        <stp/>
        <stp>Market</stp>
        <stp>STOCK</stp>
        <stp>21540.T</stp>
        <stp>PBR</stp>
        <tr r="J79" s="1"/>
      </tp>
      <tp>
        <v>0.71</v>
        <stp/>
        <stp>Market</stp>
        <stp>STOCK</stp>
        <stp>21560.T</stp>
        <stp>PBR</stp>
        <tr r="J80" s="1"/>
      </tp>
      <tp>
        <v>2.54</v>
        <stp/>
        <stp>Market</stp>
        <stp>STOCK</stp>
        <stp>21570.T</stp>
        <stp>PBR</stp>
        <tr r="J81" s="1"/>
      </tp>
      <tp>
        <v>11.14</v>
        <stp/>
        <stp>Market</stp>
        <stp>STOCK</stp>
        <stp>21580.T</stp>
        <stp>PBR</stp>
        <tr r="J82" s="1"/>
      </tp>
      <tp>
        <v>8.15</v>
        <stp/>
        <stp>Market</stp>
        <stp>STOCK</stp>
        <stp>215A0.T</stp>
        <stp>PBR</stp>
        <tr r="J83" s="1"/>
      </tp>
      <tp>
        <v>3.49</v>
        <stp/>
        <stp>Market</stp>
        <stp>STOCK</stp>
        <stp>21600.T</stp>
        <stp>PBR</stp>
        <tr r="J84" s="1"/>
      </tp>
      <tp>
        <v>1.88</v>
        <stp/>
        <stp>Market</stp>
        <stp>STOCK</stp>
        <stp>21620.T</stp>
        <stp>PBR</stp>
        <tr r="J85" s="1"/>
      </tp>
      <tp>
        <v>4.24</v>
        <stp/>
        <stp>Market</stp>
        <stp>STOCK</stp>
        <stp>21630.T</stp>
        <stp>PBR</stp>
        <tr r="J86" s="1"/>
      </tp>
      <tp>
        <v>3.74</v>
        <stp/>
        <stp>Market</stp>
        <stp>STOCK</stp>
        <stp>21640.T</stp>
        <stp>PBR</stp>
        <tr r="J87" s="1"/>
      </tp>
      <tp>
        <v>0.56000000000000005</v>
        <stp/>
        <stp>Market</stp>
        <stp>STOCK</stp>
        <stp>21680.T</stp>
        <stp>PBR</stp>
        <tr r="J88" s="1"/>
      </tp>
      <tp>
        <v>1.4</v>
        <stp/>
        <stp>Market</stp>
        <stp>STOCK</stp>
        <stp>21690.T</stp>
        <stp>PBR</stp>
        <tr r="J89" s="1"/>
      </tp>
      <tp>
        <v>4.4800000000000004</v>
        <stp/>
        <stp>Market</stp>
        <stp>STOCK</stp>
        <stp>21700.T</stp>
        <stp>PBR</stp>
        <tr r="J90" s="1"/>
      </tp>
      <tp>
        <v>3.09</v>
        <stp/>
        <stp>Market</stp>
        <stp>STOCK</stp>
        <stp>21730.T</stp>
        <stp>PBR</stp>
        <tr r="J91" s="1"/>
      </tp>
      <tp>
        <v>3.22</v>
        <stp/>
        <stp>Market</stp>
        <stp>STOCK</stp>
        <stp>21750.T</stp>
        <stp>PBR</stp>
        <tr r="J92" s="1"/>
      </tp>
      <tp>
        <v>1.17</v>
        <stp/>
        <stp>Market</stp>
        <stp>STOCK</stp>
        <stp>21790.T</stp>
        <stp>PBR</stp>
        <tr r="J93" s="1"/>
      </tp>
      <tp>
        <v>2.76</v>
        <stp/>
        <stp>Market</stp>
        <stp>STOCK</stp>
        <stp>21800.T</stp>
        <stp>PBR</stp>
        <tr r="J94" s="1"/>
      </tp>
      <tp>
        <v>2.59</v>
        <stp/>
        <stp>Market</stp>
        <stp>STOCK</stp>
        <stp>21810.T</stp>
        <stp>PBR</stp>
        <tr r="J95" s="1"/>
      </tp>
      <tp>
        <v>1.1599999999999999</v>
        <stp/>
        <stp>Market</stp>
        <stp>STOCK</stp>
        <stp>21830.T</stp>
        <stp>PBR</stp>
        <tr r="J96" s="1"/>
      </tp>
      <tp>
        <v>1.1399999999999999</v>
        <stp/>
        <stp>Market</stp>
        <stp>STOCK</stp>
        <stp>21850.T</stp>
        <stp>PBR</stp>
        <tr r="J97" s="1"/>
      </tp>
      <tp>
        <v>1.61</v>
        <stp/>
        <stp>Market</stp>
        <stp>STOCK</stp>
        <stp>21860.T</stp>
        <stp>PBR</stp>
        <tr r="J98" s="1"/>
      </tp>
      <tp>
        <v>29.05</v>
        <stp/>
        <stp>Market</stp>
        <stp>STOCK</stp>
        <stp>218A0.T</stp>
        <stp>PBR</stp>
        <tr r="J99" s="1"/>
      </tp>
      <tp>
        <v>0.85</v>
        <stp/>
        <stp>Market</stp>
        <stp>STOCK</stp>
        <stp>21930.T</stp>
        <stp>PBR</stp>
        <tr r="J100" s="1"/>
      </tp>
      <tp>
        <v>1.89</v>
        <stp/>
        <stp>Market</stp>
        <stp>STOCK</stp>
        <stp>21950.T</stp>
        <stp>PBR</stp>
        <tr r="J101" s="1"/>
      </tp>
      <tp>
        <v>1</v>
        <stp/>
        <stp>Market</stp>
        <stp>STOCK</stp>
        <stp>21960.T</stp>
        <stp>PBR</stp>
        <tr r="J102" s="1"/>
      </tp>
      <tp>
        <v>1.95</v>
        <stp/>
        <stp>Market</stp>
        <stp>STOCK</stp>
        <stp>21980.T</stp>
        <stp>PBR</stp>
        <tr r="J103" s="1"/>
      </tp>
      <tp>
        <v>6.1</v>
        <stp/>
        <stp>Market</stp>
        <stp>STOCK</stp>
        <stp>219A0.T</stp>
        <stp>PBR</stp>
        <tr r="J104" s="1"/>
      </tp>
      <tp>
        <v>11.05</v>
        <stp/>
        <stp>Market</stp>
        <stp>STOCK</stp>
        <stp>21080.T</stp>
        <stp>PER</stp>
        <tr r="I57" s="1"/>
      </tp>
      <tp>
        <v>13.43</v>
        <stp/>
        <stp>Market</stp>
        <stp>STOCK</stp>
        <stp>21090.T</stp>
        <stp>PER</stp>
        <tr r="I58" s="1"/>
      </tp>
      <tp>
        <v>5.85</v>
        <stp/>
        <stp>Market</stp>
        <stp>STOCK</stp>
        <stp>21120.T</stp>
        <stp>PER</stp>
        <tr r="I59" s="1"/>
      </tp>
      <tp>
        <v>11.36</v>
        <stp/>
        <stp>Market</stp>
        <stp>STOCK</stp>
        <stp>21140.T</stp>
        <stp>PER</stp>
        <tr r="I60" s="1"/>
      </tp>
      <tp>
        <v>15.3</v>
        <stp/>
        <stp>Market</stp>
        <stp>STOCK</stp>
        <stp>21170.T</stp>
        <stp>PER</stp>
        <tr r="I61" s="1"/>
      </tp>
      <tp>
        <v>6.69</v>
        <stp/>
        <stp>Market</stp>
        <stp>STOCK</stp>
        <stp>211A0.T</stp>
        <stp>PER</stp>
        <tr r="I62" s="1"/>
      </tp>
      <tp>
        <v>14.18</v>
        <stp/>
        <stp>Market</stp>
        <stp>STOCK</stp>
        <stp>21200.T</stp>
        <stp>PER</stp>
        <tr r="I63" s="1"/>
      </tp>
      <tp>
        <v>12.33</v>
        <stp/>
        <stp>Market</stp>
        <stp>STOCK</stp>
        <stp>21210.T</stp>
        <stp>PER</stp>
        <tr r="I64" s="1"/>
      </tp>
      <tp>
        <v>19.5</v>
        <stp/>
        <stp>Market</stp>
        <stp>STOCK</stp>
        <stp>21220.T</stp>
        <stp>PER</stp>
        <tr r="I65" s="1"/>
      </tp>
      <tp>
        <v>16.09</v>
        <stp/>
        <stp>Market</stp>
        <stp>STOCK</stp>
        <stp>21240.T</stp>
        <stp>PER</stp>
        <tr r="I66" s="1"/>
      </tp>
      <tp>
        <v>17.32</v>
        <stp/>
        <stp>Market</stp>
        <stp>STOCK</stp>
        <stp>21270.T</stp>
        <stp>PER</stp>
        <tr r="I67" s="1"/>
      </tp>
      <tp>
        <v>19.21</v>
        <stp/>
        <stp>Market</stp>
        <stp>STOCK</stp>
        <stp>212A0.T</stp>
        <stp>PER</stp>
        <tr r="I68" s="1"/>
      </tp>
      <tp>
        <v>15.05</v>
        <stp/>
        <stp>Market</stp>
        <stp>STOCK</stp>
        <stp>21300.T</stp>
        <stp>PER</stp>
        <tr r="I69" s="1"/>
      </tp>
      <tp>
        <v>0</v>
        <stp/>
        <stp>Market</stp>
        <stp>STOCK</stp>
        <stp>21340.T</stp>
        <stp>PER</stp>
        <tr r="I70" s="1"/>
      </tp>
      <tp>
        <v>15.55</v>
        <stp/>
        <stp>Market</stp>
        <stp>STOCK</stp>
        <stp>21360.T</stp>
        <stp>PER</stp>
        <tr r="I71" s="1"/>
      </tp>
      <tp>
        <v>0</v>
        <stp/>
        <stp>Market</stp>
        <stp>STOCK</stp>
        <stp>21380.T</stp>
        <stp>PER</stp>
        <tr r="I72" s="1"/>
      </tp>
      <tp>
        <v>23.1</v>
        <stp/>
        <stp>Market</stp>
        <stp>STOCK</stp>
        <stp>21390.T</stp>
        <stp>PER</stp>
        <tr r="I73" s="1"/>
      </tp>
      <tp>
        <v>20.190000000000001</v>
        <stp/>
        <stp>Market</stp>
        <stp>STOCK</stp>
        <stp>21460.T</stp>
        <stp>PER</stp>
        <tr r="I74" s="1"/>
      </tp>
      <tp>
        <v>24.52</v>
        <stp/>
        <stp>Market</stp>
        <stp>STOCK</stp>
        <stp>21480.T</stp>
        <stp>PER</stp>
        <tr r="I75" s="1"/>
      </tp>
      <tp t="s">
        <v/>
        <stp/>
        <stp>Market</stp>
        <stp>STOCK</stp>
        <stp>21500.T</stp>
        <stp>PER</stp>
        <tr r="I76" s="1"/>
      </tp>
      <tp>
        <v>15.8</v>
        <stp/>
        <stp>Market</stp>
        <stp>STOCK</stp>
        <stp>21520.T</stp>
        <stp>PER</stp>
        <tr r="I77" s="1"/>
      </tp>
      <tp>
        <v>9.99</v>
        <stp/>
        <stp>Market</stp>
        <stp>STOCK</stp>
        <stp>21530.T</stp>
        <stp>PER</stp>
        <tr r="I78" s="1"/>
      </tp>
      <tp>
        <v>13.15</v>
        <stp/>
        <stp>Market</stp>
        <stp>STOCK</stp>
        <stp>21540.T</stp>
        <stp>PER</stp>
        <tr r="I79" s="1"/>
      </tp>
      <tp>
        <v>25.5</v>
        <stp/>
        <stp>Market</stp>
        <stp>STOCK</stp>
        <stp>21560.T</stp>
        <stp>PER</stp>
        <tr r="I80" s="1"/>
      </tp>
      <tp>
        <v>10.51</v>
        <stp/>
        <stp>Market</stp>
        <stp>STOCK</stp>
        <stp>21570.T</stp>
        <stp>PER</stp>
        <tr r="I81" s="1"/>
      </tp>
      <tp>
        <v>56.51</v>
        <stp/>
        <stp>Market</stp>
        <stp>STOCK</stp>
        <stp>21580.T</stp>
        <stp>PER</stp>
        <tr r="I82" s="1"/>
      </tp>
      <tp>
        <v>49.62</v>
        <stp/>
        <stp>Market</stp>
        <stp>STOCK</stp>
        <stp>215A0.T</stp>
        <stp>PER</stp>
        <tr r="I83" s="1"/>
      </tp>
      <tp>
        <v>14.61</v>
        <stp/>
        <stp>Market</stp>
        <stp>STOCK</stp>
        <stp>21600.T</stp>
        <stp>PER</stp>
        <tr r="I84" s="1"/>
      </tp>
      <tp>
        <v>75.5</v>
        <stp/>
        <stp>Market</stp>
        <stp>STOCK</stp>
        <stp>21620.T</stp>
        <stp>PER</stp>
        <tr r="I85" s="1"/>
      </tp>
      <tp>
        <v>15.81</v>
        <stp/>
        <stp>Market</stp>
        <stp>STOCK</stp>
        <stp>21630.T</stp>
        <stp>PER</stp>
        <tr r="I86" s="1"/>
      </tp>
      <tp>
        <v>61.69</v>
        <stp/>
        <stp>Market</stp>
        <stp>STOCK</stp>
        <stp>21640.T</stp>
        <stp>PER</stp>
        <tr r="I87" s="1"/>
      </tp>
      <tp>
        <v>145.44</v>
        <stp/>
        <stp>Market</stp>
        <stp>STOCK</stp>
        <stp>21680.T</stp>
        <stp>PER</stp>
        <tr r="I88" s="1"/>
      </tp>
      <tp>
        <v>18.940000000000001</v>
        <stp/>
        <stp>Market</stp>
        <stp>STOCK</stp>
        <stp>21690.T</stp>
        <stp>PER</stp>
        <tr r="I89" s="1"/>
      </tp>
      <tp>
        <v>17.29</v>
        <stp/>
        <stp>Market</stp>
        <stp>STOCK</stp>
        <stp>21700.T</stp>
        <stp>PER</stp>
        <tr r="I90" s="1"/>
      </tp>
      <tp>
        <v>9.4700000000000006</v>
        <stp/>
        <stp>Market</stp>
        <stp>STOCK</stp>
        <stp>21730.T</stp>
        <stp>PER</stp>
        <tr r="I91" s="1"/>
      </tp>
      <tp>
        <v>21.72</v>
        <stp/>
        <stp>Market</stp>
        <stp>STOCK</stp>
        <stp>21750.T</stp>
        <stp>PER</stp>
        <tr r="I92" s="1"/>
      </tp>
      <tp>
        <v>10.39</v>
        <stp/>
        <stp>Market</stp>
        <stp>STOCK</stp>
        <stp>21790.T</stp>
        <stp>PER</stp>
        <tr r="I93" s="1"/>
      </tp>
      <tp>
        <v>11.32</v>
        <stp/>
        <stp>Market</stp>
        <stp>STOCK</stp>
        <stp>21800.T</stp>
        <stp>PER</stp>
        <tr r="I94" s="1"/>
      </tp>
      <tp>
        <v>13.2</v>
        <stp/>
        <stp>Market</stp>
        <stp>STOCK</stp>
        <stp>21810.T</stp>
        <stp>PER</stp>
        <tr r="I95" s="1"/>
      </tp>
      <tp>
        <v>0</v>
        <stp/>
        <stp>Market</stp>
        <stp>STOCK</stp>
        <stp>21830.T</stp>
        <stp>PER</stp>
        <tr r="I96" s="1"/>
      </tp>
      <tp>
        <v>11.24</v>
        <stp/>
        <stp>Market</stp>
        <stp>STOCK</stp>
        <stp>21850.T</stp>
        <stp>PER</stp>
        <tr r="I97" s="1"/>
      </tp>
      <tp>
        <v>16.149999999999999</v>
        <stp/>
        <stp>Market</stp>
        <stp>STOCK</stp>
        <stp>21860.T</stp>
        <stp>PER</stp>
        <tr r="I98" s="1"/>
      </tp>
      <tp>
        <v>0</v>
        <stp/>
        <stp>Market</stp>
        <stp>STOCK</stp>
        <stp>218A0.T</stp>
        <stp>PER</stp>
        <tr r="I99" s="1"/>
      </tp>
      <tp>
        <v>42.57</v>
        <stp/>
        <stp>Market</stp>
        <stp>STOCK</stp>
        <stp>21930.T</stp>
        <stp>PER</stp>
        <tr r="I100" s="1"/>
      </tp>
      <tp>
        <v>15.51</v>
        <stp/>
        <stp>Market</stp>
        <stp>STOCK</stp>
        <stp>21950.T</stp>
        <stp>PER</stp>
        <tr r="I101" s="1"/>
      </tp>
      <tp>
        <v>0</v>
        <stp/>
        <stp>Market</stp>
        <stp>STOCK</stp>
        <stp>21960.T</stp>
        <stp>PER</stp>
        <tr r="I102" s="1"/>
      </tp>
      <tp>
        <v>32.979999999999997</v>
        <stp/>
        <stp>Market</stp>
        <stp>STOCK</stp>
        <stp>21980.T</stp>
        <stp>PER</stp>
        <tr r="I103" s="1"/>
      </tp>
      <tp>
        <v>0</v>
        <stp/>
        <stp>Market</stp>
        <stp>STOCK</stp>
        <stp>219A0.T</stp>
        <stp>PER</stp>
        <tr r="I104" s="1"/>
      </tp>
      <tp>
        <v>11.41</v>
        <stp/>
        <stp>Market</stp>
        <stp>STOCK</stp>
        <stp>20010.T</stp>
        <stp>PER</stp>
        <tr r="I45" s="1"/>
      </tp>
      <tp>
        <v>19.989999999999998</v>
        <stp/>
        <stp>Market</stp>
        <stp>STOCK</stp>
        <stp>20020.T</stp>
        <stp>PER</stp>
        <tr r="I46" s="1"/>
      </tp>
      <tp>
        <v>20.93</v>
        <stp/>
        <stp>Market</stp>
        <stp>STOCK</stp>
        <stp>20030.T</stp>
        <stp>PER</stp>
        <tr r="I47" s="1"/>
      </tp>
      <tp>
        <v>11.49</v>
        <stp/>
        <stp>Market</stp>
        <stp>STOCK</stp>
        <stp>20040.T</stp>
        <stp>PER</stp>
        <tr r="I48" s="1"/>
      </tp>
      <tp>
        <v>22.8</v>
        <stp/>
        <stp>Market</stp>
        <stp>STOCK</stp>
        <stp>20090.T</stp>
        <stp>PER</stp>
        <tr r="I49" s="1"/>
      </tp>
      <tp>
        <v>17.77</v>
        <stp/>
        <stp>Market</stp>
        <stp>STOCK</stp>
        <stp>202A0.T</stp>
        <stp>PER</stp>
        <tr r="I50" s="1"/>
      </tp>
      <tp>
        <v>13.06</v>
        <stp/>
        <stp>Market</stp>
        <stp>STOCK</stp>
        <stp>20530.T</stp>
        <stp>PER</stp>
        <tr r="I51" s="1"/>
      </tp>
      <tp>
        <v>10.29</v>
        <stp/>
        <stp>Market</stp>
        <stp>STOCK</stp>
        <stp>20550.T</stp>
        <stp>PER</stp>
        <tr r="I52" s="1"/>
      </tp>
      <tp>
        <v>7.82</v>
        <stp/>
        <stp>Market</stp>
        <stp>STOCK</stp>
        <stp>205A0.T</stp>
        <stp>PER</stp>
        <tr r="I53" s="1"/>
      </tp>
      <tp>
        <v>8.1199999999999992</v>
        <stp/>
        <stp>Market</stp>
        <stp>STOCK</stp>
        <stp>20600.T</stp>
        <stp>PER</stp>
        <tr r="I54" s="1"/>
      </tp>
      <tp>
        <v>0</v>
        <stp/>
        <stp>Market</stp>
        <stp>STOCK</stp>
        <stp>206A0.T</stp>
        <stp>PER</stp>
        <tr r="I55" s="1"/>
      </tp>
      <tp>
        <v>13.44</v>
        <stp/>
        <stp>Market</stp>
        <stp>STOCK</stp>
        <stp>208A0.T</stp>
        <stp>PER</stp>
        <tr r="I56" s="1"/>
      </tp>
      <tp>
        <v>17.399999999999999</v>
        <stp/>
        <stp>Market</stp>
        <stp>STOCK</stp>
        <stp>23000.T</stp>
        <stp>PER</stp>
        <tr r="I139" s="1"/>
      </tp>
      <tp>
        <v>10.1</v>
        <stp/>
        <stp>Market</stp>
        <stp>STOCK</stp>
        <stp>23010.T</stp>
        <stp>PER</stp>
        <tr r="I140" s="1"/>
      </tp>
      <tp>
        <v>17.989999999999998</v>
        <stp/>
        <stp>Market</stp>
        <stp>STOCK</stp>
        <stp>23030.T</stp>
        <stp>PER</stp>
        <tr r="I141" s="1"/>
      </tp>
      <tp>
        <v>7.41</v>
        <stp/>
        <stp>Market</stp>
        <stp>STOCK</stp>
        <stp>23040.T</stp>
        <stp>PER</stp>
        <tr r="I142" s="1"/>
      </tp>
      <tp>
        <v>24.11</v>
        <stp/>
        <stp>Market</stp>
        <stp>STOCK</stp>
        <stp>23050.T</stp>
        <stp>PER</stp>
        <tr r="I143" s="1"/>
      </tp>
      <tp>
        <v>9.7200000000000006</v>
        <stp/>
        <stp>Market</stp>
        <stp>STOCK</stp>
        <stp>23070.T</stp>
        <stp>PER</stp>
        <tr r="I144" s="1"/>
      </tp>
      <tp>
        <v>14.82</v>
        <stp/>
        <stp>Market</stp>
        <stp>STOCK</stp>
        <stp>23110.T</stp>
        <stp>PER</stp>
        <tr r="I145" s="1"/>
      </tp>
      <tp>
        <v>174</v>
        <stp/>
        <stp>Market</stp>
        <stp>STOCK</stp>
        <stp>23150.T</stp>
        <stp>PER</stp>
        <tr r="I146" s="1"/>
      </tp>
      <tp>
        <v>13.57</v>
        <stp/>
        <stp>Market</stp>
        <stp>STOCK</stp>
        <stp>23170.T</stp>
        <stp>PER</stp>
        <tr r="I147" s="1"/>
      </tp>
      <tp>
        <v>0</v>
        <stp/>
        <stp>Market</stp>
        <stp>STOCK</stp>
        <stp>23210.T</stp>
        <stp>PER</stp>
        <tr r="I148" s="1"/>
      </tp>
      <tp>
        <v>21.97</v>
        <stp/>
        <stp>Market</stp>
        <stp>STOCK</stp>
        <stp>23230.T</stp>
        <stp>PER</stp>
        <tr r="I149" s="1"/>
      </tp>
      <tp>
        <v>17.809999999999999</v>
        <stp/>
        <stp>Market</stp>
        <stp>STOCK</stp>
        <stp>23250.T</stp>
        <stp>PER</stp>
        <tr r="I150" s="1"/>
      </tp>
      <tp>
        <v>19.72</v>
        <stp/>
        <stp>Market</stp>
        <stp>STOCK</stp>
        <stp>23260.T</stp>
        <stp>PER</stp>
        <tr r="I151" s="1"/>
      </tp>
      <tp>
        <v>12.87</v>
        <stp/>
        <stp>Market</stp>
        <stp>STOCK</stp>
        <stp>22010.T</stp>
        <stp>PER</stp>
        <tr r="I105" s="1"/>
      </tp>
      <tp>
        <v>36.200000000000003</v>
        <stp/>
        <stp>Market</stp>
        <stp>STOCK</stp>
        <stp>22040.T</stp>
        <stp>PER</stp>
        <tr r="I106" s="1"/>
      </tp>
      <tp>
        <v>38.58</v>
        <stp/>
        <stp>Market</stp>
        <stp>STOCK</stp>
        <stp>22060.T</stp>
        <stp>PER</stp>
        <tr r="I107" s="1"/>
      </tp>
      <tp>
        <v>16.420000000000002</v>
        <stp/>
        <stp>Market</stp>
        <stp>STOCK</stp>
        <stp>22070.T</stp>
        <stp>PER</stp>
        <tr r="I108" s="1"/>
      </tp>
      <tp>
        <v>14.39</v>
        <stp/>
        <stp>Market</stp>
        <stp>STOCK</stp>
        <stp>22080.T</stp>
        <stp>PER</stp>
        <tr r="I109" s="1"/>
      </tp>
      <tp>
        <v>12.74</v>
        <stp/>
        <stp>Market</stp>
        <stp>STOCK</stp>
        <stp>22090.T</stp>
        <stp>PER</stp>
        <tr r="I110" s="1"/>
      </tp>
      <tp>
        <v>14.05</v>
        <stp/>
        <stp>Market</stp>
        <stp>STOCK</stp>
        <stp>220A0.T</stp>
        <stp>PER</stp>
        <tr r="I111" s="1"/>
      </tp>
      <tp>
        <v>30.13</v>
        <stp/>
        <stp>Market</stp>
        <stp>STOCK</stp>
        <stp>22110.T</stp>
        <stp>PER</stp>
        <tr r="I112" s="1"/>
      </tp>
      <tp>
        <v>15.75</v>
        <stp/>
        <stp>Market</stp>
        <stp>STOCK</stp>
        <stp>22120.T</stp>
        <stp>PER</stp>
        <tr r="I113" s="1"/>
      </tp>
      <tp>
        <v>23.73</v>
        <stp/>
        <stp>Market</stp>
        <stp>STOCK</stp>
        <stp>22150.T</stp>
        <stp>PER</stp>
        <tr r="I114" s="1"/>
      </tp>
      <tp>
        <v>16.05</v>
        <stp/>
        <stp>Market</stp>
        <stp>STOCK</stp>
        <stp>22160.T</stp>
        <stp>PER</stp>
        <tr r="I115" s="1"/>
      </tp>
      <tp>
        <v>43</v>
        <stp/>
        <stp>Market</stp>
        <stp>STOCK</stp>
        <stp>22170.T</stp>
        <stp>PER</stp>
        <tr r="I116" s="1"/>
      </tp>
      <tp>
        <v>3.75</v>
        <stp/>
        <stp>Market</stp>
        <stp>STOCK</stp>
        <stp>22200.T</stp>
        <stp>PER</stp>
        <tr r="I117" s="1"/>
      </tp>
      <tp>
        <v>20.14</v>
        <stp/>
        <stp>Market</stp>
        <stp>STOCK</stp>
        <stp>22210.T</stp>
        <stp>PER</stp>
        <tr r="I118" s="1"/>
      </tp>
      <tp>
        <v>21.97</v>
        <stp/>
        <stp>Market</stp>
        <stp>STOCK</stp>
        <stp>22220.T</stp>
        <stp>PER</stp>
        <tr r="I119" s="1"/>
      </tp>
      <tp>
        <v>247.46</v>
        <stp/>
        <stp>Market</stp>
        <stp>STOCK</stp>
        <stp>22240.T</stp>
        <stp>PER</stp>
        <tr r="I120" s="1"/>
      </tp>
      <tp>
        <v>20.73</v>
        <stp/>
        <stp>Market</stp>
        <stp>STOCK</stp>
        <stp>22260.T</stp>
        <stp>PER</stp>
        <tr r="I121" s="1"/>
      </tp>
      <tp>
        <v>21.82</v>
        <stp/>
        <stp>Market</stp>
        <stp>STOCK</stp>
        <stp>22290.T</stp>
        <stp>PER</stp>
        <tr r="I122" s="1"/>
      </tp>
      <tp>
        <v>20.53</v>
        <stp/>
        <stp>Market</stp>
        <stp>STOCK</stp>
        <stp>22640.T</stp>
        <stp>PER</stp>
        <tr r="I123" s="1"/>
      </tp>
      <tp>
        <v>15.22</v>
        <stp/>
        <stp>Market</stp>
        <stp>STOCK</stp>
        <stp>22660.T</stp>
        <stp>PER</stp>
        <tr r="I124" s="1"/>
      </tp>
      <tp>
        <v>16.55</v>
        <stp/>
        <stp>Market</stp>
        <stp>STOCK</stp>
        <stp>22670.T</stp>
        <stp>PER</stp>
        <tr r="I125" s="1"/>
      </tp>
      <tp>
        <v>20.36</v>
        <stp/>
        <stp>Market</stp>
        <stp>STOCK</stp>
        <stp>22680.T</stp>
        <stp>PER</stp>
        <tr r="I126" s="1"/>
      </tp>
      <tp>
        <v>19.28</v>
        <stp/>
        <stp>Market</stp>
        <stp>STOCK</stp>
        <stp>22690.T</stp>
        <stp>PER</stp>
        <tr r="I127" s="1"/>
      </tp>
      <tp>
        <v>6.82</v>
        <stp/>
        <stp>Market</stp>
        <stp>STOCK</stp>
        <stp>22700.T</stp>
        <stp>PER</stp>
        <tr r="I128" s="1"/>
      </tp>
      <tp>
        <v>22.76</v>
        <stp/>
        <stp>Market</stp>
        <stp>STOCK</stp>
        <stp>22810.T</stp>
        <stp>PER</stp>
        <tr r="I129" s="1"/>
      </tp>
      <tp>
        <v>19.3</v>
        <stp/>
        <stp>Market</stp>
        <stp>STOCK</stp>
        <stp>22820.T</stp>
        <stp>PER</stp>
        <tr r="I130" s="1"/>
      </tp>
      <tp>
        <v>6.02</v>
        <stp/>
        <stp>Market</stp>
        <stp>STOCK</stp>
        <stp>22860.T</stp>
        <stp>PER</stp>
        <tr r="I131" s="1"/>
      </tp>
      <tp>
        <v>6.05</v>
        <stp/>
        <stp>Market</stp>
        <stp>STOCK</stp>
        <stp>22880.T</stp>
        <stp>PER</stp>
        <tr r="I132" s="1"/>
      </tp>
      <tp>
        <v>11.08</v>
        <stp/>
        <stp>Market</stp>
        <stp>STOCK</stp>
        <stp>228A0.T</stp>
        <stp>PER</stp>
        <tr r="I133" s="1"/>
      </tp>
      <tp>
        <v>5.03</v>
        <stp/>
        <stp>Market</stp>
        <stp>STOCK</stp>
        <stp>22910.T</stp>
        <stp>PER</stp>
        <tr r="I134" s="1"/>
      </tp>
      <tp>
        <v>12.01</v>
        <stp/>
        <stp>Market</stp>
        <stp>STOCK</stp>
        <stp>22920.T</stp>
        <stp>PER</stp>
        <tr r="I135" s="1"/>
      </tp>
      <tp>
        <v>0</v>
        <stp/>
        <stp>Market</stp>
        <stp>STOCK</stp>
        <stp>22930.T</stp>
        <stp>PER</stp>
        <tr r="I136" s="1"/>
      </tp>
      <tp>
        <v>32.25</v>
        <stp/>
        <stp>Market</stp>
        <stp>STOCK</stp>
        <stp>22940.T</stp>
        <stp>PER</stp>
        <tr r="I137" s="1"/>
      </tp>
      <tp>
        <v>18.98</v>
        <stp/>
        <stp>Market</stp>
        <stp>STOCK</stp>
        <stp>22960.T</stp>
        <stp>PER</stp>
        <tr r="I138" s="1"/>
      </tp>
    </main>
    <main first="rtdsrv.b2353dc584914e4193ea525a6339afd4">
      <tp>
        <v>100</v>
        <stp/>
        <stp>Market</stp>
        <stp>STOCK</stp>
        <stp>19940.T</stp>
        <stp>単位株数</stp>
        <tr r="G43" s="1"/>
      </tp>
      <tp>
        <v>100</v>
        <stp/>
        <stp>Market</stp>
        <stp>STOCK</stp>
        <stp>19970.T</stp>
        <stp>単位株数</stp>
        <tr r="G44" s="1"/>
      </tp>
      <tp>
        <v>100</v>
        <stp/>
        <stp>Market</stp>
        <stp>STOCK</stp>
        <stp>19920.T</stp>
        <stp>単位株数</stp>
        <tr r="G42" s="1"/>
      </tp>
      <tp>
        <v>100</v>
        <stp/>
        <stp>Market</stp>
        <stp>STOCK</stp>
        <stp>19800.T</stp>
        <stp>単位株数</stp>
        <tr r="G38" s="1"/>
      </tp>
      <tp>
        <v>100</v>
        <stp/>
        <stp>Market</stp>
        <stp>STOCK</stp>
        <stp>19810.T</stp>
        <stp>単位株数</stp>
        <tr r="G39" s="1"/>
      </tp>
      <tp>
        <v>100</v>
        <stp/>
        <stp>Market</stp>
        <stp>STOCK</stp>
        <stp>19820.T</stp>
        <stp>単位株数</stp>
        <tr r="G40" s="1"/>
      </tp>
      <tp>
        <v>100</v>
        <stp/>
        <stp>Market</stp>
        <stp>STOCK</stp>
        <stp>198A0.T</stp>
        <stp>単位株数</stp>
        <tr r="G41" s="1"/>
      </tp>
      <tp>
        <v>100</v>
        <stp/>
        <stp>Market</stp>
        <stp>STOCK</stp>
        <stp>19500.T</stp>
        <stp>単位株数</stp>
        <tr r="G18" s="1"/>
      </tp>
      <tp>
        <v>100</v>
        <stp/>
        <stp>Market</stp>
        <stp>STOCK</stp>
        <stp>19510.T</stp>
        <stp>単位株数</stp>
        <tr r="G19" s="1"/>
      </tp>
      <tp>
        <v>100</v>
        <stp/>
        <stp>Market</stp>
        <stp>STOCK</stp>
        <stp>19520.T</stp>
        <stp>単位株数</stp>
        <tr r="G20" s="1"/>
      </tp>
      <tp>
        <v>100</v>
        <stp/>
        <stp>Market</stp>
        <stp>STOCK</stp>
        <stp>19590.T</stp>
        <stp>単位株数</stp>
        <tr r="G21" s="1"/>
      </tp>
      <tp>
        <v>100</v>
        <stp/>
        <stp>Market</stp>
        <stp>STOCK</stp>
        <stp>195A0.T</stp>
        <stp>単位株数</stp>
        <tr r="G22" s="1"/>
      </tp>
      <tp>
        <v>100</v>
        <stp/>
        <stp>Market</stp>
        <stp>STOCK</stp>
        <stp>19440.T</stp>
        <stp>単位株数</stp>
        <tr r="G12" s="1"/>
      </tp>
      <tp>
        <v>100</v>
        <stp/>
        <stp>Market</stp>
        <stp>STOCK</stp>
        <stp>19450.T</stp>
        <stp>単位株数</stp>
        <tr r="G13" s="1"/>
      </tp>
      <tp>
        <v>100</v>
        <stp/>
        <stp>Market</stp>
        <stp>STOCK</stp>
        <stp>19460.T</stp>
        <stp>単位株数</stp>
        <tr r="G14" s="1"/>
      </tp>
      <tp>
        <v>100</v>
        <stp/>
        <stp>Market</stp>
        <stp>STOCK</stp>
        <stp>19410.T</stp>
        <stp>単位株数</stp>
        <tr r="G10" s="1"/>
      </tp>
      <tp>
        <v>100</v>
        <stp/>
        <stp>Market</stp>
        <stp>STOCK</stp>
        <stp>19420.T</stp>
        <stp>単位株数</stp>
        <tr r="G11" s="1"/>
      </tp>
      <tp>
        <v>100</v>
        <stp/>
        <stp>Market</stp>
        <stp>STOCK</stp>
        <stp>19480.T</stp>
        <stp>単位株数</stp>
        <tr r="G15" s="1"/>
      </tp>
      <tp>
        <v>100</v>
        <stp/>
        <stp>Market</stp>
        <stp>STOCK</stp>
        <stp>19490.T</stp>
        <stp>単位株数</stp>
        <tr r="G16" s="1"/>
      </tp>
      <tp>
        <v>100</v>
        <stp/>
        <stp>Market</stp>
        <stp>STOCK</stp>
        <stp>194A0.T</stp>
        <stp>単位株数</stp>
        <tr r="G17" s="1"/>
      </tp>
      <tp>
        <v>100</v>
        <stp/>
        <stp>Market</stp>
        <stp>STOCK</stp>
        <stp>19750.T</stp>
        <stp>単位株数</stp>
        <tr r="G34" s="1"/>
      </tp>
      <tp>
        <v>100</v>
        <stp/>
        <stp>Market</stp>
        <stp>STOCK</stp>
        <stp>19760.T</stp>
        <stp>単位株数</stp>
        <tr r="G35" s="1"/>
      </tp>
      <tp>
        <v>100</v>
        <stp/>
        <stp>Market</stp>
        <stp>STOCK</stp>
        <stp>19720.T</stp>
        <stp>単位株数</stp>
        <tr r="G33" s="1"/>
      </tp>
      <tp>
        <v>100</v>
        <stp/>
        <stp>Market</stp>
        <stp>STOCK</stp>
        <stp>19790.T</stp>
        <stp>単位株数</stp>
        <tr r="G36" s="1"/>
      </tp>
      <tp>
        <v>100</v>
        <stp/>
        <stp>Market</stp>
        <stp>STOCK</stp>
        <stp>197A0.T</stp>
        <stp>単位株数</stp>
        <tr r="G37" s="1"/>
      </tp>
      <tp>
        <v>100</v>
        <stp/>
        <stp>Market</stp>
        <stp>STOCK</stp>
        <stp>19640.T</stp>
        <stp>単位株数</stp>
        <tr r="G26" s="1"/>
      </tp>
      <tp>
        <v>100</v>
        <stp/>
        <stp>Market</stp>
        <stp>STOCK</stp>
        <stp>19650.T</stp>
        <stp>単位株数</stp>
        <tr r="G27" s="1"/>
      </tp>
      <tp>
        <v>100</v>
        <stp/>
        <stp>Market</stp>
        <stp>STOCK</stp>
        <stp>19660.T</stp>
        <stp>単位株数</stp>
        <tr r="G28" s="1"/>
      </tp>
      <tp>
        <v>100</v>
        <stp/>
        <stp>Market</stp>
        <stp>STOCK</stp>
        <stp>19670.T</stp>
        <stp>単位株数</stp>
        <tr r="G29" s="1"/>
      </tp>
      <tp>
        <v>100</v>
        <stp/>
        <stp>Market</stp>
        <stp>STOCK</stp>
        <stp>19600.T</stp>
        <stp>単位株数</stp>
        <tr r="G23" s="1"/>
      </tp>
      <tp>
        <v>100</v>
        <stp/>
        <stp>Market</stp>
        <stp>STOCK</stp>
        <stp>19610.T</stp>
        <stp>単位株数</stp>
        <tr r="G24" s="1"/>
      </tp>
      <tp>
        <v>100</v>
        <stp/>
        <stp>Market</stp>
        <stp>STOCK</stp>
        <stp>19630.T</stp>
        <stp>単位株数</stp>
        <tr r="G25" s="1"/>
      </tp>
      <tp>
        <v>100</v>
        <stp/>
        <stp>Market</stp>
        <stp>STOCK</stp>
        <stp>19680.T</stp>
        <stp>単位株数</stp>
        <tr r="G30" s="1"/>
      </tp>
      <tp>
        <v>100</v>
        <stp/>
        <stp>Market</stp>
        <stp>STOCK</stp>
        <stp>19690.T</stp>
        <stp>単位株数</stp>
        <tr r="G31" s="1"/>
      </tp>
      <tp>
        <v>100</v>
        <stp/>
        <stp>Market</stp>
        <stp>STOCK</stp>
        <stp>196A0.T</stp>
        <stp>単位株数</stp>
        <tr r="G32" s="1"/>
      </tp>
      <tp>
        <v>100</v>
        <stp/>
        <stp>Market</stp>
        <stp>STOCK</stp>
        <stp>19340.T</stp>
        <stp>単位株数</stp>
        <tr r="G7" s="1"/>
      </tp>
      <tp>
        <v>100</v>
        <stp/>
        <stp>Market</stp>
        <stp>STOCK</stp>
        <stp>19300.T</stp>
        <stp>単位株数</stp>
        <tr r="G6" s="1"/>
      </tp>
      <tp>
        <v>100</v>
        <stp/>
        <stp>Market</stp>
        <stp>STOCK</stp>
        <stp>19380.T</stp>
        <stp>単位株数</stp>
        <tr r="G8" s="1"/>
      </tp>
      <tp>
        <v>100</v>
        <stp/>
        <stp>Market</stp>
        <stp>STOCK</stp>
        <stp>19390.T</stp>
        <stp>単位株数</stp>
        <tr r="G9" s="1"/>
      </tp>
      <tp>
        <v>100</v>
        <stp/>
        <stp>Market</stp>
        <stp>STOCK</stp>
        <stp>19260.T</stp>
        <stp>単位株数</stp>
        <tr r="G2" s="1"/>
      </tp>
      <tp>
        <v>100</v>
        <stp/>
        <stp>Market</stp>
        <stp>STOCK</stp>
        <stp>19280.T</stp>
        <stp>単位株数</stp>
        <tr r="G3" s="1"/>
      </tp>
      <tp>
        <v>100</v>
        <stp/>
        <stp>Market</stp>
        <stp>STOCK</stp>
        <stp>19290.T</stp>
        <stp>単位株数</stp>
        <tr r="G4" s="1"/>
      </tp>
      <tp>
        <v>100</v>
        <stp/>
        <stp>Market</stp>
        <stp>STOCK</stp>
        <stp>192A0.T</stp>
        <stp>単位株数</stp>
        <tr r="G5" s="1"/>
      </tp>
      <tp t="s">
        <v>-</v>
        <stp/>
        <stp>Market</stp>
        <stp>STOCK</stp>
        <stp>19920.T</stp>
        <stp>信用売残前週比</stp>
        <tr r="L42" s="1"/>
      </tp>
      <tp t="s">
        <v>-</v>
        <stp/>
        <stp>Market</stp>
        <stp>STOCK</stp>
        <stp>19970.T</stp>
        <stp>信用売残前週比</stp>
        <tr r="L44" s="1"/>
      </tp>
      <tp t="s">
        <v>-</v>
        <stp/>
        <stp>Market</stp>
        <stp>STOCK</stp>
        <stp>19940.T</stp>
        <stp>信用売残前週比</stp>
        <tr r="L43" s="1"/>
      </tp>
      <tp>
        <v>-2800</v>
        <stp/>
        <stp>Market</stp>
        <stp>STOCK</stp>
        <stp>19820.T</stp>
        <stp>信用売残前週比</stp>
        <tr r="L40" s="1"/>
      </tp>
      <tp>
        <v>5400</v>
        <stp/>
        <stp>Market</stp>
        <stp>STOCK</stp>
        <stp>19800.T</stp>
        <stp>信用売残前週比</stp>
        <tr r="L38" s="1"/>
      </tp>
      <tp t="s">
        <v>-</v>
        <stp/>
        <stp>Market</stp>
        <stp>STOCK</stp>
        <stp>19810.T</stp>
        <stp>信用売残前週比</stp>
        <tr r="L39" s="1"/>
      </tp>
      <tp>
        <v>2300</v>
        <stp/>
        <stp>Market</stp>
        <stp>STOCK</stp>
        <stp>198A0.T</stp>
        <stp>信用売残前週比</stp>
        <tr r="L41" s="1"/>
      </tp>
      <tp>
        <v>700</v>
        <stp/>
        <stp>Market</stp>
        <stp>STOCK</stp>
        <stp>19720.T</stp>
        <stp>信用売残前週比</stp>
        <tr r="L33" s="1"/>
      </tp>
      <tp>
        <v>6100</v>
        <stp/>
        <stp>Market</stp>
        <stp>STOCK</stp>
        <stp>19760.T</stp>
        <stp>信用売残前週比</stp>
        <tr r="L35" s="1"/>
      </tp>
      <tp>
        <v>400</v>
        <stp/>
        <stp>Market</stp>
        <stp>STOCK</stp>
        <stp>19750.T</stp>
        <stp>信用売残前週比</stp>
        <tr r="L34" s="1"/>
      </tp>
      <tp>
        <v>6100</v>
        <stp/>
        <stp>Market</stp>
        <stp>STOCK</stp>
        <stp>19790.T</stp>
        <stp>信用売残前週比</stp>
        <tr r="L36" s="1"/>
      </tp>
      <tp>
        <v>5400</v>
        <stp/>
        <stp>Market</stp>
        <stp>STOCK</stp>
        <stp>197A0.T</stp>
        <stp>信用売残前週比</stp>
        <tr r="L37" s="1"/>
      </tp>
      <tp>
        <v>19600</v>
        <stp/>
        <stp>Market</stp>
        <stp>STOCK</stp>
        <stp>19630.T</stp>
        <stp>信用売残前週比</stp>
        <tr r="L25" s="1"/>
      </tp>
      <tp t="s">
        <v>-</v>
        <stp/>
        <stp>Market</stp>
        <stp>STOCK</stp>
        <stp>19600.T</stp>
        <stp>信用売残前週比</stp>
        <tr r="L23" s="1"/>
      </tp>
      <tp>
        <v>4000</v>
        <stp/>
        <stp>Market</stp>
        <stp>STOCK</stp>
        <stp>19610.T</stp>
        <stp>信用売残前週比</stp>
        <tr r="L24" s="1"/>
      </tp>
      <tp>
        <v>-100</v>
        <stp/>
        <stp>Market</stp>
        <stp>STOCK</stp>
        <stp>19660.T</stp>
        <stp>信用売残前週比</stp>
        <tr r="L28" s="1"/>
      </tp>
      <tp>
        <v>1200</v>
        <stp/>
        <stp>Market</stp>
        <stp>STOCK</stp>
        <stp>19670.T</stp>
        <stp>信用売残前週比</stp>
        <tr r="L29" s="1"/>
      </tp>
      <tp>
        <v>300</v>
        <stp/>
        <stp>Market</stp>
        <stp>STOCK</stp>
        <stp>19640.T</stp>
        <stp>信用売残前週比</stp>
        <tr r="L26" s="1"/>
      </tp>
      <tp>
        <v>-400</v>
        <stp/>
        <stp>Market</stp>
        <stp>STOCK</stp>
        <stp>19650.T</stp>
        <stp>信用売残前週比</stp>
        <tr r="L27" s="1"/>
      </tp>
      <tp>
        <v>-5100</v>
        <stp/>
        <stp>Market</stp>
        <stp>STOCK</stp>
        <stp>19680.T</stp>
        <stp>信用売残前週比</stp>
        <tr r="L30" s="1"/>
      </tp>
      <tp>
        <v>2000</v>
        <stp/>
        <stp>Market</stp>
        <stp>STOCK</stp>
        <stp>19690.T</stp>
        <stp>信用売残前週比</stp>
        <tr r="L31" s="1"/>
      </tp>
      <tp t="s">
        <v>-</v>
        <stp/>
        <stp>Market</stp>
        <stp>STOCK</stp>
        <stp>196A0.T</stp>
        <stp>信用売残前週比</stp>
        <tr r="L32" s="1"/>
      </tp>
      <tp>
        <v>-3100</v>
        <stp/>
        <stp>Market</stp>
        <stp>STOCK</stp>
        <stp>19520.T</stp>
        <stp>信用売残前週比</stp>
        <tr r="L20" s="1"/>
      </tp>
      <tp>
        <v>-200</v>
        <stp/>
        <stp>Market</stp>
        <stp>STOCK</stp>
        <stp>19500.T</stp>
        <stp>信用売残前週比</stp>
        <tr r="L18" s="1"/>
      </tp>
      <tp>
        <v>2400</v>
        <stp/>
        <stp>Market</stp>
        <stp>STOCK</stp>
        <stp>19510.T</stp>
        <stp>信用売残前週比</stp>
        <tr r="L19" s="1"/>
      </tp>
      <tp>
        <v>2200</v>
        <stp/>
        <stp>Market</stp>
        <stp>STOCK</stp>
        <stp>19590.T</stp>
        <stp>信用売残前週比</stp>
        <tr r="L21" s="1"/>
      </tp>
      <tp>
        <v>4100</v>
        <stp/>
        <stp>Market</stp>
        <stp>STOCK</stp>
        <stp>195A0.T</stp>
        <stp>信用売残前週比</stp>
        <tr r="L22" s="1"/>
      </tp>
      <tp>
        <v>-2236400</v>
        <stp/>
        <stp>Market</stp>
        <stp>STOCK</stp>
        <stp>19420.T</stp>
        <stp>信用売残前週比</stp>
        <tr r="L11" s="1"/>
      </tp>
      <tp>
        <v>10200</v>
        <stp/>
        <stp>Market</stp>
        <stp>STOCK</stp>
        <stp>19410.T</stp>
        <stp>信用売残前週比</stp>
        <tr r="L10" s="1"/>
      </tp>
      <tp>
        <v>15900</v>
        <stp/>
        <stp>Market</stp>
        <stp>STOCK</stp>
        <stp>19460.T</stp>
        <stp>信用売残前週比</stp>
        <tr r="L14" s="1"/>
      </tp>
      <tp>
        <v>3600</v>
        <stp/>
        <stp>Market</stp>
        <stp>STOCK</stp>
        <stp>19440.T</stp>
        <stp>信用売残前週比</stp>
        <tr r="L12" s="1"/>
      </tp>
      <tp>
        <v>257300</v>
        <stp/>
        <stp>Market</stp>
        <stp>STOCK</stp>
        <stp>19450.T</stp>
        <stp>信用売残前週比</stp>
        <tr r="L13" s="1"/>
      </tp>
      <tp t="s">
        <v>-</v>
        <stp/>
        <stp>Market</stp>
        <stp>STOCK</stp>
        <stp>19480.T</stp>
        <stp>信用売残前週比</stp>
        <tr r="L15" s="1"/>
      </tp>
      <tp>
        <v>-400</v>
        <stp/>
        <stp>Market</stp>
        <stp>STOCK</stp>
        <stp>19490.T</stp>
        <stp>信用売残前週比</stp>
        <tr r="L16" s="1"/>
      </tp>
      <tp t="s">
        <v>-</v>
        <stp/>
        <stp>Market</stp>
        <stp>STOCK</stp>
        <stp>194A0.T</stp>
        <stp>信用売残前週比</stp>
        <tr r="L17" s="1"/>
      </tp>
      <tp>
        <v>7800</v>
        <stp/>
        <stp>Market</stp>
        <stp>STOCK</stp>
        <stp>19300.T</stp>
        <stp>信用売残前週比</stp>
        <tr r="L6" s="1"/>
      </tp>
      <tp>
        <v>6100</v>
        <stp/>
        <stp>Market</stp>
        <stp>STOCK</stp>
        <stp>19340.T</stp>
        <stp>信用売残前週比</stp>
        <tr r="L7" s="1"/>
      </tp>
      <tp>
        <v>93200</v>
        <stp/>
        <stp>Market</stp>
        <stp>STOCK</stp>
        <stp>19380.T</stp>
        <stp>信用売残前週比</stp>
        <tr r="L8" s="1"/>
      </tp>
      <tp>
        <v>-2200</v>
        <stp/>
        <stp>Market</stp>
        <stp>STOCK</stp>
        <stp>19390.T</stp>
        <stp>信用売残前週比</stp>
        <tr r="L9" s="1"/>
      </tp>
      <tp>
        <v>4600</v>
        <stp/>
        <stp>Market</stp>
        <stp>STOCK</stp>
        <stp>19260.T</stp>
        <stp>信用売残前週比</stp>
        <tr r="L2" s="1"/>
      </tp>
      <tp>
        <v>-6100</v>
        <stp/>
        <stp>Market</stp>
        <stp>STOCK</stp>
        <stp>19280.T</stp>
        <stp>信用売残前週比</stp>
        <tr r="L3" s="1"/>
      </tp>
      <tp>
        <v>5700</v>
        <stp/>
        <stp>Market</stp>
        <stp>STOCK</stp>
        <stp>19290.T</stp>
        <stp>信用売残前週比</stp>
        <tr r="L4" s="1"/>
      </tp>
      <tp t="s">
        <v>-</v>
        <stp/>
        <stp>Market</stp>
        <stp>STOCK</stp>
        <stp>192A0.T</stp>
        <stp>信用売残前週比</stp>
        <tr r="L5" s="1"/>
      </tp>
      <tp>
        <v>-10900</v>
        <stp/>
        <stp>Market</stp>
        <stp>STOCK</stp>
        <stp>19820.T</stp>
        <stp>信用買残前週比</stp>
        <tr r="N40" s="1"/>
      </tp>
      <tp>
        <v>-1400</v>
        <stp/>
        <stp>Market</stp>
        <stp>STOCK</stp>
        <stp>19800.T</stp>
        <stp>信用買残前週比</stp>
        <tr r="N38" s="1"/>
      </tp>
      <tp>
        <v>-2100</v>
        <stp/>
        <stp>Market</stp>
        <stp>STOCK</stp>
        <stp>19810.T</stp>
        <stp>信用買残前週比</stp>
        <tr r="N39" s="1"/>
      </tp>
      <tp>
        <v>73500</v>
        <stp/>
        <stp>Market</stp>
        <stp>STOCK</stp>
        <stp>198A0.T</stp>
        <stp>信用買残前週比</stp>
        <tr r="N41" s="1"/>
      </tp>
      <tp>
        <v>-300</v>
        <stp/>
        <stp>Market</stp>
        <stp>STOCK</stp>
        <stp>19920.T</stp>
        <stp>信用買残前週比</stp>
        <tr r="N42" s="1"/>
      </tp>
      <tp>
        <v>-600</v>
        <stp/>
        <stp>Market</stp>
        <stp>STOCK</stp>
        <stp>19970.T</stp>
        <stp>信用買残前週比</stp>
        <tr r="N44" s="1"/>
      </tp>
      <tp>
        <v>3100</v>
        <stp/>
        <stp>Market</stp>
        <stp>STOCK</stp>
        <stp>19940.T</stp>
        <stp>信用買残前週比</stp>
        <tr r="N43" s="1"/>
      </tp>
      <tp>
        <v>-23800</v>
        <stp/>
        <stp>Market</stp>
        <stp>STOCK</stp>
        <stp>19260.T</stp>
        <stp>信用買残前週比</stp>
        <tr r="N2" s="1"/>
      </tp>
      <tp>
        <v>-14500</v>
        <stp/>
        <stp>Market</stp>
        <stp>STOCK</stp>
        <stp>19280.T</stp>
        <stp>信用買残前週比</stp>
        <tr r="N3" s="1"/>
      </tp>
      <tp>
        <v>9300</v>
        <stp/>
        <stp>Market</stp>
        <stp>STOCK</stp>
        <stp>19290.T</stp>
        <stp>信用買残前週比</stp>
        <tr r="N4" s="1"/>
      </tp>
      <tp>
        <v>1700</v>
        <stp/>
        <stp>Market</stp>
        <stp>STOCK</stp>
        <stp>192A0.T</stp>
        <stp>信用買残前週比</stp>
        <tr r="N5" s="1"/>
      </tp>
      <tp>
        <v>-7300</v>
        <stp/>
        <stp>Market</stp>
        <stp>STOCK</stp>
        <stp>19300.T</stp>
        <stp>信用買残前週比</stp>
        <tr r="N6" s="1"/>
      </tp>
      <tp>
        <v>-5700</v>
        <stp/>
        <stp>Market</stp>
        <stp>STOCK</stp>
        <stp>19340.T</stp>
        <stp>信用買残前週比</stp>
        <tr r="N7" s="1"/>
      </tp>
      <tp>
        <v>35400</v>
        <stp/>
        <stp>Market</stp>
        <stp>STOCK</stp>
        <stp>19380.T</stp>
        <stp>信用買残前週比</stp>
        <tr r="N8" s="1"/>
      </tp>
      <tp>
        <v>15600</v>
        <stp/>
        <stp>Market</stp>
        <stp>STOCK</stp>
        <stp>19390.T</stp>
        <stp>信用買残前週比</stp>
        <tr r="N9" s="1"/>
      </tp>
      <tp>
        <v>-58500</v>
        <stp/>
        <stp>Market</stp>
        <stp>STOCK</stp>
        <stp>19630.T</stp>
        <stp>信用買残前週比</stp>
        <tr r="N25" s="1"/>
      </tp>
      <tp>
        <v>-19200</v>
        <stp/>
        <stp>Market</stp>
        <stp>STOCK</stp>
        <stp>19600.T</stp>
        <stp>信用買残前週比</stp>
        <tr r="N23" s="1"/>
      </tp>
      <tp>
        <v>-11300</v>
        <stp/>
        <stp>Market</stp>
        <stp>STOCK</stp>
        <stp>19610.T</stp>
        <stp>信用買残前週比</stp>
        <tr r="N24" s="1"/>
      </tp>
      <tp>
        <v>-6700</v>
        <stp/>
        <stp>Market</stp>
        <stp>STOCK</stp>
        <stp>19660.T</stp>
        <stp>信用買残前週比</stp>
        <tr r="N28" s="1"/>
      </tp>
      <tp>
        <v>800</v>
        <stp/>
        <stp>Market</stp>
        <stp>STOCK</stp>
        <stp>19670.T</stp>
        <stp>信用買残前週比</stp>
        <tr r="N29" s="1"/>
      </tp>
      <tp>
        <v>-3600</v>
        <stp/>
        <stp>Market</stp>
        <stp>STOCK</stp>
        <stp>19640.T</stp>
        <stp>信用買残前週比</stp>
        <tr r="N26" s="1"/>
      </tp>
      <tp>
        <v>1100</v>
        <stp/>
        <stp>Market</stp>
        <stp>STOCK</stp>
        <stp>19650.T</stp>
        <stp>信用買残前週比</stp>
        <tr r="N27" s="1"/>
      </tp>
      <tp>
        <v>2400</v>
        <stp/>
        <stp>Market</stp>
        <stp>STOCK</stp>
        <stp>19680.T</stp>
        <stp>信用買残前週比</stp>
        <tr r="N30" s="1"/>
      </tp>
      <tp>
        <v>48700</v>
        <stp/>
        <stp>Market</stp>
        <stp>STOCK</stp>
        <stp>19690.T</stp>
        <stp>信用買残前週比</stp>
        <tr r="N31" s="1"/>
      </tp>
      <tp>
        <v>1300</v>
        <stp/>
        <stp>Market</stp>
        <stp>STOCK</stp>
        <stp>196A0.T</stp>
        <stp>信用買残前週比</stp>
        <tr r="N32" s="1"/>
      </tp>
      <tp>
        <v>-4500</v>
        <stp/>
        <stp>Market</stp>
        <stp>STOCK</stp>
        <stp>19720.T</stp>
        <stp>信用買残前週比</stp>
        <tr r="N33" s="1"/>
      </tp>
      <tp>
        <v>2900</v>
        <stp/>
        <stp>Market</stp>
        <stp>STOCK</stp>
        <stp>19760.T</stp>
        <stp>信用買残前週比</stp>
        <tr r="N35" s="1"/>
      </tp>
      <tp>
        <v>-19600</v>
        <stp/>
        <stp>Market</stp>
        <stp>STOCK</stp>
        <stp>19750.T</stp>
        <stp>信用買残前週比</stp>
        <tr r="N34" s="1"/>
      </tp>
      <tp>
        <v>-1100</v>
        <stp/>
        <stp>Market</stp>
        <stp>STOCK</stp>
        <stp>19790.T</stp>
        <stp>信用買残前週比</stp>
        <tr r="N36" s="1"/>
      </tp>
      <tp>
        <v>-115500</v>
        <stp/>
        <stp>Market</stp>
        <stp>STOCK</stp>
        <stp>197A0.T</stp>
        <stp>信用買残前週比</stp>
        <tr r="N37" s="1"/>
      </tp>
      <tp>
        <v>71100</v>
        <stp/>
        <stp>Market</stp>
        <stp>STOCK</stp>
        <stp>19420.T</stp>
        <stp>信用買残前週比</stp>
        <tr r="N11" s="1"/>
      </tp>
      <tp>
        <v>-2500</v>
        <stp/>
        <stp>Market</stp>
        <stp>STOCK</stp>
        <stp>19410.T</stp>
        <stp>信用買残前週比</stp>
        <tr r="N10" s="1"/>
      </tp>
      <tp>
        <v>-100</v>
        <stp/>
        <stp>Market</stp>
        <stp>STOCK</stp>
        <stp>19460.T</stp>
        <stp>信用買残前週比</stp>
        <tr r="N14" s="1"/>
      </tp>
      <tp>
        <v>-31700</v>
        <stp/>
        <stp>Market</stp>
        <stp>STOCK</stp>
        <stp>19440.T</stp>
        <stp>信用買残前週比</stp>
        <tr r="N12" s="1"/>
      </tp>
      <tp>
        <v>16300</v>
        <stp/>
        <stp>Market</stp>
        <stp>STOCK</stp>
        <stp>19450.T</stp>
        <stp>信用買残前週比</stp>
        <tr r="N13" s="1"/>
      </tp>
      <tp>
        <v>-3200</v>
        <stp/>
        <stp>Market</stp>
        <stp>STOCK</stp>
        <stp>19480.T</stp>
        <stp>信用買残前週比</stp>
        <tr r="N15" s="1"/>
      </tp>
      <tp>
        <v>-500</v>
        <stp/>
        <stp>Market</stp>
        <stp>STOCK</stp>
        <stp>19490.T</stp>
        <stp>信用買残前週比</stp>
        <tr r="N16" s="1"/>
      </tp>
      <tp>
        <v>-14700</v>
        <stp/>
        <stp>Market</stp>
        <stp>STOCK</stp>
        <stp>194A0.T</stp>
        <stp>信用買残前週比</stp>
        <tr r="N17" s="1"/>
      </tp>
      <tp>
        <v>-2000</v>
        <stp/>
        <stp>Market</stp>
        <stp>STOCK</stp>
        <stp>19520.T</stp>
        <stp>信用買残前週比</stp>
        <tr r="N20" s="1"/>
      </tp>
      <tp>
        <v>4400</v>
        <stp/>
        <stp>Market</stp>
        <stp>STOCK</stp>
        <stp>19500.T</stp>
        <stp>信用買残前週比</stp>
        <tr r="N18" s="1"/>
      </tp>
      <tp>
        <v>-7900</v>
        <stp/>
        <stp>Market</stp>
        <stp>STOCK</stp>
        <stp>19510.T</stp>
        <stp>信用買残前週比</stp>
        <tr r="N19" s="1"/>
      </tp>
      <tp>
        <v>2500</v>
        <stp/>
        <stp>Market</stp>
        <stp>STOCK</stp>
        <stp>19590.T</stp>
        <stp>信用買残前週比</stp>
        <tr r="N21" s="1"/>
      </tp>
      <tp>
        <v>-11200</v>
        <stp/>
        <stp>Market</stp>
        <stp>STOCK</stp>
        <stp>195A0.T</stp>
        <stp>信用買残前週比</stp>
        <tr r="N22" s="1"/>
      </tp>
      <tp>
        <v>-338300</v>
        <stp/>
        <stp>Market</stp>
        <stp>STOCK</stp>
        <stp>22920.T</stp>
        <stp>信用売残前週比</stp>
        <tr r="L135" s="1"/>
      </tp>
      <tp t="s">
        <v>-</v>
        <stp/>
        <stp>Market</stp>
        <stp>STOCK</stp>
        <stp>22930.T</stp>
        <stp>信用売残前週比</stp>
        <tr r="L136" s="1"/>
      </tp>
      <tp>
        <v>-4000</v>
        <stp/>
        <stp>Market</stp>
        <stp>STOCK</stp>
        <stp>22910.T</stp>
        <stp>信用売残前週比</stp>
        <tr r="L134" s="1"/>
      </tp>
      <tp>
        <v>4000</v>
        <stp/>
        <stp>Market</stp>
        <stp>STOCK</stp>
        <stp>22960.T</stp>
        <stp>信用売残前週比</stp>
        <tr r="L138" s="1"/>
      </tp>
      <tp>
        <v>200</v>
        <stp/>
        <stp>Market</stp>
        <stp>STOCK</stp>
        <stp>22940.T</stp>
        <stp>信用売残前週比</stp>
        <tr r="L137" s="1"/>
      </tp>
      <tp>
        <v>1700</v>
        <stp/>
        <stp>Market</stp>
        <stp>STOCK</stp>
        <stp>22820.T</stp>
        <stp>信用売残前週比</stp>
        <tr r="L130" s="1"/>
      </tp>
      <tp>
        <v>6300</v>
        <stp/>
        <stp>Market</stp>
        <stp>STOCK</stp>
        <stp>22810.T</stp>
        <stp>信用売残前週比</stp>
        <tr r="L129" s="1"/>
      </tp>
      <tp>
        <v>-600</v>
        <stp/>
        <stp>Market</stp>
        <stp>STOCK</stp>
        <stp>22860.T</stp>
        <stp>信用売残前週比</stp>
        <tr r="L131" s="1"/>
      </tp>
      <tp>
        <v>201400</v>
        <stp/>
        <stp>Market</stp>
        <stp>STOCK</stp>
        <stp>22880.T</stp>
        <stp>信用売残前週比</stp>
        <tr r="L132" s="1"/>
      </tp>
      <tp t="s">
        <v>-</v>
        <stp/>
        <stp>Market</stp>
        <stp>STOCK</stp>
        <stp>228A0.T</stp>
        <stp>信用売残前週比</stp>
        <tr r="L133" s="1"/>
      </tp>
      <tp>
        <v>26100</v>
        <stp/>
        <stp>Market</stp>
        <stp>STOCK</stp>
        <stp>22700.T</stp>
        <stp>信用売残前週比</stp>
        <tr r="L128" s="1"/>
      </tp>
      <tp>
        <v>-2200</v>
        <stp/>
        <stp>Market</stp>
        <stp>STOCK</stp>
        <stp>22660.T</stp>
        <stp>信用売残前週比</stp>
        <tr r="L124" s="1"/>
      </tp>
      <tp>
        <v>-12700</v>
        <stp/>
        <stp>Market</stp>
        <stp>STOCK</stp>
        <stp>22670.T</stp>
        <stp>信用売残前週比</stp>
        <tr r="L125" s="1"/>
      </tp>
      <tp>
        <v>-7900</v>
        <stp/>
        <stp>Market</stp>
        <stp>STOCK</stp>
        <stp>22640.T</stp>
        <stp>信用売残前週比</stp>
        <tr r="L123" s="1"/>
      </tp>
      <tp t="s">
        <v>-</v>
        <stp/>
        <stp>Market</stp>
        <stp>STOCK</stp>
        <stp>22680.T</stp>
        <stp>信用売残前週比</stp>
        <tr r="L126" s="1"/>
      </tp>
      <tp>
        <v>28000</v>
        <stp/>
        <stp>Market</stp>
        <stp>STOCK</stp>
        <stp>22690.T</stp>
        <stp>信用売残前週比</stp>
        <tr r="L127" s="1"/>
      </tp>
      <tp>
        <v>47100</v>
        <stp/>
        <stp>Market</stp>
        <stp>STOCK</stp>
        <stp>22220.T</stp>
        <stp>信用売残前週比</stp>
        <tr r="L119" s="1"/>
      </tp>
      <tp>
        <v>3700</v>
        <stp/>
        <stp>Market</stp>
        <stp>STOCK</stp>
        <stp>22200.T</stp>
        <stp>信用売残前週比</stp>
        <tr r="L117" s="1"/>
      </tp>
      <tp t="s">
        <v>-</v>
        <stp/>
        <stp>Market</stp>
        <stp>STOCK</stp>
        <stp>22210.T</stp>
        <stp>信用売残前週比</stp>
        <tr r="L118" s="1"/>
      </tp>
      <tp>
        <v>200</v>
        <stp/>
        <stp>Market</stp>
        <stp>STOCK</stp>
        <stp>22260.T</stp>
        <stp>信用売残前週比</stp>
        <tr r="L121" s="1"/>
      </tp>
      <tp t="s">
        <v>-</v>
        <stp/>
        <stp>Market</stp>
        <stp>STOCK</stp>
        <stp>22240.T</stp>
        <stp>信用売残前週比</stp>
        <tr r="L120" s="1"/>
      </tp>
      <tp>
        <v>14700</v>
        <stp/>
        <stp>Market</stp>
        <stp>STOCK</stp>
        <stp>22290.T</stp>
        <stp>信用売残前週比</stp>
        <tr r="L122" s="1"/>
      </tp>
      <tp>
        <v>-1400</v>
        <stp/>
        <stp>Market</stp>
        <stp>STOCK</stp>
        <stp>22120.T</stp>
        <stp>信用売残前週比</stp>
        <tr r="L113" s="1"/>
      </tp>
      <tp>
        <v>-800</v>
        <stp/>
        <stp>Market</stp>
        <stp>STOCK</stp>
        <stp>22110.T</stp>
        <stp>信用売残前週比</stp>
        <tr r="L112" s="1"/>
      </tp>
      <tp>
        <v>11100</v>
        <stp/>
        <stp>Market</stp>
        <stp>STOCK</stp>
        <stp>22160.T</stp>
        <stp>信用売残前週比</stp>
        <tr r="L115" s="1"/>
      </tp>
      <tp>
        <v>1500</v>
        <stp/>
        <stp>Market</stp>
        <stp>STOCK</stp>
        <stp>22170.T</stp>
        <stp>信用売残前週比</stp>
        <tr r="L116" s="1"/>
      </tp>
      <tp>
        <v>0</v>
        <stp/>
        <stp>Market</stp>
        <stp>STOCK</stp>
        <stp>22150.T</stp>
        <stp>信用売残前週比</stp>
        <tr r="L114" s="1"/>
      </tp>
      <tp>
        <v>-7300</v>
        <stp/>
        <stp>Market</stp>
        <stp>STOCK</stp>
        <stp>22010.T</stp>
        <stp>信用売残前週比</stp>
        <tr r="L105" s="1"/>
      </tp>
      <tp>
        <v>-2700</v>
        <stp/>
        <stp>Market</stp>
        <stp>STOCK</stp>
        <stp>22060.T</stp>
        <stp>信用売残前週比</stp>
        <tr r="L107" s="1"/>
      </tp>
      <tp>
        <v>26200</v>
        <stp/>
        <stp>Market</stp>
        <stp>STOCK</stp>
        <stp>22070.T</stp>
        <stp>信用売残前週比</stp>
        <tr r="L108" s="1"/>
      </tp>
      <tp>
        <v>4100</v>
        <stp/>
        <stp>Market</stp>
        <stp>STOCK</stp>
        <stp>22040.T</stp>
        <stp>信用売残前週比</stp>
        <tr r="L106" s="1"/>
      </tp>
      <tp t="s">
        <v>-</v>
        <stp/>
        <stp>Market</stp>
        <stp>STOCK</stp>
        <stp>22080.T</stp>
        <stp>信用売残前週比</stp>
        <tr r="L109" s="1"/>
      </tp>
      <tp>
        <v>1100</v>
        <stp/>
        <stp>Market</stp>
        <stp>STOCK</stp>
        <stp>22090.T</stp>
        <stp>信用売残前週比</stp>
        <tr r="L110" s="1"/>
      </tp>
      <tp t="s">
        <v>-</v>
        <stp/>
        <stp>Market</stp>
        <stp>STOCK</stp>
        <stp>220A0.T</stp>
        <stp>信用売残前週比</stp>
        <tr r="L111" s="1"/>
      </tp>
      <tp t="s">
        <v>-</v>
        <stp/>
        <stp>Market</stp>
        <stp>STOCK</stp>
        <stp>23230.T</stp>
        <stp>信用売残前週比</stp>
        <tr r="L149" s="1"/>
      </tp>
      <tp t="s">
        <v>-</v>
        <stp/>
        <stp>Market</stp>
        <stp>STOCK</stp>
        <stp>23210.T</stp>
        <stp>信用売残前週比</stp>
        <tr r="L148" s="1"/>
      </tp>
      <tp>
        <v>14200</v>
        <stp/>
        <stp>Market</stp>
        <stp>STOCK</stp>
        <stp>23260.T</stp>
        <stp>信用売残前週比</stp>
        <tr r="L151" s="1"/>
      </tp>
      <tp>
        <v>2200</v>
        <stp/>
        <stp>Market</stp>
        <stp>STOCK</stp>
        <stp>23250.T</stp>
        <stp>信用売残前週比</stp>
        <tr r="L150" s="1"/>
      </tp>
      <tp t="s">
        <v>-</v>
        <stp/>
        <stp>Market</stp>
        <stp>STOCK</stp>
        <stp>23110.T</stp>
        <stp>信用売残前週比</stp>
        <tr r="L145" s="1"/>
      </tp>
      <tp>
        <v>39200</v>
        <stp/>
        <stp>Market</stp>
        <stp>STOCK</stp>
        <stp>23170.T</stp>
        <stp>信用売残前週比</stp>
        <tr r="L147" s="1"/>
      </tp>
      <tp>
        <v>137400</v>
        <stp/>
        <stp>Market</stp>
        <stp>STOCK</stp>
        <stp>23150.T</stp>
        <stp>信用売残前週比</stp>
        <tr r="L146" s="1"/>
      </tp>
      <tp t="s">
        <v>-</v>
        <stp/>
        <stp>Market</stp>
        <stp>STOCK</stp>
        <stp>23030.T</stp>
        <stp>信用売残前週比</stp>
        <tr r="L141" s="1"/>
      </tp>
      <tp t="s">
        <v>-</v>
        <stp/>
        <stp>Market</stp>
        <stp>STOCK</stp>
        <stp>23000.T</stp>
        <stp>信用売残前週比</stp>
        <tr r="L139" s="1"/>
      </tp>
      <tp>
        <v>2400</v>
        <stp/>
        <stp>Market</stp>
        <stp>STOCK</stp>
        <stp>23010.T</stp>
        <stp>信用売残前週比</stp>
        <tr r="L140" s="1"/>
      </tp>
      <tp t="s">
        <v>-</v>
        <stp/>
        <stp>Market</stp>
        <stp>STOCK</stp>
        <stp>23070.T</stp>
        <stp>信用売残前週比</stp>
        <tr r="L144" s="1"/>
      </tp>
      <tp>
        <v>-100</v>
        <stp/>
        <stp>Market</stp>
        <stp>STOCK</stp>
        <stp>23040.T</stp>
        <stp>信用売残前週比</stp>
        <tr r="L142" s="1"/>
      </tp>
      <tp>
        <v>-1600</v>
        <stp/>
        <stp>Market</stp>
        <stp>STOCK</stp>
        <stp>23050.T</stp>
        <stp>信用売残前週比</stp>
        <tr r="L143" s="1"/>
      </tp>
      <tp t="s">
        <v>-</v>
        <stp/>
        <stp>Market</stp>
        <stp>STOCK</stp>
        <stp>208A0.T</stp>
        <stp>信用売残前週比</stp>
        <tr r="L56" s="1"/>
      </tp>
      <tp>
        <v>-600</v>
        <stp/>
        <stp>Market</stp>
        <stp>STOCK</stp>
        <stp>20600.T</stp>
        <stp>信用売残前週比</stp>
        <tr r="L54" s="1"/>
      </tp>
      <tp t="s">
        <v>-</v>
        <stp/>
        <stp>Market</stp>
        <stp>STOCK</stp>
        <stp>206A0.T</stp>
        <stp>信用売残前週比</stp>
        <tr r="L55" s="1"/>
      </tp>
      <tp>
        <v>3500</v>
        <stp/>
        <stp>Market</stp>
        <stp>STOCK</stp>
        <stp>20530.T</stp>
        <stp>信用売残前週比</stp>
        <tr r="L51" s="1"/>
      </tp>
      <tp>
        <v>-900</v>
        <stp/>
        <stp>Market</stp>
        <stp>STOCK</stp>
        <stp>20550.T</stp>
        <stp>信用売残前週比</stp>
        <tr r="L52" s="1"/>
      </tp>
      <tp t="s">
        <v>-</v>
        <stp/>
        <stp>Market</stp>
        <stp>STOCK</stp>
        <stp>205A0.T</stp>
        <stp>信用売残前週比</stp>
        <tr r="L53" s="1"/>
      </tp>
      <tp t="s">
        <v>-</v>
        <stp/>
        <stp>Market</stp>
        <stp>STOCK</stp>
        <stp>202A0.T</stp>
        <stp>信用売残前週比</stp>
        <tr r="L50" s="1"/>
      </tp>
      <tp>
        <v>-3400</v>
        <stp/>
        <stp>Market</stp>
        <stp>STOCK</stp>
        <stp>20020.T</stp>
        <stp>信用売残前週比</stp>
        <tr r="L46" s="1"/>
      </tp>
      <tp>
        <v>-2400</v>
        <stp/>
        <stp>Market</stp>
        <stp>STOCK</stp>
        <stp>20030.T</stp>
        <stp>信用売残前週比</stp>
        <tr r="L47" s="1"/>
      </tp>
      <tp>
        <v>10700</v>
        <stp/>
        <stp>Market</stp>
        <stp>STOCK</stp>
        <stp>20010.T</stp>
        <stp>信用売残前週比</stp>
        <tr r="L45" s="1"/>
      </tp>
      <tp>
        <v>2000</v>
        <stp/>
        <stp>Market</stp>
        <stp>STOCK</stp>
        <stp>20040.T</stp>
        <stp>信用売残前週比</stp>
        <tr r="L48" s="1"/>
      </tp>
      <tp t="s">
        <v>-</v>
        <stp/>
        <stp>Market</stp>
        <stp>STOCK</stp>
        <stp>20090.T</stp>
        <stp>信用売残前週比</stp>
        <tr r="L49" s="1"/>
      </tp>
      <tp>
        <v>144600</v>
        <stp/>
        <stp>Market</stp>
        <stp>STOCK</stp>
        <stp>21930.T</stp>
        <stp>信用売残前週比</stp>
        <tr r="L100" s="1"/>
      </tp>
      <tp>
        <v>-66900</v>
        <stp/>
        <stp>Market</stp>
        <stp>STOCK</stp>
        <stp>21960.T</stp>
        <stp>信用売残前週比</stp>
        <tr r="L102" s="1"/>
      </tp>
      <tp t="s">
        <v>-</v>
        <stp/>
        <stp>Market</stp>
        <stp>STOCK</stp>
        <stp>21950.T</stp>
        <stp>信用売残前週比</stp>
        <tr r="L101" s="1"/>
      </tp>
      <tp>
        <v>200</v>
        <stp/>
        <stp>Market</stp>
        <stp>STOCK</stp>
        <stp>21980.T</stp>
        <stp>信用売残前週比</stp>
        <tr r="L103" s="1"/>
      </tp>
      <tp>
        <v>13300</v>
        <stp/>
        <stp>Market</stp>
        <stp>STOCK</stp>
        <stp>219A0.T</stp>
        <stp>信用売残前週比</stp>
        <tr r="L104" s="1"/>
      </tp>
      <tp t="s">
        <v>-</v>
        <stp/>
        <stp>Market</stp>
        <stp>STOCK</stp>
        <stp>21830.T</stp>
        <stp>信用売残前週比</stp>
        <tr r="L96" s="1"/>
      </tp>
      <tp t="s">
        <v>-</v>
        <stp/>
        <stp>Market</stp>
        <stp>STOCK</stp>
        <stp>21800.T</stp>
        <stp>信用売残前週比</stp>
        <tr r="L94" s="1"/>
      </tp>
      <tp>
        <v>-57300</v>
        <stp/>
        <stp>Market</stp>
        <stp>STOCK</stp>
        <stp>21810.T</stp>
        <stp>信用売残前週比</stp>
        <tr r="L95" s="1"/>
      </tp>
      <tp t="s">
        <v>-</v>
        <stp/>
        <stp>Market</stp>
        <stp>STOCK</stp>
        <stp>21860.T</stp>
        <stp>信用売残前週比</stp>
        <tr r="L98" s="1"/>
      </tp>
      <tp t="s">
        <v>-</v>
        <stp/>
        <stp>Market</stp>
        <stp>STOCK</stp>
        <stp>21850.T</stp>
        <stp>信用売残前週比</stp>
        <tr r="L97" s="1"/>
      </tp>
      <tp>
        <v>400</v>
        <stp/>
        <stp>Market</stp>
        <stp>STOCK</stp>
        <stp>218A0.T</stp>
        <stp>信用売残前週比</stp>
        <tr r="L99" s="1"/>
      </tp>
      <tp>
        <v>-1000</v>
        <stp/>
        <stp>Market</stp>
        <stp>STOCK</stp>
        <stp>21730.T</stp>
        <stp>信用売残前週比</stp>
        <tr r="L91" s="1"/>
      </tp>
      <tp>
        <v>13000</v>
        <stp/>
        <stp>Market</stp>
        <stp>STOCK</stp>
        <stp>21700.T</stp>
        <stp>信用売残前週比</stp>
        <tr r="L90" s="1"/>
      </tp>
      <tp>
        <v>-800</v>
        <stp/>
        <stp>Market</stp>
        <stp>STOCK</stp>
        <stp>21750.T</stp>
        <stp>信用売残前週比</stp>
        <tr r="L92" s="1"/>
      </tp>
      <tp>
        <v>0</v>
        <stp/>
        <stp>Market</stp>
        <stp>STOCK</stp>
        <stp>21790.T</stp>
        <stp>信用売残前週比</stp>
        <tr r="L93" s="1"/>
      </tp>
      <tp>
        <v>100</v>
        <stp/>
        <stp>Market</stp>
        <stp>STOCK</stp>
        <stp>21620.T</stp>
        <stp>信用売残前週比</stp>
        <tr r="L85" s="1"/>
      </tp>
      <tp t="s">
        <v>-</v>
        <stp/>
        <stp>Market</stp>
        <stp>STOCK</stp>
        <stp>21630.T</stp>
        <stp>信用売残前週比</stp>
        <tr r="L86" s="1"/>
      </tp>
      <tp>
        <v>31000</v>
        <stp/>
        <stp>Market</stp>
        <stp>STOCK</stp>
        <stp>21600.T</stp>
        <stp>信用売残前週比</stp>
        <tr r="L84" s="1"/>
      </tp>
      <tp t="s">
        <v>-</v>
        <stp/>
        <stp>Market</stp>
        <stp>STOCK</stp>
        <stp>21640.T</stp>
        <stp>信用売残前週比</stp>
        <tr r="L87" s="1"/>
      </tp>
      <tp>
        <v>6800</v>
        <stp/>
        <stp>Market</stp>
        <stp>STOCK</stp>
        <stp>21680.T</stp>
        <stp>信用売残前週比</stp>
        <tr r="L88" s="1"/>
      </tp>
      <tp>
        <v>-100</v>
        <stp/>
        <stp>Market</stp>
        <stp>STOCK</stp>
        <stp>21690.T</stp>
        <stp>信用売残前週比</stp>
        <tr r="L89" s="1"/>
      </tp>
      <tp t="s">
        <v>-</v>
        <stp/>
        <stp>Market</stp>
        <stp>STOCK</stp>
        <stp>21520.T</stp>
        <stp>信用売残前週比</stp>
        <tr r="L77" s="1"/>
      </tp>
      <tp>
        <v>200</v>
        <stp/>
        <stp>Market</stp>
        <stp>STOCK</stp>
        <stp>21530.T</stp>
        <stp>信用売残前週比</stp>
        <tr r="L78" s="1"/>
      </tp>
      <tp t="s">
        <v/>
        <stp/>
        <stp>Market</stp>
        <stp>STOCK</stp>
        <stp>21500.T</stp>
        <stp>信用売残前週比</stp>
        <tr r="L76" s="1"/>
      </tp>
      <tp t="s">
        <v>-</v>
        <stp/>
        <stp>Market</stp>
        <stp>STOCK</stp>
        <stp>21560.T</stp>
        <stp>信用売残前週比</stp>
        <tr r="L80" s="1"/>
      </tp>
      <tp>
        <v>-22800</v>
        <stp/>
        <stp>Market</stp>
        <stp>STOCK</stp>
        <stp>21570.T</stp>
        <stp>信用売残前週比</stp>
        <tr r="L81" s="1"/>
      </tp>
      <tp>
        <v>300</v>
        <stp/>
        <stp>Market</stp>
        <stp>STOCK</stp>
        <stp>21540.T</stp>
        <stp>信用売残前週比</stp>
        <tr r="L79" s="1"/>
      </tp>
      <tp t="s">
        <v>-</v>
        <stp/>
        <stp>Market</stp>
        <stp>STOCK</stp>
        <stp>21580.T</stp>
        <stp>信用売残前週比</stp>
        <tr r="L82" s="1"/>
      </tp>
      <tp>
        <v>131000</v>
        <stp/>
        <stp>Market</stp>
        <stp>STOCK</stp>
        <stp>215A0.T</stp>
        <stp>信用売残前週比</stp>
        <tr r="L83" s="1"/>
      </tp>
      <tp>
        <v>-487000</v>
        <stp/>
        <stp>Market</stp>
        <stp>STOCK</stp>
        <stp>21460.T</stp>
        <stp>信用売残前週比</stp>
        <tr r="L74" s="1"/>
      </tp>
      <tp>
        <v>0</v>
        <stp/>
        <stp>Market</stp>
        <stp>STOCK</stp>
        <stp>21480.T</stp>
        <stp>信用売残前週比</stp>
        <tr r="L75" s="1"/>
      </tp>
      <tp>
        <v>-1300</v>
        <stp/>
        <stp>Market</stp>
        <stp>STOCK</stp>
        <stp>21300.T</stp>
        <stp>信用売残前週比</stp>
        <tr r="L69" s="1"/>
      </tp>
      <tp t="s">
        <v>-</v>
        <stp/>
        <stp>Market</stp>
        <stp>STOCK</stp>
        <stp>21360.T</stp>
        <stp>信用売残前週比</stp>
        <tr r="L71" s="1"/>
      </tp>
      <tp t="s">
        <v>-</v>
        <stp/>
        <stp>Market</stp>
        <stp>STOCK</stp>
        <stp>21340.T</stp>
        <stp>信用売残前週比</stp>
        <tr r="L70" s="1"/>
      </tp>
      <tp>
        <v>-1800</v>
        <stp/>
        <stp>Market</stp>
        <stp>STOCK</stp>
        <stp>21380.T</stp>
        <stp>信用売残前週比</stp>
        <tr r="L72" s="1"/>
      </tp>
      <tp>
        <v>-5600</v>
        <stp/>
        <stp>Market</stp>
        <stp>STOCK</stp>
        <stp>21390.T</stp>
        <stp>信用売残前週比</stp>
        <tr r="L73" s="1"/>
      </tp>
      <tp t="s">
        <v>-</v>
        <stp/>
        <stp>Market</stp>
        <stp>STOCK</stp>
        <stp>21220.T</stp>
        <stp>信用売残前週比</stp>
        <tr r="L65" s="1"/>
      </tp>
      <tp>
        <v>591500</v>
        <stp/>
        <stp>Market</stp>
        <stp>STOCK</stp>
        <stp>21200.T</stp>
        <stp>信用売残前週比</stp>
        <tr r="L63" s="1"/>
      </tp>
      <tp>
        <v>-1900</v>
        <stp/>
        <stp>Market</stp>
        <stp>STOCK</stp>
        <stp>21210.T</stp>
        <stp>信用売残前週比</stp>
        <tr r="L64" s="1"/>
      </tp>
      <tp>
        <v>-100100</v>
        <stp/>
        <stp>Market</stp>
        <stp>STOCK</stp>
        <stp>21270.T</stp>
        <stp>信用売残前週比</stp>
        <tr r="L67" s="1"/>
      </tp>
      <tp>
        <v>15100</v>
        <stp/>
        <stp>Market</stp>
        <stp>STOCK</stp>
        <stp>21240.T</stp>
        <stp>信用売残前週比</stp>
        <tr r="L66" s="1"/>
      </tp>
      <tp>
        <v>-100</v>
        <stp/>
        <stp>Market</stp>
        <stp>STOCK</stp>
        <stp>212A0.T</stp>
        <stp>信用売残前週比</stp>
        <tr r="L68" s="1"/>
      </tp>
      <tp>
        <v>-1600</v>
        <stp/>
        <stp>Market</stp>
        <stp>STOCK</stp>
        <stp>21120.T</stp>
        <stp>信用売残前週比</stp>
        <tr r="L59" s="1"/>
      </tp>
      <tp>
        <v>1200</v>
        <stp/>
        <stp>Market</stp>
        <stp>STOCK</stp>
        <stp>21170.T</stp>
        <stp>信用売残前週比</stp>
        <tr r="L61" s="1"/>
      </tp>
      <tp>
        <v>1700</v>
        <stp/>
        <stp>Market</stp>
        <stp>STOCK</stp>
        <stp>21140.T</stp>
        <stp>信用売残前週比</stp>
        <tr r="L60" s="1"/>
      </tp>
      <tp t="s">
        <v>-</v>
        <stp/>
        <stp>Market</stp>
        <stp>STOCK</stp>
        <stp>211A0.T</stp>
        <stp>信用売残前週比</stp>
        <tr r="L62" s="1"/>
      </tp>
      <tp>
        <v>-9500</v>
        <stp/>
        <stp>Market</stp>
        <stp>STOCK</stp>
        <stp>21080.T</stp>
        <stp>信用売残前週比</stp>
        <tr r="L57" s="1"/>
      </tp>
      <tp>
        <v>800</v>
        <stp/>
        <stp>Market</stp>
        <stp>STOCK</stp>
        <stp>21090.T</stp>
        <stp>信用売残前週比</stp>
        <tr r="L58" s="1"/>
      </tp>
      <tp>
        <v>-11100</v>
        <stp/>
        <stp>Market</stp>
        <stp>STOCK</stp>
        <stp>22820.T</stp>
        <stp>信用買残前週比</stp>
        <tr r="N130" s="1"/>
      </tp>
      <tp>
        <v>-8300</v>
        <stp/>
        <stp>Market</stp>
        <stp>STOCK</stp>
        <stp>22810.T</stp>
        <stp>信用買残前週比</stp>
        <tr r="N129" s="1"/>
      </tp>
      <tp>
        <v>-30600</v>
        <stp/>
        <stp>Market</stp>
        <stp>STOCK</stp>
        <stp>22860.T</stp>
        <stp>信用買残前週比</stp>
        <tr r="N131" s="1"/>
      </tp>
      <tp>
        <v>49600</v>
        <stp/>
        <stp>Market</stp>
        <stp>STOCK</stp>
        <stp>22880.T</stp>
        <stp>信用買残前週比</stp>
        <tr r="N132" s="1"/>
      </tp>
      <tp>
        <v>-12400</v>
        <stp/>
        <stp>Market</stp>
        <stp>STOCK</stp>
        <stp>228A0.T</stp>
        <stp>信用買残前週比</stp>
        <tr r="N133" s="1"/>
      </tp>
      <tp>
        <v>-4300</v>
        <stp/>
        <stp>Market</stp>
        <stp>STOCK</stp>
        <stp>22920.T</stp>
        <stp>信用買残前週比</stp>
        <tr r="N135" s="1"/>
      </tp>
      <tp>
        <v>-1700</v>
        <stp/>
        <stp>Market</stp>
        <stp>STOCK</stp>
        <stp>22930.T</stp>
        <stp>信用買残前週比</stp>
        <tr r="N136" s="1"/>
      </tp>
      <tp>
        <v>-1800</v>
        <stp/>
        <stp>Market</stp>
        <stp>STOCK</stp>
        <stp>22910.T</stp>
        <stp>信用買残前週比</stp>
        <tr r="N134" s="1"/>
      </tp>
      <tp>
        <v>8200</v>
        <stp/>
        <stp>Market</stp>
        <stp>STOCK</stp>
        <stp>22960.T</stp>
        <stp>信用買残前週比</stp>
        <tr r="N138" s="1"/>
      </tp>
      <tp>
        <v>100</v>
        <stp/>
        <stp>Market</stp>
        <stp>STOCK</stp>
        <stp>22940.T</stp>
        <stp>信用買残前週比</stp>
        <tr r="N137" s="1"/>
      </tp>
      <tp>
        <v>3400</v>
        <stp/>
        <stp>Market</stp>
        <stp>STOCK</stp>
        <stp>22220.T</stp>
        <stp>信用買残前週比</stp>
        <tr r="N119" s="1"/>
      </tp>
      <tp>
        <v>-9000</v>
        <stp/>
        <stp>Market</stp>
        <stp>STOCK</stp>
        <stp>22200.T</stp>
        <stp>信用買残前週比</stp>
        <tr r="N117" s="1"/>
      </tp>
      <tp>
        <v>-1900</v>
        <stp/>
        <stp>Market</stp>
        <stp>STOCK</stp>
        <stp>22210.T</stp>
        <stp>信用買残前週比</stp>
        <tr r="N118" s="1"/>
      </tp>
      <tp>
        <v>-400</v>
        <stp/>
        <stp>Market</stp>
        <stp>STOCK</stp>
        <stp>22260.T</stp>
        <stp>信用買残前週比</stp>
        <tr r="N121" s="1"/>
      </tp>
      <tp>
        <v>-300</v>
        <stp/>
        <stp>Market</stp>
        <stp>STOCK</stp>
        <stp>22240.T</stp>
        <stp>信用買残前週比</stp>
        <tr r="N120" s="1"/>
      </tp>
      <tp>
        <v>3900</v>
        <stp/>
        <stp>Market</stp>
        <stp>STOCK</stp>
        <stp>22290.T</stp>
        <stp>信用買残前週比</stp>
        <tr r="N122" s="1"/>
      </tp>
      <tp>
        <v>-15600</v>
        <stp/>
        <stp>Market</stp>
        <stp>STOCK</stp>
        <stp>22010.T</stp>
        <stp>信用買残前週比</stp>
        <tr r="N105" s="1"/>
      </tp>
      <tp>
        <v>90200</v>
        <stp/>
        <stp>Market</stp>
        <stp>STOCK</stp>
        <stp>22060.T</stp>
        <stp>信用買残前週比</stp>
        <tr r="N107" s="1"/>
      </tp>
      <tp>
        <v>-6200</v>
        <stp/>
        <stp>Market</stp>
        <stp>STOCK</stp>
        <stp>22070.T</stp>
        <stp>信用買残前週比</stp>
        <tr r="N108" s="1"/>
      </tp>
      <tp>
        <v>1200</v>
        <stp/>
        <stp>Market</stp>
        <stp>STOCK</stp>
        <stp>22040.T</stp>
        <stp>信用買残前週比</stp>
        <tr r="N106" s="1"/>
      </tp>
      <tp>
        <v>1000</v>
        <stp/>
        <stp>Market</stp>
        <stp>STOCK</stp>
        <stp>22080.T</stp>
        <stp>信用買残前週比</stp>
        <tr r="N109" s="1"/>
      </tp>
      <tp>
        <v>-3500</v>
        <stp/>
        <stp>Market</stp>
        <stp>STOCK</stp>
        <stp>22090.T</stp>
        <stp>信用買残前週比</stp>
        <tr r="N110" s="1"/>
      </tp>
      <tp>
        <v>-700</v>
        <stp/>
        <stp>Market</stp>
        <stp>STOCK</stp>
        <stp>220A0.T</stp>
        <stp>信用買残前週比</stp>
        <tr r="N111" s="1"/>
      </tp>
      <tp>
        <v>-5900</v>
        <stp/>
        <stp>Market</stp>
        <stp>STOCK</stp>
        <stp>22120.T</stp>
        <stp>信用買残前週比</stp>
        <tr r="N113" s="1"/>
      </tp>
      <tp>
        <v>-900</v>
        <stp/>
        <stp>Market</stp>
        <stp>STOCK</stp>
        <stp>22110.T</stp>
        <stp>信用買残前週比</stp>
        <tr r="N112" s="1"/>
      </tp>
      <tp>
        <v>-20500</v>
        <stp/>
        <stp>Market</stp>
        <stp>STOCK</stp>
        <stp>22160.T</stp>
        <stp>信用買残前週比</stp>
        <tr r="N115" s="1"/>
      </tp>
      <tp>
        <v>-5200</v>
        <stp/>
        <stp>Market</stp>
        <stp>STOCK</stp>
        <stp>22170.T</stp>
        <stp>信用買残前週比</stp>
        <tr r="N116" s="1"/>
      </tp>
      <tp>
        <v>-7900</v>
        <stp/>
        <stp>Market</stp>
        <stp>STOCK</stp>
        <stp>22150.T</stp>
        <stp>信用買残前週比</stp>
        <tr r="N114" s="1"/>
      </tp>
      <tp>
        <v>900</v>
        <stp/>
        <stp>Market</stp>
        <stp>STOCK</stp>
        <stp>22660.T</stp>
        <stp>信用買残前週比</stp>
        <tr r="N124" s="1"/>
      </tp>
      <tp>
        <v>62300</v>
        <stp/>
        <stp>Market</stp>
        <stp>STOCK</stp>
        <stp>22670.T</stp>
        <stp>信用買残前週比</stp>
        <tr r="N125" s="1"/>
      </tp>
      <tp>
        <v>8700</v>
        <stp/>
        <stp>Market</stp>
        <stp>STOCK</stp>
        <stp>22640.T</stp>
        <stp>信用買残前週比</stp>
        <tr r="N123" s="1"/>
      </tp>
      <tp>
        <v>2100</v>
        <stp/>
        <stp>Market</stp>
        <stp>STOCK</stp>
        <stp>22680.T</stp>
        <stp>信用買残前週比</stp>
        <tr r="N126" s="1"/>
      </tp>
      <tp>
        <v>25800</v>
        <stp/>
        <stp>Market</stp>
        <stp>STOCK</stp>
        <stp>22690.T</stp>
        <stp>信用買残前週比</stp>
        <tr r="N127" s="1"/>
      </tp>
      <tp>
        <v>5000</v>
        <stp/>
        <stp>Market</stp>
        <stp>STOCK</stp>
        <stp>22700.T</stp>
        <stp>信用買残前週比</stp>
        <tr r="N128" s="1"/>
      </tp>
      <tp>
        <v>-6100</v>
        <stp/>
        <stp>Market</stp>
        <stp>STOCK</stp>
        <stp>23230.T</stp>
        <stp>信用買残前週比</stp>
        <tr r="N149" s="1"/>
      </tp>
      <tp>
        <v>-447100</v>
        <stp/>
        <stp>Market</stp>
        <stp>STOCK</stp>
        <stp>23210.T</stp>
        <stp>信用買残前週比</stp>
        <tr r="N148" s="1"/>
      </tp>
      <tp>
        <v>300</v>
        <stp/>
        <stp>Market</stp>
        <stp>STOCK</stp>
        <stp>23260.T</stp>
        <stp>信用買残前週比</stp>
        <tr r="N151" s="1"/>
      </tp>
      <tp>
        <v>-13100</v>
        <stp/>
        <stp>Market</stp>
        <stp>STOCK</stp>
        <stp>23250.T</stp>
        <stp>信用買残前週比</stp>
        <tr r="N150" s="1"/>
      </tp>
      <tp>
        <v>800</v>
        <stp/>
        <stp>Market</stp>
        <stp>STOCK</stp>
        <stp>23030.T</stp>
        <stp>信用買残前週比</stp>
        <tr r="N141" s="1"/>
      </tp>
      <tp>
        <v>-6400</v>
        <stp/>
        <stp>Market</stp>
        <stp>STOCK</stp>
        <stp>23000.T</stp>
        <stp>信用買残前週比</stp>
        <tr r="N139" s="1"/>
      </tp>
      <tp>
        <v>-10500</v>
        <stp/>
        <stp>Market</stp>
        <stp>STOCK</stp>
        <stp>23010.T</stp>
        <stp>信用買残前週比</stp>
        <tr r="N140" s="1"/>
      </tp>
      <tp>
        <v>-15300</v>
        <stp/>
        <stp>Market</stp>
        <stp>STOCK</stp>
        <stp>23070.T</stp>
        <stp>信用買残前週比</stp>
        <tr r="N144" s="1"/>
      </tp>
      <tp>
        <v>-3700</v>
        <stp/>
        <stp>Market</stp>
        <stp>STOCK</stp>
        <stp>23040.T</stp>
        <stp>信用買残前週比</stp>
        <tr r="N142" s="1"/>
      </tp>
      <tp>
        <v>-4200</v>
        <stp/>
        <stp>Market</stp>
        <stp>STOCK</stp>
        <stp>23050.T</stp>
        <stp>信用買残前週比</stp>
        <tr r="N143" s="1"/>
      </tp>
      <tp>
        <v>-5500</v>
        <stp/>
        <stp>Market</stp>
        <stp>STOCK</stp>
        <stp>23110.T</stp>
        <stp>信用買残前週比</stp>
        <tr r="N145" s="1"/>
      </tp>
      <tp>
        <v>-194800</v>
        <stp/>
        <stp>Market</stp>
        <stp>STOCK</stp>
        <stp>23170.T</stp>
        <stp>信用買残前週比</stp>
        <tr r="N147" s="1"/>
      </tp>
      <tp>
        <v>-897600</v>
        <stp/>
        <stp>Market</stp>
        <stp>STOCK</stp>
        <stp>23150.T</stp>
        <stp>信用買残前週比</stp>
        <tr r="N146" s="1"/>
      </tp>
      <tp>
        <v>1500</v>
        <stp/>
        <stp>Market</stp>
        <stp>STOCK</stp>
        <stp>208A0.T</stp>
        <stp>信用買残前週比</stp>
        <tr r="N56" s="1"/>
      </tp>
      <tp>
        <v>-18500</v>
        <stp/>
        <stp>Market</stp>
        <stp>STOCK</stp>
        <stp>202A0.T</stp>
        <stp>信用買残前週比</stp>
        <tr r="N50" s="1"/>
      </tp>
      <tp>
        <v>-13500</v>
        <stp/>
        <stp>Market</stp>
        <stp>STOCK</stp>
        <stp>20020.T</stp>
        <stp>信用買残前週比</stp>
        <tr r="N46" s="1"/>
      </tp>
      <tp>
        <v>-100</v>
        <stp/>
        <stp>Market</stp>
        <stp>STOCK</stp>
        <stp>20030.T</stp>
        <stp>信用買残前週比</stp>
        <tr r="N47" s="1"/>
      </tp>
      <tp>
        <v>-10400</v>
        <stp/>
        <stp>Market</stp>
        <stp>STOCK</stp>
        <stp>20010.T</stp>
        <stp>信用買残前週比</stp>
        <tr r="N45" s="1"/>
      </tp>
      <tp>
        <v>-27500</v>
        <stp/>
        <stp>Market</stp>
        <stp>STOCK</stp>
        <stp>20040.T</stp>
        <stp>信用買残前週比</stp>
        <tr r="N48" s="1"/>
      </tp>
      <tp>
        <v>-7500</v>
        <stp/>
        <stp>Market</stp>
        <stp>STOCK</stp>
        <stp>20090.T</stp>
        <stp>信用買残前週比</stp>
        <tr r="N49" s="1"/>
      </tp>
      <tp>
        <v>-27900</v>
        <stp/>
        <stp>Market</stp>
        <stp>STOCK</stp>
        <stp>20600.T</stp>
        <stp>信用買残前週比</stp>
        <tr r="N54" s="1"/>
      </tp>
      <tp>
        <v>93100</v>
        <stp/>
        <stp>Market</stp>
        <stp>STOCK</stp>
        <stp>206A0.T</stp>
        <stp>信用買残前週比</stp>
        <tr r="N55" s="1"/>
      </tp>
      <tp>
        <v>-7500</v>
        <stp/>
        <stp>Market</stp>
        <stp>STOCK</stp>
        <stp>20530.T</stp>
        <stp>信用買残前週比</stp>
        <tr r="N51" s="1"/>
      </tp>
      <tp>
        <v>-600300</v>
        <stp/>
        <stp>Market</stp>
        <stp>STOCK</stp>
        <stp>20550.T</stp>
        <stp>信用買残前週比</stp>
        <tr r="N52" s="1"/>
      </tp>
      <tp>
        <v>-2400</v>
        <stp/>
        <stp>Market</stp>
        <stp>STOCK</stp>
        <stp>205A0.T</stp>
        <stp>信用買残前週比</stp>
        <tr r="N53" s="1"/>
      </tp>
      <tp>
        <v>3800</v>
        <stp/>
        <stp>Market</stp>
        <stp>STOCK</stp>
        <stp>21830.T</stp>
        <stp>信用買残前週比</stp>
        <tr r="N96" s="1"/>
      </tp>
      <tp>
        <v>-4500</v>
        <stp/>
        <stp>Market</stp>
        <stp>STOCK</stp>
        <stp>21800.T</stp>
        <stp>信用買残前週比</stp>
        <tr r="N94" s="1"/>
      </tp>
      <tp>
        <v>-613300</v>
        <stp/>
        <stp>Market</stp>
        <stp>STOCK</stp>
        <stp>21810.T</stp>
        <stp>信用買残前週比</stp>
        <tr r="N95" s="1"/>
      </tp>
      <tp>
        <v>5400</v>
        <stp/>
        <stp>Market</stp>
        <stp>STOCK</stp>
        <stp>21860.T</stp>
        <stp>信用買残前週比</stp>
        <tr r="N98" s="1"/>
      </tp>
      <tp>
        <v>-2100</v>
        <stp/>
        <stp>Market</stp>
        <stp>STOCK</stp>
        <stp>21850.T</stp>
        <stp>信用買残前週比</stp>
        <tr r="N97" s="1"/>
      </tp>
      <tp>
        <v>-110500</v>
        <stp/>
        <stp>Market</stp>
        <stp>STOCK</stp>
        <stp>218A0.T</stp>
        <stp>信用買残前週比</stp>
        <tr r="N99" s="1"/>
      </tp>
      <tp>
        <v>-177900</v>
        <stp/>
        <stp>Market</stp>
        <stp>STOCK</stp>
        <stp>21930.T</stp>
        <stp>信用買残前週比</stp>
        <tr r="N100" s="1"/>
      </tp>
      <tp>
        <v>-52100</v>
        <stp/>
        <stp>Market</stp>
        <stp>STOCK</stp>
        <stp>21960.T</stp>
        <stp>信用買残前週比</stp>
        <tr r="N102" s="1"/>
      </tp>
      <tp>
        <v>200</v>
        <stp/>
        <stp>Market</stp>
        <stp>STOCK</stp>
        <stp>21950.T</stp>
        <stp>信用買残前週比</stp>
        <tr r="N101" s="1"/>
      </tp>
      <tp>
        <v>2900</v>
        <stp/>
        <stp>Market</stp>
        <stp>STOCK</stp>
        <stp>21980.T</stp>
        <stp>信用買残前週比</stp>
        <tr r="N103" s="1"/>
      </tp>
      <tp>
        <v>-77400</v>
        <stp/>
        <stp>Market</stp>
        <stp>STOCK</stp>
        <stp>219A0.T</stp>
        <stp>信用買残前週比</stp>
        <tr r="N104" s="1"/>
      </tp>
      <tp>
        <v>-5600</v>
        <stp/>
        <stp>Market</stp>
        <stp>STOCK</stp>
        <stp>21220.T</stp>
        <stp>信用買残前週比</stp>
        <tr r="N65" s="1"/>
      </tp>
      <tp>
        <v>-189900</v>
        <stp/>
        <stp>Market</stp>
        <stp>STOCK</stp>
        <stp>21200.T</stp>
        <stp>信用買残前週比</stp>
        <tr r="N63" s="1"/>
      </tp>
      <tp>
        <v>2300</v>
        <stp/>
        <stp>Market</stp>
        <stp>STOCK</stp>
        <stp>21210.T</stp>
        <stp>信用買残前週比</stp>
        <tr r="N64" s="1"/>
      </tp>
      <tp>
        <v>-247200</v>
        <stp/>
        <stp>Market</stp>
        <stp>STOCK</stp>
        <stp>21270.T</stp>
        <stp>信用買残前週比</stp>
        <tr r="N67" s="1"/>
      </tp>
      <tp>
        <v>73000</v>
        <stp/>
        <stp>Market</stp>
        <stp>STOCK</stp>
        <stp>21240.T</stp>
        <stp>信用買残前週比</stp>
        <tr r="N66" s="1"/>
      </tp>
      <tp>
        <v>-12400</v>
        <stp/>
        <stp>Market</stp>
        <stp>STOCK</stp>
        <stp>212A0.T</stp>
        <stp>信用買残前週比</stp>
        <tr r="N68" s="1"/>
      </tp>
      <tp>
        <v>2400</v>
        <stp/>
        <stp>Market</stp>
        <stp>STOCK</stp>
        <stp>21300.T</stp>
        <stp>信用買残前週比</stp>
        <tr r="N69" s="1"/>
      </tp>
      <tp>
        <v>-1200</v>
        <stp/>
        <stp>Market</stp>
        <stp>STOCK</stp>
        <stp>21360.T</stp>
        <stp>信用買残前週比</stp>
        <tr r="N71" s="1"/>
      </tp>
      <tp>
        <v>395000</v>
        <stp/>
        <stp>Market</stp>
        <stp>STOCK</stp>
        <stp>21340.T</stp>
        <stp>信用買残前週比</stp>
        <tr r="N70" s="1"/>
      </tp>
      <tp>
        <v>-1000</v>
        <stp/>
        <stp>Market</stp>
        <stp>STOCK</stp>
        <stp>21380.T</stp>
        <stp>信用買残前週比</stp>
        <tr r="N72" s="1"/>
      </tp>
      <tp>
        <v>-2200</v>
        <stp/>
        <stp>Market</stp>
        <stp>STOCK</stp>
        <stp>21390.T</stp>
        <stp>信用買残前週比</stp>
        <tr r="N73" s="1"/>
      </tp>
      <tp>
        <v>-15800</v>
        <stp/>
        <stp>Market</stp>
        <stp>STOCK</stp>
        <stp>21080.T</stp>
        <stp>信用買残前週比</stp>
        <tr r="N57" s="1"/>
      </tp>
      <tp>
        <v>-2100</v>
        <stp/>
        <stp>Market</stp>
        <stp>STOCK</stp>
        <stp>21090.T</stp>
        <stp>信用買残前週比</stp>
        <tr r="N58" s="1"/>
      </tp>
      <tp>
        <v>-7200</v>
        <stp/>
        <stp>Market</stp>
        <stp>STOCK</stp>
        <stp>21120.T</stp>
        <stp>信用買残前週比</stp>
        <tr r="N59" s="1"/>
      </tp>
      <tp>
        <v>-300</v>
        <stp/>
        <stp>Market</stp>
        <stp>STOCK</stp>
        <stp>21170.T</stp>
        <stp>信用買残前週比</stp>
        <tr r="N61" s="1"/>
      </tp>
      <tp>
        <v>-600</v>
        <stp/>
        <stp>Market</stp>
        <stp>STOCK</stp>
        <stp>21140.T</stp>
        <stp>信用買残前週比</stp>
        <tr r="N60" s="1"/>
      </tp>
      <tp>
        <v>200</v>
        <stp/>
        <stp>Market</stp>
        <stp>STOCK</stp>
        <stp>211A0.T</stp>
        <stp>信用買残前週比</stp>
        <tr r="N62" s="1"/>
      </tp>
      <tp>
        <v>3500</v>
        <stp/>
        <stp>Market</stp>
        <stp>STOCK</stp>
        <stp>21620.T</stp>
        <stp>信用買残前週比</stp>
        <tr r="N85" s="1"/>
      </tp>
      <tp>
        <v>-1600</v>
        <stp/>
        <stp>Market</stp>
        <stp>STOCK</stp>
        <stp>21630.T</stp>
        <stp>信用買残前週比</stp>
        <tr r="N86" s="1"/>
      </tp>
      <tp>
        <v>21400</v>
        <stp/>
        <stp>Market</stp>
        <stp>STOCK</stp>
        <stp>21600.T</stp>
        <stp>信用買残前週比</stp>
        <tr r="N84" s="1"/>
      </tp>
      <tp>
        <v>-1500</v>
        <stp/>
        <stp>Market</stp>
        <stp>STOCK</stp>
        <stp>21640.T</stp>
        <stp>信用買残前週比</stp>
        <tr r="N87" s="1"/>
      </tp>
      <tp>
        <v>-7700</v>
        <stp/>
        <stp>Market</stp>
        <stp>STOCK</stp>
        <stp>21680.T</stp>
        <stp>信用買残前週比</stp>
        <tr r="N88" s="1"/>
      </tp>
      <tp>
        <v>900</v>
        <stp/>
        <stp>Market</stp>
        <stp>STOCK</stp>
        <stp>21690.T</stp>
        <stp>信用買残前週比</stp>
        <tr r="N89" s="1"/>
      </tp>
      <tp>
        <v>-12600</v>
        <stp/>
        <stp>Market</stp>
        <stp>STOCK</stp>
        <stp>21730.T</stp>
        <stp>信用買残前週比</stp>
        <tr r="N91" s="1"/>
      </tp>
      <tp>
        <v>-118400</v>
        <stp/>
        <stp>Market</stp>
        <stp>STOCK</stp>
        <stp>21700.T</stp>
        <stp>信用買残前週比</stp>
        <tr r="N90" s="1"/>
      </tp>
      <tp>
        <v>16000</v>
        <stp/>
        <stp>Market</stp>
        <stp>STOCK</stp>
        <stp>21750.T</stp>
        <stp>信用買残前週比</stp>
        <tr r="N92" s="1"/>
      </tp>
      <tp>
        <v>-1100</v>
        <stp/>
        <stp>Market</stp>
        <stp>STOCK</stp>
        <stp>21790.T</stp>
        <stp>信用買残前週比</stp>
        <tr r="N93" s="1"/>
      </tp>
      <tp>
        <v>-735300</v>
        <stp/>
        <stp>Market</stp>
        <stp>STOCK</stp>
        <stp>21460.T</stp>
        <stp>信用買残前週比</stp>
        <tr r="N74" s="1"/>
      </tp>
      <tp>
        <v>16300</v>
        <stp/>
        <stp>Market</stp>
        <stp>STOCK</stp>
        <stp>21480.T</stp>
        <stp>信用買残前週比</stp>
        <tr r="N75" s="1"/>
      </tp>
      <tp>
        <v>-1200</v>
        <stp/>
        <stp>Market</stp>
        <stp>STOCK</stp>
        <stp>21520.T</stp>
        <stp>信用買残前週比</stp>
        <tr r="N77" s="1"/>
      </tp>
      <tp>
        <v>10500</v>
        <stp/>
        <stp>Market</stp>
        <stp>STOCK</stp>
        <stp>21530.T</stp>
        <stp>信用買残前週比</stp>
        <tr r="N78" s="1"/>
      </tp>
      <tp t="s">
        <v/>
        <stp/>
        <stp>Market</stp>
        <stp>STOCK</stp>
        <stp>21500.T</stp>
        <stp>信用買残前週比</stp>
        <tr r="N76" s="1"/>
      </tp>
      <tp>
        <v>-29900</v>
        <stp/>
        <stp>Market</stp>
        <stp>STOCK</stp>
        <stp>21560.T</stp>
        <stp>信用買残前週比</stp>
        <tr r="N80" s="1"/>
      </tp>
      <tp>
        <v>-35400</v>
        <stp/>
        <stp>Market</stp>
        <stp>STOCK</stp>
        <stp>21570.T</stp>
        <stp>信用買残前週比</stp>
        <tr r="N81" s="1"/>
      </tp>
      <tp>
        <v>-10500</v>
        <stp/>
        <stp>Market</stp>
        <stp>STOCK</stp>
        <stp>21540.T</stp>
        <stp>信用買残前週比</stp>
        <tr r="N79" s="1"/>
      </tp>
      <tp>
        <v>-106900</v>
        <stp/>
        <stp>Market</stp>
        <stp>STOCK</stp>
        <stp>21580.T</stp>
        <stp>信用買残前週比</stp>
        <tr r="N82" s="1"/>
      </tp>
      <tp>
        <v>-540300</v>
        <stp/>
        <stp>Market</stp>
        <stp>STOCK</stp>
        <stp>215A0.T</stp>
        <stp>信用買残前週比</stp>
        <tr r="N83" s="1"/>
      </tp>
    </main>
    <main first="rtdsrv.b2353dc584914e4193ea525a6339afd4">
      <tp>
        <v>100</v>
        <stp/>
        <stp>Market</stp>
        <stp>STOCK</stp>
        <stp>21950.T</stp>
        <stp>単位株数</stp>
        <tr r="G101" s="1"/>
      </tp>
      <tp>
        <v>100</v>
        <stp/>
        <stp>Market</stp>
        <stp>STOCK</stp>
        <stp>21960.T</stp>
        <stp>単位株数</stp>
        <tr r="G102" s="1"/>
      </tp>
      <tp>
        <v>100</v>
        <stp/>
        <stp>Market</stp>
        <stp>STOCK</stp>
        <stp>21930.T</stp>
        <stp>単位株数</stp>
        <tr r="G100" s="1"/>
      </tp>
      <tp>
        <v>100</v>
        <stp/>
        <stp>Market</stp>
        <stp>STOCK</stp>
        <stp>21980.T</stp>
        <stp>単位株数</stp>
        <tr r="G103" s="1"/>
      </tp>
      <tp>
        <v>100</v>
        <stp/>
        <stp>Market</stp>
        <stp>STOCK</stp>
        <stp>219A0.T</stp>
        <stp>単位株数</stp>
        <tr r="G104" s="1"/>
      </tp>
      <tp>
        <v>100</v>
        <stp/>
        <stp>Market</stp>
        <stp>STOCK</stp>
        <stp>21850.T</stp>
        <stp>単位株数</stp>
        <tr r="G97" s="1"/>
      </tp>
      <tp>
        <v>100</v>
        <stp/>
        <stp>Market</stp>
        <stp>STOCK</stp>
        <stp>21860.T</stp>
        <stp>単位株数</stp>
        <tr r="G98" s="1"/>
      </tp>
      <tp>
        <v>100</v>
        <stp/>
        <stp>Market</stp>
        <stp>STOCK</stp>
        <stp>21800.T</stp>
        <stp>単位株数</stp>
        <tr r="G94" s="1"/>
      </tp>
      <tp>
        <v>100</v>
        <stp/>
        <stp>Market</stp>
        <stp>STOCK</stp>
        <stp>21810.T</stp>
        <stp>単位株数</stp>
        <tr r="G95" s="1"/>
      </tp>
      <tp>
        <v>100</v>
        <stp/>
        <stp>Market</stp>
        <stp>STOCK</stp>
        <stp>21830.T</stp>
        <stp>単位株数</stp>
        <tr r="G96" s="1"/>
      </tp>
      <tp>
        <v>100</v>
        <stp/>
        <stp>Market</stp>
        <stp>STOCK</stp>
        <stp>218A0.T</stp>
        <stp>単位株数</stp>
        <tr r="G99" s="1"/>
      </tp>
      <tp>
        <v>100</v>
        <stp/>
        <stp>Market</stp>
        <stp>STOCK</stp>
        <stp>21540.T</stp>
        <stp>単位株数</stp>
        <tr r="G79" s="1"/>
      </tp>
      <tp>
        <v>100</v>
        <stp/>
        <stp>Market</stp>
        <stp>STOCK</stp>
        <stp>21560.T</stp>
        <stp>単位株数</stp>
        <tr r="G80" s="1"/>
      </tp>
      <tp>
        <v>100</v>
        <stp/>
        <stp>Market</stp>
        <stp>STOCK</stp>
        <stp>21570.T</stp>
        <stp>単位株数</stp>
        <tr r="G81" s="1"/>
      </tp>
      <tp t="s">
        <v/>
        <stp/>
        <stp>Market</stp>
        <stp>STOCK</stp>
        <stp>21500.T</stp>
        <stp>単位株数</stp>
        <tr r="G76" s="1"/>
      </tp>
      <tp>
        <v>100</v>
        <stp/>
        <stp>Market</stp>
        <stp>STOCK</stp>
        <stp>21520.T</stp>
        <stp>単位株数</stp>
        <tr r="G77" s="1"/>
      </tp>
      <tp>
        <v>100</v>
        <stp/>
        <stp>Market</stp>
        <stp>STOCK</stp>
        <stp>21530.T</stp>
        <stp>単位株数</stp>
        <tr r="G78" s="1"/>
      </tp>
      <tp>
        <v>100</v>
        <stp/>
        <stp>Market</stp>
        <stp>STOCK</stp>
        <stp>21580.T</stp>
        <stp>単位株数</stp>
        <tr r="G82" s="1"/>
      </tp>
      <tp>
        <v>100</v>
        <stp/>
        <stp>Market</stp>
        <stp>STOCK</stp>
        <stp>215A0.T</stp>
        <stp>単位株数</stp>
        <tr r="G83" s="1"/>
      </tp>
      <tp>
        <v>100</v>
        <stp/>
        <stp>Market</stp>
        <stp>STOCK</stp>
        <stp>21460.T</stp>
        <stp>単位株数</stp>
        <tr r="G74" s="1"/>
      </tp>
      <tp>
        <v>100</v>
        <stp/>
        <stp>Market</stp>
        <stp>STOCK</stp>
        <stp>21480.T</stp>
        <stp>単位株数</stp>
        <tr r="G75" s="1"/>
      </tp>
      <tp>
        <v>100</v>
        <stp/>
        <stp>Market</stp>
        <stp>STOCK</stp>
        <stp>21750.T</stp>
        <stp>単位株数</stp>
        <tr r="G92" s="1"/>
      </tp>
      <tp>
        <v>100</v>
        <stp/>
        <stp>Market</stp>
        <stp>STOCK</stp>
        <stp>21700.T</stp>
        <stp>単位株数</stp>
        <tr r="G90" s="1"/>
      </tp>
      <tp>
        <v>100</v>
        <stp/>
        <stp>Market</stp>
        <stp>STOCK</stp>
        <stp>21730.T</stp>
        <stp>単位株数</stp>
        <tr r="G91" s="1"/>
      </tp>
      <tp>
        <v>100</v>
        <stp/>
        <stp>Market</stp>
        <stp>STOCK</stp>
        <stp>21790.T</stp>
        <stp>単位株数</stp>
        <tr r="G93" s="1"/>
      </tp>
      <tp>
        <v>100</v>
        <stp/>
        <stp>Market</stp>
        <stp>STOCK</stp>
        <stp>21640.T</stp>
        <stp>単位株数</stp>
        <tr r="G87" s="1"/>
      </tp>
      <tp>
        <v>100</v>
        <stp/>
        <stp>Market</stp>
        <stp>STOCK</stp>
        <stp>21600.T</stp>
        <stp>単位株数</stp>
        <tr r="G84" s="1"/>
      </tp>
      <tp>
        <v>100</v>
        <stp/>
        <stp>Market</stp>
        <stp>STOCK</stp>
        <stp>21620.T</stp>
        <stp>単位株数</stp>
        <tr r="G85" s="1"/>
      </tp>
      <tp>
        <v>100</v>
        <stp/>
        <stp>Market</stp>
        <stp>STOCK</stp>
        <stp>21630.T</stp>
        <stp>単位株数</stp>
        <tr r="G86" s="1"/>
      </tp>
      <tp>
        <v>100</v>
        <stp/>
        <stp>Market</stp>
        <stp>STOCK</stp>
        <stp>21680.T</stp>
        <stp>単位株数</stp>
        <tr r="G88" s="1"/>
      </tp>
      <tp>
        <v>100</v>
        <stp/>
        <stp>Market</stp>
        <stp>STOCK</stp>
        <stp>21690.T</stp>
        <stp>単位株数</stp>
        <tr r="G89" s="1"/>
      </tp>
      <tp>
        <v>100</v>
        <stp/>
        <stp>Market</stp>
        <stp>STOCK</stp>
        <stp>21140.T</stp>
        <stp>単位株数</stp>
        <tr r="G60" s="1"/>
      </tp>
      <tp>
        <v>100</v>
        <stp/>
        <stp>Market</stp>
        <stp>STOCK</stp>
        <stp>21170.T</stp>
        <stp>単位株数</stp>
        <tr r="G61" s="1"/>
      </tp>
      <tp>
        <v>100</v>
        <stp/>
        <stp>Market</stp>
        <stp>STOCK</stp>
        <stp>21120.T</stp>
        <stp>単位株数</stp>
        <tr r="G59" s="1"/>
      </tp>
      <tp>
        <v>100</v>
        <stp/>
        <stp>Market</stp>
        <stp>STOCK</stp>
        <stp>211A0.T</stp>
        <stp>単位株数</stp>
        <tr r="G62" s="1"/>
      </tp>
      <tp>
        <v>100</v>
        <stp/>
        <stp>Market</stp>
        <stp>STOCK</stp>
        <stp>21080.T</stp>
        <stp>単位株数</stp>
        <tr r="G57" s="1"/>
      </tp>
      <tp>
        <v>100</v>
        <stp/>
        <stp>Market</stp>
        <stp>STOCK</stp>
        <stp>21090.T</stp>
        <stp>単位株数</stp>
        <tr r="G58" s="1"/>
      </tp>
      <tp>
        <v>100</v>
        <stp/>
        <stp>Market</stp>
        <stp>STOCK</stp>
        <stp>21340.T</stp>
        <stp>単位株数</stp>
        <tr r="G70" s="1"/>
      </tp>
      <tp>
        <v>100</v>
        <stp/>
        <stp>Market</stp>
        <stp>STOCK</stp>
        <stp>21360.T</stp>
        <stp>単位株数</stp>
        <tr r="G71" s="1"/>
      </tp>
      <tp>
        <v>100</v>
        <stp/>
        <stp>Market</stp>
        <stp>STOCK</stp>
        <stp>21300.T</stp>
        <stp>単位株数</stp>
        <tr r="G69" s="1"/>
      </tp>
      <tp>
        <v>100</v>
        <stp/>
        <stp>Market</stp>
        <stp>STOCK</stp>
        <stp>21380.T</stp>
        <stp>単位株数</stp>
        <tr r="G72" s="1"/>
      </tp>
      <tp>
        <v>100</v>
        <stp/>
        <stp>Market</stp>
        <stp>STOCK</stp>
        <stp>21390.T</stp>
        <stp>単位株数</stp>
        <tr r="G73" s="1"/>
      </tp>
      <tp>
        <v>100</v>
        <stp/>
        <stp>Market</stp>
        <stp>STOCK</stp>
        <stp>21240.T</stp>
        <stp>単位株数</stp>
        <tr r="G66" s="1"/>
      </tp>
      <tp>
        <v>100</v>
        <stp/>
        <stp>Market</stp>
        <stp>STOCK</stp>
        <stp>21270.T</stp>
        <stp>単位株数</stp>
        <tr r="G67" s="1"/>
      </tp>
      <tp>
        <v>100</v>
        <stp/>
        <stp>Market</stp>
        <stp>STOCK</stp>
        <stp>21200.T</stp>
        <stp>単位株数</stp>
        <tr r="G63" s="1"/>
      </tp>
      <tp>
        <v>100</v>
        <stp/>
        <stp>Market</stp>
        <stp>STOCK</stp>
        <stp>21210.T</stp>
        <stp>単位株数</stp>
        <tr r="G64" s="1"/>
      </tp>
      <tp>
        <v>100</v>
        <stp/>
        <stp>Market</stp>
        <stp>STOCK</stp>
        <stp>21220.T</stp>
        <stp>単位株数</stp>
        <tr r="G65" s="1"/>
      </tp>
      <tp>
        <v>100</v>
        <stp/>
        <stp>Market</stp>
        <stp>STOCK</stp>
        <stp>212A0.T</stp>
        <stp>単位株数</stp>
        <tr r="G68" s="1"/>
      </tp>
      <tp>
        <v>100</v>
        <stp/>
        <stp>Market</stp>
        <stp>STOCK</stp>
        <stp>208A0.T</stp>
        <stp>単位株数</stp>
        <tr r="G56" s="1"/>
      </tp>
      <tp>
        <v>100</v>
        <stp/>
        <stp>Market</stp>
        <stp>STOCK</stp>
        <stp>20550.T</stp>
        <stp>単位株数</stp>
        <tr r="G52" s="1"/>
      </tp>
      <tp>
        <v>100</v>
        <stp/>
        <stp>Market</stp>
        <stp>STOCK</stp>
        <stp>20530.T</stp>
        <stp>単位株数</stp>
        <tr r="G51" s="1"/>
      </tp>
      <tp>
        <v>100</v>
        <stp/>
        <stp>Market</stp>
        <stp>STOCK</stp>
        <stp>205A0.T</stp>
        <stp>単位株数</stp>
        <tr r="G53" s="1"/>
      </tp>
      <tp>
        <v>100</v>
        <stp/>
        <stp>Market</stp>
        <stp>STOCK</stp>
        <stp>20600.T</stp>
        <stp>単位株数</stp>
        <tr r="G54" s="1"/>
      </tp>
      <tp>
        <v>100</v>
        <stp/>
        <stp>Market</stp>
        <stp>STOCK</stp>
        <stp>206A0.T</stp>
        <stp>単位株数</stp>
        <tr r="G55" s="1"/>
      </tp>
      <tp>
        <v>100</v>
        <stp/>
        <stp>Market</stp>
        <stp>STOCK</stp>
        <stp>20040.T</stp>
        <stp>単位株数</stp>
        <tr r="G48" s="1"/>
      </tp>
      <tp>
        <v>100</v>
        <stp/>
        <stp>Market</stp>
        <stp>STOCK</stp>
        <stp>20010.T</stp>
        <stp>単位株数</stp>
        <tr r="G45" s="1"/>
      </tp>
      <tp>
        <v>100</v>
        <stp/>
        <stp>Market</stp>
        <stp>STOCK</stp>
        <stp>20020.T</stp>
        <stp>単位株数</stp>
        <tr r="G46" s="1"/>
      </tp>
      <tp>
        <v>100</v>
        <stp/>
        <stp>Market</stp>
        <stp>STOCK</stp>
        <stp>20030.T</stp>
        <stp>単位株数</stp>
        <tr r="G47" s="1"/>
      </tp>
      <tp>
        <v>100</v>
        <stp/>
        <stp>Market</stp>
        <stp>STOCK</stp>
        <stp>20090.T</stp>
        <stp>単位株数</stp>
        <tr r="G49" s="1"/>
      </tp>
      <tp>
        <v>100</v>
        <stp/>
        <stp>Market</stp>
        <stp>STOCK</stp>
        <stp>202A0.T</stp>
        <stp>単位株数</stp>
        <tr r="G50" s="1"/>
      </tp>
      <tp>
        <v>100</v>
        <stp/>
        <stp>Market</stp>
        <stp>STOCK</stp>
        <stp>23150.T</stp>
        <stp>単位株数</stp>
        <tr r="G146" s="1"/>
      </tp>
      <tp>
        <v>100</v>
        <stp/>
        <stp>Market</stp>
        <stp>STOCK</stp>
        <stp>23170.T</stp>
        <stp>単位株数</stp>
        <tr r="G147" s="1"/>
      </tp>
      <tp>
        <v>100</v>
        <stp/>
        <stp>Market</stp>
        <stp>STOCK</stp>
        <stp>23110.T</stp>
        <stp>単位株数</stp>
        <tr r="G145" s="1"/>
      </tp>
      <tp>
        <v>100</v>
        <stp/>
        <stp>Market</stp>
        <stp>STOCK</stp>
        <stp>23040.T</stp>
        <stp>単位株数</stp>
        <tr r="G142" s="1"/>
      </tp>
      <tp>
        <v>100</v>
        <stp/>
        <stp>Market</stp>
        <stp>STOCK</stp>
        <stp>23050.T</stp>
        <stp>単位株数</stp>
        <tr r="G143" s="1"/>
      </tp>
      <tp>
        <v>100</v>
        <stp/>
        <stp>Market</stp>
        <stp>STOCK</stp>
        <stp>23070.T</stp>
        <stp>単位株数</stp>
        <tr r="G144" s="1"/>
      </tp>
      <tp>
        <v>100</v>
        <stp/>
        <stp>Market</stp>
        <stp>STOCK</stp>
        <stp>23000.T</stp>
        <stp>単位株数</stp>
        <tr r="G139" s="1"/>
      </tp>
      <tp>
        <v>100</v>
        <stp/>
        <stp>Market</stp>
        <stp>STOCK</stp>
        <stp>23010.T</stp>
        <stp>単位株数</stp>
        <tr r="G140" s="1"/>
      </tp>
      <tp>
        <v>100</v>
        <stp/>
        <stp>Market</stp>
        <stp>STOCK</stp>
        <stp>23030.T</stp>
        <stp>単位株数</stp>
        <tr r="G141" s="1"/>
      </tp>
      <tp>
        <v>100</v>
        <stp/>
        <stp>Market</stp>
        <stp>STOCK</stp>
        <stp>23250.T</stp>
        <stp>単位株数</stp>
        <tr r="G150" s="1"/>
      </tp>
      <tp>
        <v>100</v>
        <stp/>
        <stp>Market</stp>
        <stp>STOCK</stp>
        <stp>23260.T</stp>
        <stp>単位株数</stp>
        <tr r="G151" s="1"/>
      </tp>
      <tp>
        <v>100</v>
        <stp/>
        <stp>Market</stp>
        <stp>STOCK</stp>
        <stp>23210.T</stp>
        <stp>単位株数</stp>
        <tr r="G148" s="1"/>
      </tp>
      <tp>
        <v>100</v>
        <stp/>
        <stp>Market</stp>
        <stp>STOCK</stp>
        <stp>23230.T</stp>
        <stp>単位株数</stp>
        <tr r="G149" s="1"/>
      </tp>
      <tp>
        <v>100</v>
        <stp/>
        <stp>Market</stp>
        <stp>STOCK</stp>
        <stp>22940.T</stp>
        <stp>単位株数</stp>
        <tr r="G137" s="1"/>
      </tp>
      <tp>
        <v>100</v>
        <stp/>
        <stp>Market</stp>
        <stp>STOCK</stp>
        <stp>22960.T</stp>
        <stp>単位株数</stp>
        <tr r="G138" s="1"/>
      </tp>
      <tp>
        <v>100</v>
        <stp/>
        <stp>Market</stp>
        <stp>STOCK</stp>
        <stp>22910.T</stp>
        <stp>単位株数</stp>
        <tr r="G134" s="1"/>
      </tp>
      <tp>
        <v>100</v>
        <stp/>
        <stp>Market</stp>
        <stp>STOCK</stp>
        <stp>22920.T</stp>
        <stp>単位株数</stp>
        <tr r="G135" s="1"/>
      </tp>
      <tp>
        <v>100</v>
        <stp/>
        <stp>Market</stp>
        <stp>STOCK</stp>
        <stp>22930.T</stp>
        <stp>単位株数</stp>
        <tr r="G136" s="1"/>
      </tp>
      <tp>
        <v>100</v>
        <stp/>
        <stp>Market</stp>
        <stp>STOCK</stp>
        <stp>22860.T</stp>
        <stp>単位株数</stp>
        <tr r="G131" s="1"/>
      </tp>
      <tp>
        <v>100</v>
        <stp/>
        <stp>Market</stp>
        <stp>STOCK</stp>
        <stp>22810.T</stp>
        <stp>単位株数</stp>
        <tr r="G129" s="1"/>
      </tp>
      <tp>
        <v>100</v>
        <stp/>
        <stp>Market</stp>
        <stp>STOCK</stp>
        <stp>22820.T</stp>
        <stp>単位株数</stp>
        <tr r="G130" s="1"/>
      </tp>
      <tp>
        <v>100</v>
        <stp/>
        <stp>Market</stp>
        <stp>STOCK</stp>
        <stp>22880.T</stp>
        <stp>単位株数</stp>
        <tr r="G132" s="1"/>
      </tp>
      <tp>
        <v>100</v>
        <stp/>
        <stp>Market</stp>
        <stp>STOCK</stp>
        <stp>228A0.T</stp>
        <stp>単位株数</stp>
        <tr r="G133" s="1"/>
      </tp>
      <tp>
        <v>100</v>
        <stp/>
        <stp>Market</stp>
        <stp>STOCK</stp>
        <stp>22700.T</stp>
        <stp>単位株数</stp>
        <tr r="G128" s="1"/>
      </tp>
      <tp>
        <v>100</v>
        <stp/>
        <stp>Market</stp>
        <stp>STOCK</stp>
        <stp>22640.T</stp>
        <stp>単位株数</stp>
        <tr r="G123" s="1"/>
      </tp>
      <tp>
        <v>100</v>
        <stp/>
        <stp>Market</stp>
        <stp>STOCK</stp>
        <stp>22660.T</stp>
        <stp>単位株数</stp>
        <tr r="G124" s="1"/>
      </tp>
      <tp>
        <v>100</v>
        <stp/>
        <stp>Market</stp>
        <stp>STOCK</stp>
        <stp>22670.T</stp>
        <stp>単位株数</stp>
        <tr r="G125" s="1"/>
      </tp>
      <tp>
        <v>100</v>
        <stp/>
        <stp>Market</stp>
        <stp>STOCK</stp>
        <stp>22680.T</stp>
        <stp>単位株数</stp>
        <tr r="G126" s="1"/>
      </tp>
      <tp>
        <v>100</v>
        <stp/>
        <stp>Market</stp>
        <stp>STOCK</stp>
        <stp>22690.T</stp>
        <stp>単位株数</stp>
        <tr r="G127" s="1"/>
      </tp>
      <tp>
        <v>100</v>
        <stp/>
        <stp>Market</stp>
        <stp>STOCK</stp>
        <stp>22150.T</stp>
        <stp>単位株数</stp>
        <tr r="G114" s="1"/>
      </tp>
      <tp>
        <v>100</v>
        <stp/>
        <stp>Market</stp>
        <stp>STOCK</stp>
        <stp>22160.T</stp>
        <stp>単位株数</stp>
        <tr r="G115" s="1"/>
      </tp>
      <tp>
        <v>100</v>
        <stp/>
        <stp>Market</stp>
        <stp>STOCK</stp>
        <stp>22170.T</stp>
        <stp>単位株数</stp>
        <tr r="G116" s="1"/>
      </tp>
      <tp>
        <v>100</v>
        <stp/>
        <stp>Market</stp>
        <stp>STOCK</stp>
        <stp>22110.T</stp>
        <stp>単位株数</stp>
        <tr r="G112" s="1"/>
      </tp>
      <tp>
        <v>100</v>
        <stp/>
        <stp>Market</stp>
        <stp>STOCK</stp>
        <stp>22120.T</stp>
        <stp>単位株数</stp>
        <tr r="G113" s="1"/>
      </tp>
      <tp>
        <v>100</v>
        <stp/>
        <stp>Market</stp>
        <stp>STOCK</stp>
        <stp>22040.T</stp>
        <stp>単位株数</stp>
        <tr r="G106" s="1"/>
      </tp>
      <tp>
        <v>100</v>
        <stp/>
        <stp>Market</stp>
        <stp>STOCK</stp>
        <stp>22060.T</stp>
        <stp>単位株数</stp>
        <tr r="G107" s="1"/>
      </tp>
      <tp>
        <v>100</v>
        <stp/>
        <stp>Market</stp>
        <stp>STOCK</stp>
        <stp>22070.T</stp>
        <stp>単位株数</stp>
        <tr r="G108" s="1"/>
      </tp>
      <tp>
        <v>100</v>
        <stp/>
        <stp>Market</stp>
        <stp>STOCK</stp>
        <stp>22010.T</stp>
        <stp>単位株数</stp>
        <tr r="G105" s="1"/>
      </tp>
      <tp>
        <v>100</v>
        <stp/>
        <stp>Market</stp>
        <stp>STOCK</stp>
        <stp>22080.T</stp>
        <stp>単位株数</stp>
        <tr r="G109" s="1"/>
      </tp>
      <tp>
        <v>100</v>
        <stp/>
        <stp>Market</stp>
        <stp>STOCK</stp>
        <stp>22090.T</stp>
        <stp>単位株数</stp>
        <tr r="G110" s="1"/>
      </tp>
      <tp>
        <v>100</v>
        <stp/>
        <stp>Market</stp>
        <stp>STOCK</stp>
        <stp>220A0.T</stp>
        <stp>単位株数</stp>
        <tr r="G111" s="1"/>
      </tp>
      <tp>
        <v>100</v>
        <stp/>
        <stp>Market</stp>
        <stp>STOCK</stp>
        <stp>22240.T</stp>
        <stp>単位株数</stp>
        <tr r="G120" s="1"/>
      </tp>
      <tp>
        <v>100</v>
        <stp/>
        <stp>Market</stp>
        <stp>STOCK</stp>
        <stp>22260.T</stp>
        <stp>単位株数</stp>
        <tr r="G121" s="1"/>
      </tp>
      <tp>
        <v>100</v>
        <stp/>
        <stp>Market</stp>
        <stp>STOCK</stp>
        <stp>22200.T</stp>
        <stp>単位株数</stp>
        <tr r="G117" s="1"/>
      </tp>
      <tp>
        <v>100</v>
        <stp/>
        <stp>Market</stp>
        <stp>STOCK</stp>
        <stp>22210.T</stp>
        <stp>単位株数</stp>
        <tr r="G118" s="1"/>
      </tp>
      <tp>
        <v>100</v>
        <stp/>
        <stp>Market</stp>
        <stp>STOCK</stp>
        <stp>22220.T</stp>
        <stp>単位株数</stp>
        <tr r="G119" s="1"/>
      </tp>
      <tp>
        <v>100</v>
        <stp/>
        <stp>Market</stp>
        <stp>STOCK</stp>
        <stp>22290.T</stp>
        <stp>単位株数</stp>
        <tr r="G122" s="1"/>
      </tp>
    </main>
    <main first="rtdsrv.b2353dc584914e4193ea525a6339afd4">
      <tp>
        <v>28</v>
        <stp/>
        <stp>Market</stp>
        <stp>STOCK</stp>
        <stp>22810.T</stp>
        <stp>上場来安値</stp>
        <tr r="W129" s="1"/>
      </tp>
      <tp>
        <v>197.5</v>
        <stp/>
        <stp>Market</stp>
        <stp>STOCK</stp>
        <stp>21810.T</stp>
        <stp>上場来安値</stp>
        <tr r="W95" s="1"/>
      </tp>
      <tp>
        <v>80</v>
        <stp/>
        <stp>Market</stp>
        <stp>STOCK</stp>
        <stp>19810.T</stp>
        <stp>上場来安値</stp>
        <tr r="W39" s="1"/>
      </tp>
      <tp>
        <v>428</v>
        <stp/>
        <stp>Market</stp>
        <stp>STOCK</stp>
        <stp>21800.T</stp>
        <stp>上場来安値</stp>
        <tr r="W94" s="1"/>
      </tp>
      <tp>
        <v>352</v>
        <stp/>
        <stp>Market</stp>
        <stp>STOCK</stp>
        <stp>19800.T</stp>
        <stp>上場来安値</stp>
        <tr r="W38" s="1"/>
      </tp>
      <tp>
        <v>222</v>
        <stp/>
        <stp>Market</stp>
        <stp>STOCK</stp>
        <stp>21830.T</stp>
        <stp>上場来安値</stp>
        <tr r="W96" s="1"/>
      </tp>
      <tp>
        <v>95</v>
        <stp/>
        <stp>Market</stp>
        <stp>STOCK</stp>
        <stp>22820.T</stp>
        <stp>上場来安値</stp>
        <tr r="W130" s="1"/>
      </tp>
      <tp>
        <v>390</v>
        <stp/>
        <stp>Market</stp>
        <stp>STOCK</stp>
        <stp>19820.T</stp>
        <stp>上場来安値</stp>
        <tr r="W40" s="1"/>
      </tp>
      <tp>
        <v>861</v>
        <stp/>
        <stp>Market</stp>
        <stp>STOCK</stp>
        <stp>21850.T</stp>
        <stp>上場来安値</stp>
        <tr r="W97" s="1"/>
      </tp>
      <tp>
        <v>33</v>
        <stp/>
        <stp>Market</stp>
        <stp>STOCK</stp>
        <stp>22860.T</stp>
        <stp>上場来安値</stp>
        <tr r="W131" s="1"/>
      </tp>
      <tp>
        <v>325</v>
        <stp/>
        <stp>Market</stp>
        <stp>STOCK</stp>
        <stp>21860.T</stp>
        <stp>上場来安値</stp>
        <tr r="W98" s="1"/>
      </tp>
      <tp>
        <v>72</v>
        <stp/>
        <stp>Market</stp>
        <stp>STOCK</stp>
        <stp>22880.T</stp>
        <stp>上場来安値</stp>
        <tr r="W132" s="1"/>
      </tp>
      <tp>
        <v>2012</v>
        <stp/>
        <stp>Market</stp>
        <stp>STOCK</stp>
        <stp>22810.T</stp>
        <stp>年初来安値</stp>
        <tr r="U129" s="1"/>
      </tp>
      <tp>
        <v>221.4</v>
        <stp/>
        <stp>Market</stp>
        <stp>STOCK</stp>
        <stp>21810.T</stp>
        <stp>年初来安値</stp>
        <tr r="U95" s="1"/>
      </tp>
      <tp>
        <v>1083</v>
        <stp/>
        <stp>Market</stp>
        <stp>STOCK</stp>
        <stp>19810.T</stp>
        <stp>年初来安値</stp>
        <tr r="U39" s="1"/>
      </tp>
      <tp>
        <v>428</v>
        <stp/>
        <stp>Market</stp>
        <stp>STOCK</stp>
        <stp>21800.T</stp>
        <stp>年初来安値</stp>
        <tr r="U94" s="1"/>
      </tp>
      <tp>
        <v>2458</v>
        <stp/>
        <stp>Market</stp>
        <stp>STOCK</stp>
        <stp>19800.T</stp>
        <stp>年初来安値</stp>
        <tr r="U38" s="1"/>
      </tp>
      <tp>
        <v>258</v>
        <stp/>
        <stp>Market</stp>
        <stp>STOCK</stp>
        <stp>21830.T</stp>
        <stp>年初来安値</stp>
        <tr r="U96" s="1"/>
      </tp>
      <tp>
        <v>4388</v>
        <stp/>
        <stp>Market</stp>
        <stp>STOCK</stp>
        <stp>22820.T</stp>
        <stp>年初来安値</stp>
        <tr r="U130" s="1"/>
      </tp>
      <tp>
        <v>2686</v>
        <stp/>
        <stp>Market</stp>
        <stp>STOCK</stp>
        <stp>19820.T</stp>
        <stp>年初来安値</stp>
        <tr r="U40" s="1"/>
      </tp>
      <tp>
        <v>1293</v>
        <stp/>
        <stp>Market</stp>
        <stp>STOCK</stp>
        <stp>21850.T</stp>
        <stp>年初来安値</stp>
        <tr r="U97" s="1"/>
      </tp>
      <tp>
        <v>425</v>
        <stp/>
        <stp>Market</stp>
        <stp>STOCK</stp>
        <stp>22860.T</stp>
        <stp>年初来安値</stp>
        <tr r="U131" s="1"/>
      </tp>
      <tp>
        <v>795</v>
        <stp/>
        <stp>Market</stp>
        <stp>STOCK</stp>
        <stp>21860.T</stp>
        <stp>年初来安値</stp>
        <tr r="U98" s="1"/>
      </tp>
      <tp>
        <v>1554</v>
        <stp/>
        <stp>Market</stp>
        <stp>STOCK</stp>
        <stp>22880.T</stp>
        <stp>年初来安値</stp>
        <tr r="U132" s="1"/>
      </tp>
      <tp>
        <v>960</v>
        <stp/>
        <stp>Market</stp>
        <stp>STOCK</stp>
        <stp>228A0.T</stp>
        <stp>年初来安値</stp>
        <tr r="U133" s="1"/>
      </tp>
      <tp>
        <v>2258</v>
        <stp/>
        <stp>Market</stp>
        <stp>STOCK</stp>
        <stp>208A0.T</stp>
        <stp>年初来安値</stp>
        <tr r="U56" s="1"/>
      </tp>
      <tp>
        <v>396</v>
        <stp/>
        <stp>Market</stp>
        <stp>STOCK</stp>
        <stp>218A0.T</stp>
        <stp>年初来安値</stp>
        <tr r="U99" s="1"/>
      </tp>
      <tp>
        <v>140</v>
        <stp/>
        <stp>Market</stp>
        <stp>STOCK</stp>
        <stp>198A0.T</stp>
        <stp>年初来安値</stp>
        <tr r="U41" s="1"/>
      </tp>
      <tp>
        <v>960</v>
        <stp/>
        <stp>Market</stp>
        <stp>STOCK</stp>
        <stp>228A0.T</stp>
        <stp>上場来安値</stp>
        <tr r="W133" s="1"/>
      </tp>
      <tp>
        <v>330</v>
        <stp/>
        <stp>Market</stp>
        <stp>STOCK</stp>
        <stp>218A0.T</stp>
        <stp>上場来安値</stp>
        <tr r="W99" s="1"/>
      </tp>
      <tp>
        <v>2258</v>
        <stp/>
        <stp>Market</stp>
        <stp>STOCK</stp>
        <stp>208A0.T</stp>
        <stp>上場来安値</stp>
        <tr r="W56" s="1"/>
      </tp>
      <tp>
        <v>140</v>
        <stp/>
        <stp>Market</stp>
        <stp>STOCK</stp>
        <stp>198A0.T</stp>
        <stp>上場来安値</stp>
        <tr r="W41" s="1"/>
      </tp>
      <tp>
        <v>75</v>
        <stp/>
        <stp>Market</stp>
        <stp>STOCK</stp>
        <stp>22910.T</stp>
        <stp>上場来安値</stp>
        <tr r="W134" s="1"/>
      </tp>
      <tp>
        <v>269</v>
        <stp/>
        <stp>Market</stp>
        <stp>STOCK</stp>
        <stp>22930.T</stp>
        <stp>上場来安値</stp>
        <tr r="W136" s="1"/>
      </tp>
      <tp>
        <v>105</v>
        <stp/>
        <stp>Market</stp>
        <stp>STOCK</stp>
        <stp>21930.T</stp>
        <stp>上場来安値</stp>
        <tr r="W100" s="1"/>
      </tp>
      <tp>
        <v>488</v>
        <stp/>
        <stp>Market</stp>
        <stp>STOCK</stp>
        <stp>22920.T</stp>
        <stp>上場来安値</stp>
        <tr r="W135" s="1"/>
      </tp>
      <tp>
        <v>83</v>
        <stp/>
        <stp>Market</stp>
        <stp>STOCK</stp>
        <stp>19920.T</stp>
        <stp>上場来安値</stp>
        <tr r="W42" s="1"/>
      </tp>
      <tp>
        <v>263</v>
        <stp/>
        <stp>Market</stp>
        <stp>STOCK</stp>
        <stp>21950.T</stp>
        <stp>上場来安値</stp>
        <tr r="W101" s="1"/>
      </tp>
      <tp>
        <v>820</v>
        <stp/>
        <stp>Market</stp>
        <stp>STOCK</stp>
        <stp>22940.T</stp>
        <stp>上場来安値</stp>
        <tr r="W137" s="1"/>
      </tp>
      <tp>
        <v>65</v>
        <stp/>
        <stp>Market</stp>
        <stp>STOCK</stp>
        <stp>19940.T</stp>
        <stp>上場来安値</stp>
        <tr r="W43" s="1"/>
      </tp>
      <tp>
        <v>35</v>
        <stp/>
        <stp>Market</stp>
        <stp>STOCK</stp>
        <stp>19970.T</stp>
        <stp>上場来安値</stp>
        <tr r="W44" s="1"/>
      </tp>
      <tp>
        <v>507</v>
        <stp/>
        <stp>Market</stp>
        <stp>STOCK</stp>
        <stp>22960.T</stp>
        <stp>上場来安値</stp>
        <tr r="W138" s="1"/>
      </tp>
      <tp>
        <v>139</v>
        <stp/>
        <stp>Market</stp>
        <stp>STOCK</stp>
        <stp>21960.T</stp>
        <stp>上場来安値</stp>
        <tr r="W102" s="1"/>
      </tp>
      <tp>
        <v>424</v>
        <stp/>
        <stp>Market</stp>
        <stp>STOCK</stp>
        <stp>21980.T</stp>
        <stp>上場来安値</stp>
        <tr r="W103" s="1"/>
      </tp>
      <tp>
        <v>581</v>
        <stp/>
        <stp>Market</stp>
        <stp>STOCK</stp>
        <stp>22910.T</stp>
        <stp>年初来安値</stp>
        <tr r="U134" s="1"/>
      </tp>
      <tp>
        <v>2505</v>
        <stp/>
        <stp>Market</stp>
        <stp>STOCK</stp>
        <stp>22930.T</stp>
        <stp>年初来安値</stp>
        <tr r="U136" s="1"/>
      </tp>
      <tp>
        <v>129</v>
        <stp/>
        <stp>Market</stp>
        <stp>STOCK</stp>
        <stp>21930.T</stp>
        <stp>年初来安値</stp>
        <tr r="U100" s="1"/>
      </tp>
      <tp>
        <v>2221</v>
        <stp/>
        <stp>Market</stp>
        <stp>STOCK</stp>
        <stp>22920.T</stp>
        <stp>年初来安値</stp>
        <tr r="U135" s="1"/>
      </tp>
      <tp>
        <v>2374</v>
        <stp/>
        <stp>Market</stp>
        <stp>STOCK</stp>
        <stp>19920.T</stp>
        <stp>年初来安値</stp>
        <tr r="U42" s="1"/>
      </tp>
      <tp>
        <v>263</v>
        <stp/>
        <stp>Market</stp>
        <stp>STOCK</stp>
        <stp>21950.T</stp>
        <stp>年初来安値</stp>
        <tr r="U101" s="1"/>
      </tp>
      <tp>
        <v>2573</v>
        <stp/>
        <stp>Market</stp>
        <stp>STOCK</stp>
        <stp>22940.T</stp>
        <stp>年初来安値</stp>
        <tr r="U137" s="1"/>
      </tp>
      <tp>
        <v>457</v>
        <stp/>
        <stp>Market</stp>
        <stp>STOCK</stp>
        <stp>19940.T</stp>
        <stp>年初来安値</stp>
        <tr r="U43" s="1"/>
      </tp>
      <tp>
        <v>1990</v>
        <stp/>
        <stp>Market</stp>
        <stp>STOCK</stp>
        <stp>19970.T</stp>
        <stp>年初来安値</stp>
        <tr r="U44" s="1"/>
      </tp>
      <tp>
        <v>3675</v>
        <stp/>
        <stp>Market</stp>
        <stp>STOCK</stp>
        <stp>22960.T</stp>
        <stp>年初来安値</stp>
        <tr r="U138" s="1"/>
      </tp>
      <tp>
        <v>139</v>
        <stp/>
        <stp>Market</stp>
        <stp>STOCK</stp>
        <stp>21960.T</stp>
        <stp>年初来安値</stp>
        <tr r="U102" s="1"/>
      </tp>
      <tp>
        <v>743</v>
        <stp/>
        <stp>Market</stp>
        <stp>STOCK</stp>
        <stp>21980.T</stp>
        <stp>年初来安値</stp>
        <tr r="U103" s="1"/>
      </tp>
      <tp>
        <v>1343</v>
        <stp/>
        <stp>Market</stp>
        <stp>STOCK</stp>
        <stp>219A0.T</stp>
        <stp>年初来安値</stp>
        <tr r="U104" s="1"/>
      </tp>
      <tp>
        <v>901</v>
        <stp/>
        <stp>Market</stp>
        <stp>STOCK</stp>
        <stp>219A0.T</stp>
        <stp>上場来安値</stp>
        <tr r="W104" s="1"/>
      </tp>
      <tp>
        <v>25</v>
        <stp/>
        <stp>Market</stp>
        <stp>STOCK</stp>
        <stp>19410.T</stp>
        <stp>上場来安値</stp>
        <tr r="W10" s="1"/>
      </tp>
      <tp>
        <v>120</v>
        <stp/>
        <stp>Market</stp>
        <stp>STOCK</stp>
        <stp>19420.T</stp>
        <stp>上場来安値</stp>
        <tr r="W11" s="1"/>
      </tp>
      <tp>
        <v>75</v>
        <stp/>
        <stp>Market</stp>
        <stp>STOCK</stp>
        <stp>19450.T</stp>
        <stp>上場来安値</stp>
        <tr r="W13" s="1"/>
      </tp>
      <tp>
        <v>161</v>
        <stp/>
        <stp>Market</stp>
        <stp>STOCK</stp>
        <stp>19440.T</stp>
        <stp>上場来安値</stp>
        <tr r="W12" s="1"/>
      </tp>
      <tp>
        <v>195</v>
        <stp/>
        <stp>Market</stp>
        <stp>STOCK</stp>
        <stp>21460.T</stp>
        <stp>上場来安値</stp>
        <tr r="W74" s="1"/>
      </tp>
      <tp>
        <v>125</v>
        <stp/>
        <stp>Market</stp>
        <stp>STOCK</stp>
        <stp>19460.T</stp>
        <stp>上場来安値</stp>
        <tr r="W14" s="1"/>
      </tp>
    </main>
    <main first="rtdsrv.b2353dc584914e4193ea525a6339afd4">
      <tp>
        <v>78</v>
        <stp/>
        <stp>Market</stp>
        <stp>STOCK</stp>
        <stp>19490.T</stp>
        <stp>上場来安値</stp>
        <tr r="W16" s="1"/>
      </tp>
    </main>
    <main first="rtdsrv.b2353dc584914e4193ea525a6339afd4">
      <tp>
        <v>211</v>
        <stp/>
        <stp>Market</stp>
        <stp>STOCK</stp>
        <stp>21480.T</stp>
        <stp>上場来安値</stp>
        <tr r="W75" s="1"/>
      </tp>
      <tp>
        <v>46</v>
        <stp/>
        <stp>Market</stp>
        <stp>STOCK</stp>
        <stp>19480.T</stp>
        <stp>上場来安値</stp>
        <tr r="W15" s="1"/>
      </tp>
    </main>
    <main first="rtdsrv.b2353dc584914e4193ea525a6339afd4">
      <tp>
        <v>2882</v>
        <stp/>
        <stp>Market</stp>
        <stp>STOCK</stp>
        <stp>19410.T</stp>
        <stp>年初来安値</stp>
        <tr r="U10" s="1"/>
      </tp>
      <tp>
        <v>2171</v>
        <stp/>
        <stp>Market</stp>
        <stp>STOCK</stp>
        <stp>19420.T</stp>
        <stp>年初来安値</stp>
        <tr r="U11" s="1"/>
      </tp>
      <tp>
        <v>915</v>
        <stp/>
        <stp>Market</stp>
        <stp>STOCK</stp>
        <stp>19450.T</stp>
        <stp>年初来安値</stp>
        <tr r="U13" s="1"/>
      </tp>
      <tp>
        <v>2933.5</v>
        <stp/>
        <stp>Market</stp>
        <stp>STOCK</stp>
        <stp>19440.T</stp>
        <stp>年初来安値</stp>
        <tr r="U12" s="1"/>
      </tp>
      <tp>
        <v>195</v>
        <stp/>
        <stp>Market</stp>
        <stp>STOCK</stp>
        <stp>21460.T</stp>
        <stp>年初来安値</stp>
        <tr r="U74" s="1"/>
      </tp>
      <tp>
        <v>796</v>
        <stp/>
        <stp>Market</stp>
        <stp>STOCK</stp>
        <stp>19460.T</stp>
        <stp>年初来安値</stp>
        <tr r="U14" s="1"/>
      </tp>
      <tp>
        <v>4065</v>
        <stp/>
        <stp>Market</stp>
        <stp>STOCK</stp>
        <stp>19490.T</stp>
        <stp>年初来安値</stp>
        <tr r="U16" s="1"/>
      </tp>
    </main>
    <main first="rtdsrv.b2353dc584914e4193ea525a6339afd4">
      <tp>
        <v>1266</v>
        <stp/>
        <stp>Market</stp>
        <stp>STOCK</stp>
        <stp>21480.T</stp>
        <stp>年初来安値</stp>
        <tr r="U75" s="1"/>
      </tp>
      <tp>
        <v>1600</v>
        <stp/>
        <stp>Market</stp>
        <stp>STOCK</stp>
        <stp>19480.T</stp>
        <stp>年初来安値</stp>
        <tr r="U15" s="1"/>
      </tp>
    </main>
    <main first="rtdsrv.b2353dc584914e4193ea525a6339afd4">
      <tp>
        <v>554</v>
        <stp/>
        <stp>Market</stp>
        <stp>STOCK</stp>
        <stp>194A0.T</stp>
        <stp>年初来安値</stp>
        <tr r="U17" s="1"/>
      </tp>
    </main>
    <main first="rtdsrv.b2353dc584914e4193ea525a6339afd4">
      <tp>
        <v>554</v>
        <stp/>
        <stp>Market</stp>
        <stp>STOCK</stp>
        <stp>194A0.T</stp>
        <stp>上場来安値</stp>
        <tr r="W17" s="1"/>
      </tp>
    </main>
    <main first="rtdsrv.b2353dc584914e4193ea525a6339afd4">
      <tp>
        <v>85</v>
        <stp/>
        <stp>Market</stp>
        <stp>STOCK</stp>
        <stp>19510.T</stp>
        <stp>上場来安値</stp>
        <tr r="W19" s="1"/>
      </tp>
      <tp t="s">
        <v/>
        <stp/>
        <stp>Market</stp>
        <stp>STOCK</stp>
        <stp>21500.T</stp>
        <stp>上場来安値</stp>
        <tr r="W76" s="1"/>
      </tp>
      <tp>
        <v>98</v>
        <stp/>
        <stp>Market</stp>
        <stp>STOCK</stp>
        <stp>19500.T</stp>
        <stp>上場来安値</stp>
        <tr r="W18" s="1"/>
      </tp>
      <tp>
        <v>422</v>
        <stp/>
        <stp>Market</stp>
        <stp>STOCK</stp>
        <stp>21530.T</stp>
        <stp>上場来安値</stp>
        <tr r="W78" s="1"/>
      </tp>
      <tp>
        <v>55</v>
        <stp/>
        <stp>Market</stp>
        <stp>STOCK</stp>
        <stp>20530.T</stp>
        <stp>上場来安値</stp>
        <tr r="W51" s="1"/>
      </tp>
      <tp>
        <v>615</v>
        <stp/>
        <stp>Market</stp>
        <stp>STOCK</stp>
        <stp>21520.T</stp>
        <stp>上場来安値</stp>
        <tr r="W77" s="1"/>
      </tp>
      <tp>
        <v>310</v>
        <stp/>
        <stp>Market</stp>
        <stp>STOCK</stp>
        <stp>19520.T</stp>
        <stp>上場来安値</stp>
        <tr r="W20" s="1"/>
      </tp>
      <tp>
        <v>49</v>
        <stp/>
        <stp>Market</stp>
        <stp>STOCK</stp>
        <stp>20550.T</stp>
        <stp>上場来安値</stp>
        <tr r="W52" s="1"/>
      </tp>
      <tp>
        <v>412</v>
        <stp/>
        <stp>Market</stp>
        <stp>STOCK</stp>
        <stp>21540.T</stp>
        <stp>上場来安値</stp>
        <tr r="W79" s="1"/>
      </tp>
    </main>
    <main first="rtdsrv.b2353dc584914e4193ea525a6339afd4">
      <tp>
        <v>293</v>
        <stp/>
        <stp>Market</stp>
        <stp>STOCK</stp>
        <stp>21570.T</stp>
        <stp>上場来安値</stp>
        <tr r="W81" s="1"/>
      </tp>
    </main>
    <main first="rtdsrv.b2353dc584914e4193ea525a6339afd4">
      <tp>
        <v>95</v>
        <stp/>
        <stp>Market</stp>
        <stp>STOCK</stp>
        <stp>21560.T</stp>
        <stp>上場来安値</stp>
        <tr r="W80" s="1"/>
      </tp>
    </main>
    <main first="rtdsrv.b2353dc584914e4193ea525a6339afd4">
      <tp>
        <v>276</v>
        <stp/>
        <stp>Market</stp>
        <stp>STOCK</stp>
        <stp>19590.T</stp>
        <stp>上場来安値</stp>
        <tr r="W21" s="1"/>
      </tp>
    </main>
    <main first="rtdsrv.b2353dc584914e4193ea525a6339afd4">
      <tp>
        <v>156</v>
        <stp/>
        <stp>Market</stp>
        <stp>STOCK</stp>
        <stp>21580.T</stp>
        <stp>上場来安値</stp>
        <tr r="W82" s="1"/>
      </tp>
    </main>
    <main first="rtdsrv.b2353dc584914e4193ea525a6339afd4">
      <tp>
        <v>1502</v>
        <stp/>
        <stp>Market</stp>
        <stp>STOCK</stp>
        <stp>19510.T</stp>
        <stp>年初来安値</stp>
        <tr r="U19" s="1"/>
      </tp>
      <tp t="s">
        <v/>
        <stp/>
        <stp>Market</stp>
        <stp>STOCK</stp>
        <stp>21500.T</stp>
        <stp>年初来安値</stp>
        <tr r="U76" s="1"/>
      </tp>
      <tp>
        <v>1800</v>
        <stp/>
        <stp>Market</stp>
        <stp>STOCK</stp>
        <stp>19500.T</stp>
        <stp>年初来安値</stp>
        <tr r="U18" s="1"/>
      </tp>
      <tp>
        <v>1191</v>
        <stp/>
        <stp>Market</stp>
        <stp>STOCK</stp>
        <stp>20530.T</stp>
        <stp>年初来安値</stp>
        <tr r="U51" s="1"/>
      </tp>
      <tp>
        <v>1411</v>
        <stp/>
        <stp>Market</stp>
        <stp>STOCK</stp>
        <stp>21530.T</stp>
        <stp>年初来安値</stp>
        <tr r="U78" s="1"/>
      </tp>
      <tp>
        <v>1170</v>
        <stp/>
        <stp>Market</stp>
        <stp>STOCK</stp>
        <stp>21520.T</stp>
        <stp>年初来安値</stp>
        <tr r="U77" s="1"/>
      </tp>
      <tp>
        <v>1451</v>
        <stp/>
        <stp>Market</stp>
        <stp>STOCK</stp>
        <stp>19520.T</stp>
        <stp>年初来安値</stp>
        <tr r="U20" s="1"/>
      </tp>
      <tp>
        <v>258</v>
        <stp/>
        <stp>Market</stp>
        <stp>STOCK</stp>
        <stp>20550.T</stp>
        <stp>年初来安値</stp>
        <tr r="U52" s="1"/>
      </tp>
      <tp>
        <v>1481</v>
        <stp/>
        <stp>Market</stp>
        <stp>STOCK</stp>
        <stp>21540.T</stp>
        <stp>年初来安値</stp>
        <tr r="U79" s="1"/>
      </tp>
      <tp>
        <v>921</v>
        <stp/>
        <stp>Market</stp>
        <stp>STOCK</stp>
        <stp>21570.T</stp>
        <stp>年初来安値</stp>
        <tr r="U81" s="1"/>
      </tp>
    </main>
    <main first="rtdsrv.b2353dc584914e4193ea525a6339afd4">
      <tp>
        <v>268</v>
        <stp/>
        <stp>Market</stp>
        <stp>STOCK</stp>
        <stp>21560.T</stp>
        <stp>年初来安値</stp>
        <tr r="U80" s="1"/>
      </tp>
    </main>
    <main first="rtdsrv.b2353dc584914e4193ea525a6339afd4">
      <tp>
        <v>4209</v>
        <stp/>
        <stp>Market</stp>
        <stp>STOCK</stp>
        <stp>19590.T</stp>
        <stp>年初来安値</stp>
        <tr r="U21" s="1"/>
      </tp>
    </main>
    <main first="rtdsrv.b2353dc584914e4193ea525a6339afd4">
      <tp>
        <v>452</v>
        <stp/>
        <stp>Market</stp>
        <stp>STOCK</stp>
        <stp>21580.T</stp>
        <stp>年初来安値</stp>
        <tr r="U82" s="1"/>
      </tp>
    </main>
    <main first="rtdsrv.b2353dc584914e4193ea525a6339afd4">
      <tp>
        <v>919</v>
        <stp/>
        <stp>Market</stp>
        <stp>STOCK</stp>
        <stp>205A0.T</stp>
        <stp>年初来安値</stp>
        <tr r="U53" s="1"/>
      </tp>
      <tp>
        <v>1123</v>
        <stp/>
        <stp>Market</stp>
        <stp>STOCK</stp>
        <stp>215A0.T</stp>
        <stp>年初来安値</stp>
        <tr r="U83" s="1"/>
      </tp>
      <tp>
        <v>650</v>
        <stp/>
        <stp>Market</stp>
        <stp>STOCK</stp>
        <stp>195A0.T</stp>
        <stp>年初来安値</stp>
        <tr r="U22" s="1"/>
      </tp>
    </main>
    <main first="rtdsrv.b2353dc584914e4193ea525a6339afd4">
      <tp>
        <v>930</v>
        <stp/>
        <stp>Market</stp>
        <stp>STOCK</stp>
        <stp>215A0.T</stp>
        <stp>上場来安値</stp>
        <tr r="W83" s="1"/>
      </tp>
      <tp>
        <v>919</v>
        <stp/>
        <stp>Market</stp>
        <stp>STOCK</stp>
        <stp>205A0.T</stp>
        <stp>上場来安値</stp>
        <tr r="W53" s="1"/>
      </tp>
      <tp>
        <v>633</v>
        <stp/>
        <stp>Market</stp>
        <stp>STOCK</stp>
        <stp>195A0.T</stp>
        <stp>上場来安値</stp>
        <tr r="W22" s="1"/>
      </tp>
    </main>
    <main first="rtdsrv.b2353dc584914e4193ea525a6339afd4">
      <tp>
        <v>52</v>
        <stp/>
        <stp>Market</stp>
        <stp>STOCK</stp>
        <stp>19610.T</stp>
        <stp>上場来安値</stp>
        <tr r="W24" s="1"/>
      </tp>
      <tp>
        <v>4</v>
        <stp/>
        <stp>Market</stp>
        <stp>STOCK</stp>
        <stp>21600.T</stp>
        <stp>上場来安値</stp>
        <tr r="W84" s="1"/>
      </tp>
      <tp>
        <v>103</v>
        <stp/>
        <stp>Market</stp>
        <stp>STOCK</stp>
        <stp>20600.T</stp>
        <stp>上場来安値</stp>
        <tr r="W54" s="1"/>
      </tp>
      <tp>
        <v>140</v>
        <stp/>
        <stp>Market</stp>
        <stp>STOCK</stp>
        <stp>19600.T</stp>
        <stp>上場来安値</stp>
        <tr r="W23" s="1"/>
      </tp>
      <tp>
        <v>165</v>
        <stp/>
        <stp>Market</stp>
        <stp>STOCK</stp>
        <stp>21630.T</stp>
        <stp>上場来安値</stp>
        <tr r="W86" s="1"/>
      </tp>
      <tp>
        <v>160</v>
        <stp/>
        <stp>Market</stp>
        <stp>STOCK</stp>
        <stp>19630.T</stp>
        <stp>上場来安値</stp>
        <tr r="W25" s="1"/>
      </tp>
      <tp>
        <v>183</v>
        <stp/>
        <stp>Market</stp>
        <stp>STOCK</stp>
        <stp>21620.T</stp>
        <stp>上場来安値</stp>
        <tr r="W85" s="1"/>
      </tp>
      <tp>
        <v>284</v>
        <stp/>
        <stp>Market</stp>
        <stp>STOCK</stp>
        <stp>19650.T</stp>
        <stp>上場来安値</stp>
        <tr r="W27" s="1"/>
      </tp>
      <tp>
        <v>60</v>
        <stp/>
        <stp>Market</stp>
        <stp>STOCK</stp>
        <stp>22640.T</stp>
        <stp>上場来安値</stp>
        <tr r="W123" s="1"/>
      </tp>
      <tp>
        <v>145</v>
        <stp/>
        <stp>Market</stp>
        <stp>STOCK</stp>
        <stp>21640.T</stp>
        <stp>上場来安値</stp>
        <tr r="W87" s="1"/>
      </tp>
      <tp>
        <v>81</v>
        <stp/>
        <stp>Market</stp>
        <stp>STOCK</stp>
        <stp>19640.T</stp>
        <stp>上場来安値</stp>
        <tr r="W26" s="1"/>
      </tp>
    </main>
    <main first="rtdsrv.b2353dc584914e4193ea525a6339afd4">
      <tp>
        <v>500</v>
        <stp/>
        <stp>Market</stp>
        <stp>STOCK</stp>
        <stp>22670.T</stp>
        <stp>上場来安値</stp>
        <tr r="W125" s="1"/>
      </tp>
      <tp>
        <v>65</v>
        <stp/>
        <stp>Market</stp>
        <stp>STOCK</stp>
        <stp>19670.T</stp>
        <stp>上場来安値</stp>
        <tr r="W29" s="1"/>
      </tp>
    </main>
    <main first="rtdsrv.b2353dc584914e4193ea525a6339afd4">
      <tp>
        <v>50</v>
        <stp/>
        <stp>Market</stp>
        <stp>STOCK</stp>
        <stp>22660.T</stp>
        <stp>上場来安値</stp>
        <tr r="W124" s="1"/>
      </tp>
      <tp>
        <v>52</v>
        <stp/>
        <stp>Market</stp>
        <stp>STOCK</stp>
        <stp>19660.T</stp>
        <stp>上場来安値</stp>
        <tr r="W28" s="1"/>
      </tp>
    </main>
    <main first="rtdsrv.b2353dc584914e4193ea525a6339afd4">
      <tp>
        <v>2760</v>
        <stp/>
        <stp>Market</stp>
        <stp>STOCK</stp>
        <stp>22690.T</stp>
        <stp>上場来安値</stp>
        <tr r="W127" s="1"/>
      </tp>
      <tp>
        <v>744</v>
        <stp/>
        <stp>Market</stp>
        <stp>STOCK</stp>
        <stp>21690.T</stp>
        <stp>上場来安値</stp>
        <tr r="W89" s="1"/>
      </tp>
      <tp>
        <v>200</v>
        <stp/>
        <stp>Market</stp>
        <stp>STOCK</stp>
        <stp>19690.T</stp>
        <stp>上場来安値</stp>
        <tr r="W31" s="1"/>
      </tp>
      <tp>
        <v>630</v>
        <stp/>
        <stp>Market</stp>
        <stp>STOCK</stp>
        <stp>22680.T</stp>
        <stp>上場来安値</stp>
        <tr r="W126" s="1"/>
      </tp>
      <tp>
        <v>460</v>
        <stp/>
        <stp>Market</stp>
        <stp>STOCK</stp>
        <stp>21680.T</stp>
        <stp>上場来安値</stp>
        <tr r="W88" s="1"/>
      </tp>
      <tp>
        <v>225</v>
        <stp/>
        <stp>Market</stp>
        <stp>STOCK</stp>
        <stp>19680.T</stp>
        <stp>上場来安値</stp>
        <tr r="W30" s="1"/>
      </tp>
    </main>
    <main first="rtdsrv.b2353dc584914e4193ea525a6339afd4">
      <tp>
        <v>2805</v>
        <stp/>
        <stp>Market</stp>
        <stp>STOCK</stp>
        <stp>19610.T</stp>
        <stp>年初来安値</stp>
        <tr r="U24" s="1"/>
      </tp>
      <tp>
        <v>762</v>
        <stp/>
        <stp>Market</stp>
        <stp>STOCK</stp>
        <stp>20600.T</stp>
        <stp>年初来安値</stp>
        <tr r="U54" s="1"/>
      </tp>
      <tp>
        <v>1469</v>
        <stp/>
        <stp>Market</stp>
        <stp>STOCK</stp>
        <stp>21600.T</stp>
        <stp>年初来安値</stp>
        <tr r="U84" s="1"/>
      </tp>
      <tp>
        <v>681</v>
        <stp/>
        <stp>Market</stp>
        <stp>STOCK</stp>
        <stp>19600.T</stp>
        <stp>年初来安値</stp>
        <tr r="U23" s="1"/>
      </tp>
      <tp>
        <v>1524</v>
        <stp/>
        <stp>Market</stp>
        <stp>STOCK</stp>
        <stp>21630.T</stp>
        <stp>年初来安値</stp>
        <tr r="U86" s="1"/>
      </tp>
      <tp>
        <v>940.6</v>
        <stp/>
        <stp>Market</stp>
        <stp>STOCK</stp>
        <stp>19630.T</stp>
        <stp>年初来安値</stp>
        <tr r="U25" s="1"/>
      </tp>
      <tp>
        <v>333</v>
        <stp/>
        <stp>Market</stp>
        <stp>STOCK</stp>
        <stp>21620.T</stp>
        <stp>年初来安値</stp>
        <tr r="U85" s="1"/>
      </tp>
      <tp>
        <v>2000</v>
        <stp/>
        <stp>Market</stp>
        <stp>STOCK</stp>
        <stp>19650.T</stp>
        <stp>年初来安値</stp>
        <tr r="U27" s="1"/>
      </tp>
      <tp>
        <v>2705</v>
        <stp/>
        <stp>Market</stp>
        <stp>STOCK</stp>
        <stp>22640.T</stp>
        <stp>年初来安値</stp>
        <tr r="U123" s="1"/>
      </tp>
      <tp>
        <v>234</v>
        <stp/>
        <stp>Market</stp>
        <stp>STOCK</stp>
        <stp>21640.T</stp>
        <stp>年初来安値</stp>
        <tr r="U87" s="1"/>
      </tp>
      <tp>
        <v>2723</v>
        <stp/>
        <stp>Market</stp>
        <stp>STOCK</stp>
        <stp>19640.T</stp>
        <stp>年初来安値</stp>
        <tr r="U26" s="1"/>
      </tp>
      <tp>
        <v>2291</v>
        <stp/>
        <stp>Market</stp>
        <stp>STOCK</stp>
        <stp>22670.T</stp>
        <stp>年初来安値</stp>
        <tr r="U125" s="1"/>
      </tp>
      <tp>
        <v>1150</v>
        <stp/>
        <stp>Market</stp>
        <stp>STOCK</stp>
        <stp>19670.T</stp>
        <stp>年初来安値</stp>
        <tr r="U29" s="1"/>
      </tp>
    </main>
    <main first="rtdsrv.b2353dc584914e4193ea525a6339afd4">
      <tp>
        <v>1125</v>
        <stp/>
        <stp>Market</stp>
        <stp>STOCK</stp>
        <stp>22660.T</stp>
        <stp>年初来安値</stp>
        <tr r="U124" s="1"/>
      </tp>
      <tp>
        <v>1160</v>
        <stp/>
        <stp>Market</stp>
        <stp>STOCK</stp>
        <stp>19660.T</stp>
        <stp>年初来安値</stp>
        <tr r="U28" s="1"/>
      </tp>
    </main>
    <main first="rtdsrv.b2353dc584914e4193ea525a6339afd4">
      <tp>
        <v>2871</v>
        <stp/>
        <stp>Market</stp>
        <stp>STOCK</stp>
        <stp>22690.T</stp>
        <stp>年初来安値</stp>
        <tr r="U127" s="1"/>
      </tp>
      <tp>
        <v>1721</v>
        <stp/>
        <stp>Market</stp>
        <stp>STOCK</stp>
        <stp>21690.T</stp>
        <stp>年初来安値</stp>
        <tr r="U89" s="1"/>
      </tp>
      <tp>
        <v>3955</v>
        <stp/>
        <stp>Market</stp>
        <stp>STOCK</stp>
        <stp>19690.T</stp>
        <stp>年初来安値</stp>
        <tr r="U31" s="1"/>
      </tp>
    </main>
    <main first="rtdsrv.b2353dc584914e4193ea525a6339afd4">
      <tp>
        <v>3795</v>
        <stp/>
        <stp>Market</stp>
        <stp>STOCK</stp>
        <stp>22680.T</stp>
        <stp>年初来安値</stp>
        <tr r="U126" s="1"/>
      </tp>
      <tp>
        <v>1835</v>
        <stp/>
        <stp>Market</stp>
        <stp>STOCK</stp>
        <stp>21680.T</stp>
        <stp>年初来安値</stp>
        <tr r="U88" s="1"/>
      </tp>
      <tp>
        <v>2003</v>
        <stp/>
        <stp>Market</stp>
        <stp>STOCK</stp>
        <stp>19680.T</stp>
        <stp>年初来安値</stp>
        <tr r="U30" s="1"/>
      </tp>
    </main>
    <main first="rtdsrv.b2353dc584914e4193ea525a6339afd4">
      <tp>
        <v>132</v>
        <stp/>
        <stp>Market</stp>
        <stp>STOCK</stp>
        <stp>206A0.T</stp>
        <stp>年初来安値</stp>
        <tr r="U55" s="1"/>
      </tp>
      <tp>
        <v>231</v>
        <stp/>
        <stp>Market</stp>
        <stp>STOCK</stp>
        <stp>196A0.T</stp>
        <stp>年初来安値</stp>
        <tr r="U32" s="1"/>
      </tp>
      <tp>
        <v>132</v>
        <stp/>
        <stp>Market</stp>
        <stp>STOCK</stp>
        <stp>206A0.T</stp>
        <stp>上場来安値</stp>
        <tr r="W55" s="1"/>
      </tp>
      <tp>
        <v>231</v>
        <stp/>
        <stp>Market</stp>
        <stp>STOCK</stp>
        <stp>196A0.T</stp>
        <stp>上場来安値</stp>
        <tr r="W32" s="1"/>
      </tp>
      <tp>
        <v>1045</v>
        <stp/>
        <stp>Market</stp>
        <stp>STOCK</stp>
        <stp>22700.T</stp>
        <stp>上場来安値</stp>
        <tr r="W128" s="1"/>
      </tp>
      <tp>
        <v>97</v>
        <stp/>
        <stp>Market</stp>
        <stp>STOCK</stp>
        <stp>21700.T</stp>
        <stp>上場来安値</stp>
        <tr r="W90" s="1"/>
      </tp>
      <tp>
        <v>221</v>
        <stp/>
        <stp>Market</stp>
        <stp>STOCK</stp>
        <stp>21730.T</stp>
        <stp>上場来安値</stp>
        <tr r="W91" s="1"/>
      </tp>
      <tp>
        <v>60</v>
        <stp/>
        <stp>Market</stp>
        <stp>STOCK</stp>
        <stp>19720.T</stp>
        <stp>上場来安値</stp>
        <tr r="W33" s="1"/>
      </tp>
      <tp>
        <v>978.7</v>
        <stp/>
        <stp>Market</stp>
        <stp>STOCK</stp>
        <stp>21750.T</stp>
        <stp>上場来安値</stp>
        <tr r="W92" s="1"/>
      </tp>
      <tp>
        <v>173</v>
        <stp/>
        <stp>Market</stp>
        <stp>STOCK</stp>
        <stp>19750.T</stp>
        <stp>上場来安値</stp>
        <tr r="W34" s="1"/>
      </tp>
    </main>
    <main first="rtdsrv.b2353dc584914e4193ea525a6339afd4">
      <tp>
        <v>105</v>
        <stp/>
        <stp>Market</stp>
        <stp>STOCK</stp>
        <stp>19760.T</stp>
        <stp>上場来安値</stp>
        <tr r="W35" s="1"/>
      </tp>
    </main>
    <main first="rtdsrv.b2353dc584914e4193ea525a6339afd4">
      <tp>
        <v>302</v>
        <stp/>
        <stp>Market</stp>
        <stp>STOCK</stp>
        <stp>21790.T</stp>
        <stp>上場来安値</stp>
        <tr r="W93" s="1"/>
      </tp>
      <tp>
        <v>298</v>
        <stp/>
        <stp>Market</stp>
        <stp>STOCK</stp>
        <stp>19790.T</stp>
        <stp>上場来安値</stp>
        <tr r="W36" s="1"/>
      </tp>
    </main>
    <main first="rtdsrv.b2353dc584914e4193ea525a6339afd4">
      <tp>
        <v>2395</v>
        <stp/>
        <stp>Market</stp>
        <stp>STOCK</stp>
        <stp>22700.T</stp>
        <stp>年初来安値</stp>
        <tr r="U128" s="1"/>
      </tp>
      <tp>
        <v>427</v>
        <stp/>
        <stp>Market</stp>
        <stp>STOCK</stp>
        <stp>21700.T</stp>
        <stp>年初来安値</stp>
        <tr r="U90" s="1"/>
      </tp>
      <tp>
        <v>410</v>
        <stp/>
        <stp>Market</stp>
        <stp>STOCK</stp>
        <stp>21730.T</stp>
        <stp>年初来安値</stp>
        <tr r="U91" s="1"/>
      </tp>
      <tp>
        <v>1351</v>
        <stp/>
        <stp>Market</stp>
        <stp>STOCK</stp>
        <stp>19720.T</stp>
        <stp>年初来安値</stp>
        <tr r="U33" s="1"/>
      </tp>
      <tp>
        <v>978.7</v>
        <stp/>
        <stp>Market</stp>
        <stp>STOCK</stp>
        <stp>21750.T</stp>
        <stp>年初来安値</stp>
        <tr r="U92" s="1"/>
      </tp>
      <tp>
        <v>1620</v>
        <stp/>
        <stp>Market</stp>
        <stp>STOCK</stp>
        <stp>19750.T</stp>
        <stp>年初来安値</stp>
        <tr r="U34" s="1"/>
      </tp>
    </main>
    <main first="rtdsrv.b2353dc584914e4193ea525a6339afd4">
      <tp>
        <v>1086</v>
        <stp/>
        <stp>Market</stp>
        <stp>STOCK</stp>
        <stp>19760.T</stp>
        <stp>年初来安値</stp>
        <tr r="U35" s="1"/>
      </tp>
    </main>
    <main first="rtdsrv.b2353dc584914e4193ea525a6339afd4">
      <tp>
        <v>671</v>
        <stp/>
        <stp>Market</stp>
        <stp>STOCK</stp>
        <stp>21790.T</stp>
        <stp>年初来安値</stp>
        <tr r="U93" s="1"/>
      </tp>
      <tp>
        <v>1999</v>
        <stp/>
        <stp>Market</stp>
        <stp>STOCK</stp>
        <stp>19790.T</stp>
        <stp>年初来安値</stp>
        <tr r="U36" s="1"/>
      </tp>
    </main>
    <main first="rtdsrv.b2353dc584914e4193ea525a6339afd4">
      <tp>
        <v>418</v>
        <stp/>
        <stp>Market</stp>
        <stp>STOCK</stp>
        <stp>197A0.T</stp>
        <stp>年初来安値</stp>
        <tr r="U37" s="1"/>
      </tp>
    </main>
    <main first="rtdsrv.b2353dc584914e4193ea525a6339afd4">
      <tp>
        <v>401</v>
        <stp/>
        <stp>Market</stp>
        <stp>STOCK</stp>
        <stp>197A0.T</stp>
        <stp>上場来安値</stp>
        <tr r="W37" s="1"/>
      </tp>
    </main>
    <main first="rtdsrv.b2353dc584914e4193ea525a6339afd4">
      <tp>
        <v>205</v>
        <stp/>
        <stp>Market</stp>
        <stp>STOCK</stp>
        <stp>23010.T</stp>
        <stp>上場来安値</stp>
        <tr r="W140" s="1"/>
      </tp>
      <tp>
        <v>62</v>
        <stp/>
        <stp>Market</stp>
        <stp>STOCK</stp>
        <stp>22010.T</stp>
        <stp>上場来安値</stp>
        <tr r="W105" s="1"/>
      </tp>
      <tp>
        <v>79</v>
        <stp/>
        <stp>Market</stp>
        <stp>STOCK</stp>
        <stp>20010.T</stp>
        <stp>上場来安値</stp>
        <tr r="W45" s="1"/>
      </tp>
      <tp>
        <v>170</v>
        <stp/>
        <stp>Market</stp>
        <stp>STOCK</stp>
        <stp>23000.T</stp>
        <stp>上場来安値</stp>
        <tr r="W139" s="1"/>
      </tp>
      <tp>
        <v>380</v>
        <stp/>
        <stp>Market</stp>
        <stp>STOCK</stp>
        <stp>23030.T</stp>
        <stp>上場来安値</stp>
        <tr r="W141" s="1"/>
      </tp>
      <tp>
        <v>30</v>
        <stp/>
        <stp>Market</stp>
        <stp>STOCK</stp>
        <stp>20030.T</stp>
        <stp>上場来安値</stp>
        <tr r="W47" s="1"/>
      </tp>
      <tp>
        <v>100</v>
        <stp/>
        <stp>Market</stp>
        <stp>STOCK</stp>
        <stp>20020.T</stp>
        <stp>上場来安値</stp>
        <tr r="W46" s="1"/>
      </tp>
      <tp>
        <v>525</v>
        <stp/>
        <stp>Market</stp>
        <stp>STOCK</stp>
        <stp>23050.T</stp>
        <stp>上場来安値</stp>
        <tr r="W143" s="1"/>
      </tp>
      <tp>
        <v>192</v>
        <stp/>
        <stp>Market</stp>
        <stp>STOCK</stp>
        <stp>23040.T</stp>
        <stp>上場来安値</stp>
        <tr r="W142" s="1"/>
      </tp>
      <tp>
        <v>105</v>
        <stp/>
        <stp>Market</stp>
        <stp>STOCK</stp>
        <stp>22040.T</stp>
        <stp>上場来安値</stp>
        <tr r="W106" s="1"/>
      </tp>
      <tp>
        <v>48</v>
        <stp/>
        <stp>Market</stp>
        <stp>STOCK</stp>
        <stp>20040.T</stp>
        <stp>上場来安値</stp>
        <tr r="W48" s="1"/>
      </tp>
    </main>
    <main first="rtdsrv.b2353dc584914e4193ea525a6339afd4">
      <tp>
        <v>140</v>
        <stp/>
        <stp>Market</stp>
        <stp>STOCK</stp>
        <stp>23070.T</stp>
        <stp>上場来安値</stp>
        <tr r="W144" s="1"/>
      </tp>
      <tp>
        <v>50</v>
        <stp/>
        <stp>Market</stp>
        <stp>STOCK</stp>
        <stp>22070.T</stp>
        <stp>上場来安値</stp>
        <tr r="W108" s="1"/>
      </tp>
    </main>
    <main first="rtdsrv.b2353dc584914e4193ea525a6339afd4">
      <tp>
        <v>65</v>
        <stp/>
        <stp>Market</stp>
        <stp>STOCK</stp>
        <stp>22060.T</stp>
        <stp>上場来安値</stp>
        <tr r="W107" s="1"/>
      </tp>
    </main>
    <main first="rtdsrv.b2353dc584914e4193ea525a6339afd4">
      <tp>
        <v>395</v>
        <stp/>
        <stp>Market</stp>
        <stp>STOCK</stp>
        <stp>22090.T</stp>
        <stp>上場来安値</stp>
        <tr r="W110" s="1"/>
      </tp>
      <tp>
        <v>35</v>
        <stp/>
        <stp>Market</stp>
        <stp>STOCK</stp>
        <stp>21090.T</stp>
        <stp>上場来安値</stp>
        <tr r="W58" s="1"/>
      </tp>
      <tp>
        <v>70</v>
        <stp/>
        <stp>Market</stp>
        <stp>STOCK</stp>
        <stp>20090.T</stp>
        <stp>上場来安値</stp>
        <tr r="W49" s="1"/>
      </tp>
    </main>
    <main first="rtdsrv.b2353dc584914e4193ea525a6339afd4">
      <tp>
        <v>30</v>
        <stp/>
        <stp>Market</stp>
        <stp>STOCK</stp>
        <stp>22080.T</stp>
        <stp>上場来安値</stp>
        <tr r="W109" s="1"/>
      </tp>
      <tp>
        <v>44</v>
        <stp/>
        <stp>Market</stp>
        <stp>STOCK</stp>
        <stp>21080.T</stp>
        <stp>上場来安値</stp>
        <tr r="W57" s="1"/>
      </tp>
    </main>
    <main first="rtdsrv.b2353dc584914e4193ea525a6339afd4">
      <tp>
        <v>2326</v>
        <stp/>
        <stp>Market</stp>
        <stp>STOCK</stp>
        <stp>22010.T</stp>
        <stp>年初来安値</stp>
        <tr r="U105" s="1"/>
      </tp>
      <tp>
        <v>1514</v>
        <stp/>
        <stp>Market</stp>
        <stp>STOCK</stp>
        <stp>23010.T</stp>
        <stp>年初来安値</stp>
        <tr r="U140" s="1"/>
      </tp>
      <tp>
        <v>2090</v>
        <stp/>
        <stp>Market</stp>
        <stp>STOCK</stp>
        <stp>20010.T</stp>
        <stp>年初来安値</stp>
        <tr r="U45" s="1"/>
      </tp>
      <tp>
        <v>411</v>
        <stp/>
        <stp>Market</stp>
        <stp>STOCK</stp>
        <stp>23000.T</stp>
        <stp>年初来安値</stp>
        <tr r="U139" s="1"/>
      </tp>
      <tp>
        <v>1815</v>
        <stp/>
        <stp>Market</stp>
        <stp>STOCK</stp>
        <stp>23030.T</stp>
        <stp>年初来安値</stp>
        <tr r="U141" s="1"/>
      </tp>
      <tp>
        <v>5810</v>
        <stp/>
        <stp>Market</stp>
        <stp>STOCK</stp>
        <stp>20030.T</stp>
        <stp>年初来安値</stp>
        <tr r="U47" s="1"/>
      </tp>
      <tp>
        <v>1642</v>
        <stp/>
        <stp>Market</stp>
        <stp>STOCK</stp>
        <stp>20020.T</stp>
        <stp>年初来安値</stp>
        <tr r="U46" s="1"/>
      </tp>
      <tp>
        <v>1948</v>
        <stp/>
        <stp>Market</stp>
        <stp>STOCK</stp>
        <stp>23050.T</stp>
        <stp>年初来安値</stp>
        <tr r="U143" s="1"/>
      </tp>
      <tp>
        <v>2989</v>
        <stp/>
        <stp>Market</stp>
        <stp>STOCK</stp>
        <stp>22040.T</stp>
        <stp>年初来安値</stp>
        <tr r="U106" s="1"/>
      </tp>
      <tp>
        <v>755</v>
        <stp/>
        <stp>Market</stp>
        <stp>STOCK</stp>
        <stp>23040.T</stp>
        <stp>年初来安値</stp>
        <tr r="U142" s="1"/>
      </tp>
      <tp>
        <v>2570</v>
        <stp/>
        <stp>Market</stp>
        <stp>STOCK</stp>
        <stp>20040.T</stp>
        <stp>年初来安値</stp>
        <tr r="U48" s="1"/>
      </tp>
      <tp>
        <v>1816</v>
        <stp/>
        <stp>Market</stp>
        <stp>STOCK</stp>
        <stp>22070.T</stp>
        <stp>年初来安値</stp>
        <tr r="U108" s="1"/>
      </tp>
      <tp>
        <v>830</v>
        <stp/>
        <stp>Market</stp>
        <stp>STOCK</stp>
        <stp>23070.T</stp>
        <stp>年初来安値</stp>
        <tr r="U144" s="1"/>
      </tp>
    </main>
    <main first="rtdsrv.b2353dc584914e4193ea525a6339afd4">
      <tp>
        <v>4348</v>
        <stp/>
        <stp>Market</stp>
        <stp>STOCK</stp>
        <stp>22060.T</stp>
        <stp>年初来安値</stp>
        <tr r="U107" s="1"/>
      </tp>
    </main>
    <main first="rtdsrv.b2353dc584914e4193ea525a6339afd4">
      <tp>
        <v>2150</v>
        <stp/>
        <stp>Market</stp>
        <stp>STOCK</stp>
        <stp>22090.T</stp>
        <stp>年初来安値</stp>
        <tr r="U110" s="1"/>
      </tp>
      <tp>
        <v>704</v>
        <stp/>
        <stp>Market</stp>
        <stp>STOCK</stp>
        <stp>20090.T</stp>
        <stp>年初来安値</stp>
        <tr r="U49" s="1"/>
      </tp>
      <tp>
        <v>3000</v>
        <stp/>
        <stp>Market</stp>
        <stp>STOCK</stp>
        <stp>21090.T</stp>
        <stp>年初来安値</stp>
        <tr r="U58" s="1"/>
      </tp>
    </main>
    <main first="rtdsrv.b2353dc584914e4193ea525a6339afd4">
      <tp>
        <v>2313</v>
        <stp/>
        <stp>Market</stp>
        <stp>STOCK</stp>
        <stp>22080.T</stp>
        <stp>年初来安値</stp>
        <tr r="U109" s="1"/>
      </tp>
      <tp>
        <v>2021</v>
        <stp/>
        <stp>Market</stp>
        <stp>STOCK</stp>
        <stp>21080.T</stp>
        <stp>年初来安値</stp>
        <tr r="U57" s="1"/>
      </tp>
    </main>
    <main first="rtdsrv.b2353dc584914e4193ea525a6339afd4">
      <tp>
        <v>953</v>
        <stp/>
        <stp>Market</stp>
        <stp>STOCK</stp>
        <stp>220A0.T</stp>
        <stp>年初来安値</stp>
        <tr r="U111" s="1"/>
      </tp>
    </main>
    <main first="rtdsrv.b2353dc584914e4193ea525a6339afd4">
      <tp>
        <v>684</v>
        <stp/>
        <stp>Market</stp>
        <stp>STOCK</stp>
        <stp>220A0.T</stp>
        <stp>上場来安値</stp>
        <tr r="W111" s="1"/>
      </tp>
    </main>
    <main first="rtdsrv.b2353dc584914e4193ea525a6339afd4">
      <tp>
        <v>622</v>
        <stp/>
        <stp>Market</stp>
        <stp>STOCK</stp>
        <stp>23110.T</stp>
        <stp>上場来安値</stp>
        <tr r="W145" s="1"/>
      </tp>
      <tp>
        <v>60</v>
        <stp/>
        <stp>Market</stp>
        <stp>STOCK</stp>
        <stp>22110.T</stp>
        <stp>上場来安値</stp>
        <tr r="W112" s="1"/>
      </tp>
      <tp>
        <v>100</v>
        <stp/>
        <stp>Market</stp>
        <stp>STOCK</stp>
        <stp>22120.T</stp>
        <stp>上場来安値</stp>
        <tr r="W113" s="1"/>
      </tp>
      <tp>
        <v>43</v>
        <stp/>
        <stp>Market</stp>
        <stp>STOCK</stp>
        <stp>21120.T</stp>
        <stp>上場来安値</stp>
        <tr r="W59" s="1"/>
      </tp>
      <tp>
        <v>13</v>
        <stp/>
        <stp>Market</stp>
        <stp>STOCK</stp>
        <stp>23150.T</stp>
        <stp>上場来安値</stp>
        <tr r="W146" s="1"/>
      </tp>
      <tp>
        <v>66</v>
        <stp/>
        <stp>Market</stp>
        <stp>STOCK</stp>
        <stp>22150.T</stp>
        <stp>上場来安値</stp>
        <tr r="W114" s="1"/>
      </tp>
      <tp>
        <v>80</v>
        <stp/>
        <stp>Market</stp>
        <stp>STOCK</stp>
        <stp>21140.T</stp>
        <stp>上場来安値</stp>
        <tr r="W60" s="1"/>
      </tp>
    </main>
    <main first="rtdsrv.b2353dc584914e4193ea525a6339afd4">
      <tp>
        <v>235</v>
        <stp/>
        <stp>Market</stp>
        <stp>STOCK</stp>
        <stp>23170.T</stp>
        <stp>上場来安値</stp>
        <tr r="W147" s="1"/>
      </tp>
      <tp>
        <v>158</v>
        <stp/>
        <stp>Market</stp>
        <stp>STOCK</stp>
        <stp>22170.T</stp>
        <stp>上場来安値</stp>
        <tr r="W116" s="1"/>
      </tp>
      <tp>
        <v>1295</v>
        <stp/>
        <stp>Market</stp>
        <stp>STOCK</stp>
        <stp>21170.T</stp>
        <stp>上場来安値</stp>
        <tr r="W61" s="1"/>
      </tp>
    </main>
    <main first="rtdsrv.b2353dc584914e4193ea525a6339afd4">
      <tp>
        <v>45</v>
        <stp/>
        <stp>Market</stp>
        <stp>STOCK</stp>
        <stp>22160.T</stp>
        <stp>上場来安値</stp>
        <tr r="W115" s="1"/>
      </tp>
    </main>
    <main first="rtdsrv.b2353dc584914e4193ea525a6339afd4">
      <tp>
        <v>2218</v>
        <stp/>
        <stp>Market</stp>
        <stp>STOCK</stp>
        <stp>22110.T</stp>
        <stp>年初来安値</stp>
        <tr r="U112" s="1"/>
      </tp>
      <tp>
        <v>630</v>
        <stp/>
        <stp>Market</stp>
        <stp>STOCK</stp>
        <stp>23110.T</stp>
        <stp>年初来安値</stp>
        <tr r="U145" s="1"/>
      </tp>
      <tp>
        <v>2460</v>
        <stp/>
        <stp>Market</stp>
        <stp>STOCK</stp>
        <stp>22120.T</stp>
        <stp>年初来安値</stp>
        <tr r="U113" s="1"/>
      </tp>
      <tp>
        <v>272</v>
        <stp/>
        <stp>Market</stp>
        <stp>STOCK</stp>
        <stp>21120.T</stp>
        <stp>年初来安値</stp>
        <tr r="U59" s="1"/>
      </tp>
      <tp>
        <v>478</v>
        <stp/>
        <stp>Market</stp>
        <stp>STOCK</stp>
        <stp>22150.T</stp>
        <stp>年初来安値</stp>
        <tr r="U114" s="1"/>
      </tp>
      <tp>
        <v>47</v>
        <stp/>
        <stp>Market</stp>
        <stp>STOCK</stp>
        <stp>23150.T</stp>
        <stp>年初来安値</stp>
        <tr r="U146" s="1"/>
      </tp>
      <tp>
        <v>592</v>
        <stp/>
        <stp>Market</stp>
        <stp>STOCK</stp>
        <stp>21140.T</stp>
        <stp>年初来安値</stp>
        <tr r="U60" s="1"/>
      </tp>
      <tp>
        <v>1472</v>
        <stp/>
        <stp>Market</stp>
        <stp>STOCK</stp>
        <stp>22170.T</stp>
        <stp>年初来安値</stp>
        <tr r="U116" s="1"/>
      </tp>
      <tp>
        <v>312</v>
        <stp/>
        <stp>Market</stp>
        <stp>STOCK</stp>
        <stp>23170.T</stp>
        <stp>年初来安値</stp>
        <tr r="U147" s="1"/>
      </tp>
      <tp>
        <v>2100</v>
        <stp/>
        <stp>Market</stp>
        <stp>STOCK</stp>
        <stp>21170.T</stp>
        <stp>年初来安値</stp>
        <tr r="U61" s="1"/>
      </tp>
    </main>
    <main first="rtdsrv.b2353dc584914e4193ea525a6339afd4">
      <tp>
        <v>1265</v>
        <stp/>
        <stp>Market</stp>
        <stp>STOCK</stp>
        <stp>22160.T</stp>
        <stp>年初来安値</stp>
        <tr r="U115" s="1"/>
      </tp>
    </main>
    <main first="rtdsrv.b2353dc584914e4193ea525a6339afd4">
      <tp>
        <v>2575</v>
        <stp/>
        <stp>Market</stp>
        <stp>STOCK</stp>
        <stp>211A0.T</stp>
        <stp>年初来安値</stp>
        <tr r="U62" s="1"/>
      </tp>
    </main>
    <main first="rtdsrv.b2353dc584914e4193ea525a6339afd4">
      <tp>
        <v>1680</v>
        <stp/>
        <stp>Market</stp>
        <stp>STOCK</stp>
        <stp>211A0.T</stp>
        <stp>上場来安値</stp>
        <tr r="W62" s="1"/>
      </tp>
    </main>
    <main first="rtdsrv.b2353dc584914e4193ea525a6339afd4">
      <tp>
        <v>55</v>
        <stp/>
        <stp>Market</stp>
        <stp>STOCK</stp>
        <stp>23210.T</stp>
        <stp>上場来安値</stp>
        <tr r="W148" s="1"/>
      </tp>
      <tp>
        <v>654</v>
        <stp/>
        <stp>Market</stp>
        <stp>STOCK</stp>
        <stp>22210.T</stp>
        <stp>上場来安値</stp>
        <tr r="W118" s="1"/>
      </tp>
      <tp>
        <v>1064</v>
        <stp/>
        <stp>Market</stp>
        <stp>STOCK</stp>
        <stp>21210.T</stp>
        <stp>上場来安値</stp>
        <tr r="W64" s="1"/>
      </tp>
      <tp>
        <v>470</v>
        <stp/>
        <stp>Market</stp>
        <stp>STOCK</stp>
        <stp>22200.T</stp>
        <stp>上場来安値</stp>
        <tr r="W117" s="1"/>
      </tp>
      <tp>
        <v>100</v>
        <stp/>
        <stp>Market</stp>
        <stp>STOCK</stp>
        <stp>21200.T</stp>
        <stp>上場来安値</stp>
        <tr r="W63" s="1"/>
      </tp>
      <tp>
        <v>100</v>
        <stp/>
        <stp>Market</stp>
        <stp>STOCK</stp>
        <stp>23230.T</stp>
        <stp>上場来安値</stp>
        <tr r="W149" s="1"/>
      </tp>
      <tp>
        <v>1056</v>
        <stp/>
        <stp>Market</stp>
        <stp>STOCK</stp>
        <stp>22220.T</stp>
        <stp>上場来安値</stp>
        <tr r="W119" s="1"/>
      </tp>
      <tp>
        <v>600</v>
        <stp/>
        <stp>Market</stp>
        <stp>STOCK</stp>
        <stp>21220.T</stp>
        <stp>上場来安値</stp>
        <tr r="W65" s="1"/>
      </tp>
      <tp>
        <v>1086</v>
        <stp/>
        <stp>Market</stp>
        <stp>STOCK</stp>
        <stp>23250.T</stp>
        <stp>上場来安値</stp>
        <tr r="W150" s="1"/>
      </tp>
      <tp>
        <v>424</v>
        <stp/>
        <stp>Market</stp>
        <stp>STOCK</stp>
        <stp>22240.T</stp>
        <stp>上場来安値</stp>
        <tr r="W120" s="1"/>
      </tp>
      <tp>
        <v>589</v>
        <stp/>
        <stp>Market</stp>
        <stp>STOCK</stp>
        <stp>21240.T</stp>
        <stp>上場来安値</stp>
        <tr r="W66" s="1"/>
      </tp>
      <tp>
        <v>483.2</v>
        <stp/>
        <stp>Market</stp>
        <stp>STOCK</stp>
        <stp>21270.T</stp>
        <stp>上場来安値</stp>
        <tr r="W67" s="1"/>
      </tp>
    </main>
    <main first="rtdsrv.b2353dc584914e4193ea525a6339afd4">
      <tp>
        <v>673</v>
        <stp/>
        <stp>Market</stp>
        <stp>STOCK</stp>
        <stp>23260.T</stp>
        <stp>上場来安値</stp>
        <tr r="W151" s="1"/>
      </tp>
      <tp>
        <v>1306</v>
        <stp/>
        <stp>Market</stp>
        <stp>STOCK</stp>
        <stp>22260.T</stp>
        <stp>上場来安値</stp>
        <tr r="W121" s="1"/>
      </tp>
      <tp>
        <v>57</v>
        <stp/>
        <stp>Market</stp>
        <stp>STOCK</stp>
        <stp>19260.T</stp>
        <stp>上場来安値</stp>
        <tr r="W2" s="1"/>
      </tp>
    </main>
    <main first="rtdsrv.b2353dc584914e4193ea525a6339afd4">
      <tp>
        <v>2000</v>
        <stp/>
        <stp>Market</stp>
        <stp>STOCK</stp>
        <stp>22290.T</stp>
        <stp>上場来安値</stp>
        <tr r="W122" s="1"/>
      </tp>
      <tp>
        <v>27</v>
        <stp/>
        <stp>Market</stp>
        <stp>STOCK</stp>
        <stp>19290.T</stp>
        <stp>上場来安値</stp>
        <tr r="W4" s="1"/>
      </tp>
      <tp>
        <v>535</v>
        <stp/>
        <stp>Market</stp>
        <stp>STOCK</stp>
        <stp>19280.T</stp>
        <stp>上場来安値</stp>
        <tr r="W3" s="1"/>
      </tp>
    </main>
    <main first="rtdsrv.b2353dc584914e4193ea525a6339afd4">
      <tp>
        <v>2559</v>
        <stp/>
        <stp>Market</stp>
        <stp>STOCK</stp>
        <stp>22210.T</stp>
        <stp>年初来安値</stp>
        <tr r="U118" s="1"/>
      </tp>
      <tp>
        <v>75</v>
        <stp/>
        <stp>Market</stp>
        <stp>STOCK</stp>
        <stp>23210.T</stp>
        <stp>年初来安値</stp>
        <tr r="U148" s="1"/>
      </tp>
      <tp>
        <v>2581</v>
        <stp/>
        <stp>Market</stp>
        <stp>STOCK</stp>
        <stp>21210.T</stp>
        <stp>年初来安値</stp>
        <tr r="U64" s="1"/>
      </tp>
      <tp>
        <v>3600</v>
        <stp/>
        <stp>Market</stp>
        <stp>STOCK</stp>
        <stp>22200.T</stp>
        <stp>年初来安値</stp>
        <tr r="U117" s="1"/>
      </tp>
      <tp>
        <v>120</v>
        <stp/>
        <stp>Market</stp>
        <stp>STOCK</stp>
        <stp>21200.T</stp>
        <stp>年初来安値</stp>
        <tr r="U63" s="1"/>
      </tp>
      <tp>
        <v>310</v>
        <stp/>
        <stp>Market</stp>
        <stp>STOCK</stp>
        <stp>23230.T</stp>
        <stp>年初来安値</stp>
        <tr r="U149" s="1"/>
      </tp>
      <tp>
        <v>1718.5</v>
        <stp/>
        <stp>Market</stp>
        <stp>STOCK</stp>
        <stp>22220.T</stp>
        <stp>年初来安値</stp>
        <tr r="U119" s="1"/>
      </tp>
      <tp>
        <v>868</v>
        <stp/>
        <stp>Market</stp>
        <stp>STOCK</stp>
        <stp>21220.T</stp>
        <stp>年初来安値</stp>
        <tr r="U65" s="1"/>
      </tp>
      <tp>
        <v>3155</v>
        <stp/>
        <stp>Market</stp>
        <stp>STOCK</stp>
        <stp>23250.T</stp>
        <stp>年初来安値</stp>
        <tr r="U150" s="1"/>
      </tp>
      <tp>
        <v>3000</v>
        <stp/>
        <stp>Market</stp>
        <stp>STOCK</stp>
        <stp>22240.T</stp>
        <stp>年初来安値</stp>
        <tr r="U120" s="1"/>
      </tp>
      <tp>
        <v>645</v>
        <stp/>
        <stp>Market</stp>
        <stp>STOCK</stp>
        <stp>21240.T</stp>
        <stp>年初来安値</stp>
        <tr r="U66" s="1"/>
      </tp>
      <tp>
        <v>483.2</v>
        <stp/>
        <stp>Market</stp>
        <stp>STOCK</stp>
        <stp>21270.T</stp>
        <stp>年初来安値</stp>
        <tr r="U67" s="1"/>
      </tp>
      <tp>
        <v>4200</v>
        <stp/>
        <stp>Market</stp>
        <stp>STOCK</stp>
        <stp>22260.T</stp>
        <stp>年初来安値</stp>
        <tr r="U121" s="1"/>
      </tp>
      <tp>
        <v>4880</v>
        <stp/>
        <stp>Market</stp>
        <stp>STOCK</stp>
        <stp>23260.T</stp>
        <stp>年初来安値</stp>
        <tr r="U151" s="1"/>
      </tp>
      <tp>
        <v>2141</v>
        <stp/>
        <stp>Market</stp>
        <stp>STOCK</stp>
        <stp>19260.T</stp>
        <stp>年初来安値</stp>
        <tr r="U2" s="1"/>
      </tp>
    </main>
    <main first="rtdsrv.b2353dc584914e4193ea525a6339afd4">
      <tp>
        <v>2600</v>
        <stp/>
        <stp>Market</stp>
        <stp>STOCK</stp>
        <stp>22290.T</stp>
        <stp>年初来安値</stp>
        <tr r="U122" s="1"/>
      </tp>
      <tp>
        <v>909</v>
        <stp/>
        <stp>Market</stp>
        <stp>STOCK</stp>
        <stp>19290.T</stp>
        <stp>年初来安値</stp>
        <tr r="U4" s="1"/>
      </tp>
    </main>
    <main first="rtdsrv.b2353dc584914e4193ea525a6339afd4">
      <tp>
        <v>2906</v>
        <stp/>
        <stp>Market</stp>
        <stp>STOCK</stp>
        <stp>19280.T</stp>
        <stp>年初来安値</stp>
        <tr r="U3" s="1"/>
      </tp>
    </main>
    <main first="rtdsrv.b2353dc584914e4193ea525a6339afd4">
      <tp>
        <v>1090</v>
        <stp/>
        <stp>Market</stp>
        <stp>STOCK</stp>
        <stp>202A0.T</stp>
        <stp>年初来安値</stp>
        <tr r="U50" s="1"/>
      </tp>
      <tp>
        <v>1199</v>
        <stp/>
        <stp>Market</stp>
        <stp>STOCK</stp>
        <stp>212A0.T</stp>
        <stp>年初来安値</stp>
        <tr r="U68" s="1"/>
      </tp>
      <tp>
        <v>1810</v>
        <stp/>
        <stp>Market</stp>
        <stp>STOCK</stp>
        <stp>192A0.T</stp>
        <stp>年初来安値</stp>
        <tr r="U5" s="1"/>
      </tp>
    </main>
    <main first="rtdsrv.b2353dc584914e4193ea525a6339afd4">
      <tp>
        <v>700</v>
        <stp/>
        <stp>Market</stp>
        <stp>STOCK</stp>
        <stp>212A0.T</stp>
        <stp>上場来安値</stp>
        <tr r="W68" s="1"/>
      </tp>
      <tp>
        <v>1000</v>
        <stp/>
        <stp>Market</stp>
        <stp>STOCK</stp>
        <stp>202A0.T</stp>
        <stp>上場来安値</stp>
        <tr r="W50" s="1"/>
      </tp>
      <tp>
        <v>1810</v>
        <stp/>
        <stp>Market</stp>
        <stp>STOCK</stp>
        <stp>192A0.T</stp>
        <stp>上場来安値</stp>
        <tr r="W5" s="1"/>
      </tp>
    </main>
    <main first="rtdsrv.b2353dc584914e4193ea525a6339afd4">
      <tp>
        <v>483</v>
        <stp/>
        <stp>Market</stp>
        <stp>STOCK</stp>
        <stp>21300.T</stp>
        <stp>上場来安値</stp>
        <tr r="W69" s="1"/>
      </tp>
      <tp>
        <v>198</v>
        <stp/>
        <stp>Market</stp>
        <stp>STOCK</stp>
        <stp>19300.T</stp>
        <stp>上場来安値</stp>
        <tr r="W6" s="1"/>
      </tp>
      <tp>
        <v>8</v>
        <stp/>
        <stp>Market</stp>
        <stp>STOCK</stp>
        <stp>21340.T</stp>
        <stp>上場来安値</stp>
        <tr r="W70" s="1"/>
      </tp>
      <tp>
        <v>234</v>
        <stp/>
        <stp>Market</stp>
        <stp>STOCK</stp>
        <stp>19340.T</stp>
        <stp>上場来安値</stp>
        <tr r="W7" s="1"/>
      </tp>
    </main>
    <main first="rtdsrv.b2353dc584914e4193ea525a6339afd4">
      <tp>
        <v>314</v>
        <stp/>
        <stp>Market</stp>
        <stp>STOCK</stp>
        <stp>21360.T</stp>
        <stp>上場来安値</stp>
        <tr r="W71" s="1"/>
      </tp>
    </main>
    <main first="rtdsrv.b2353dc584914e4193ea525a6339afd4">
      <tp>
        <v>314</v>
        <stp/>
        <stp>Market</stp>
        <stp>STOCK</stp>
        <stp>21390.T</stp>
        <stp>上場来安値</stp>
        <tr r="W73" s="1"/>
      </tp>
      <tp>
        <v>168</v>
        <stp/>
        <stp>Market</stp>
        <stp>STOCK</stp>
        <stp>19390.T</stp>
        <stp>上場来安値</stp>
        <tr r="W9" s="1"/>
      </tp>
    </main>
    <main first="rtdsrv.b2353dc584914e4193ea525a6339afd4">
      <tp>
        <v>444</v>
        <stp/>
        <stp>Market</stp>
        <stp>STOCK</stp>
        <stp>21380.T</stp>
        <stp>上場来安値</stp>
        <tr r="W72" s="1"/>
      </tp>
      <tp>
        <v>155</v>
        <stp/>
        <stp>Market</stp>
        <stp>STOCK</stp>
        <stp>19380.T</stp>
        <stp>上場来安値</stp>
        <tr r="W8" s="1"/>
      </tp>
    </main>
    <main first="rtdsrv.b2353dc584914e4193ea525a6339afd4">
      <tp>
        <v>876</v>
        <stp/>
        <stp>Market</stp>
        <stp>STOCK</stp>
        <stp>21300.T</stp>
        <stp>年初来安値</stp>
        <tr r="U69" s="1"/>
      </tp>
      <tp>
        <v>976</v>
        <stp/>
        <stp>Market</stp>
        <stp>STOCK</stp>
        <stp>19300.T</stp>
        <stp>年初来安値</stp>
        <tr r="U6" s="1"/>
      </tp>
      <tp>
        <v>15</v>
        <stp/>
        <stp>Market</stp>
        <stp>STOCK</stp>
        <stp>21340.T</stp>
        <stp>年初来安値</stp>
        <tr r="U70" s="1"/>
      </tp>
      <tp>
        <v>1423</v>
        <stp/>
        <stp>Market</stp>
        <stp>STOCK</stp>
        <stp>19340.T</stp>
        <stp>年初来安値</stp>
        <tr r="U7" s="1"/>
      </tp>
    </main>
    <main first="rtdsrv.b2353dc584914e4193ea525a6339afd4">
      <tp>
        <v>895</v>
        <stp/>
        <stp>Market</stp>
        <stp>STOCK</stp>
        <stp>21360.T</stp>
        <stp>年初来安値</stp>
        <tr r="U71" s="1"/>
      </tp>
    </main>
    <main first="rtdsrv.b2353dc584914e4193ea525a6339afd4">
      <tp>
        <v>392</v>
        <stp/>
        <stp>Market</stp>
        <stp>STOCK</stp>
        <stp>21390.T</stp>
        <stp>年初来安値</stp>
        <tr r="U73" s="1"/>
      </tp>
      <tp>
        <v>1076</v>
        <stp/>
        <stp>Market</stp>
        <stp>STOCK</stp>
        <stp>19390.T</stp>
        <stp>年初来安値</stp>
        <tr r="U9" s="1"/>
      </tp>
    </main>
    <main first="rtdsrv.b2353dc584914e4193ea525a6339afd4">
      <tp>
        <v>444</v>
        <stp/>
        <stp>Market</stp>
        <stp>STOCK</stp>
        <stp>21380.T</stp>
        <stp>年初来安値</stp>
        <tr r="U72" s="1"/>
      </tp>
      <tp>
        <v>1255</v>
        <stp/>
        <stp>Market</stp>
        <stp>STOCK</stp>
        <stp>19380.T</stp>
        <stp>年初来安値</stp>
        <tr r="U8" s="1"/>
      </tp>
    </main>
    <main first="rtdsrv.b2353dc584914e4193ea525a6339afd4">
      <tp>
        <v>11</v>
        <stp/>
        <stp>Market</stp>
        <stp>STOCK</stp>
        <stp>23000.T</stp>
        <stp>配当</stp>
        <tr r="H139" s="1"/>
      </tp>
      <tp>
        <v>66</v>
        <stp/>
        <stp>Market</stp>
        <stp>STOCK</stp>
        <stp>22200.T</stp>
        <stp>配当</stp>
        <tr r="H117" s="1"/>
      </tp>
      <tp>
        <v>100</v>
        <stp/>
        <stp>Market</stp>
        <stp>STOCK</stp>
        <stp>22700.T</stp>
        <stp>配当</stp>
        <tr r="H128" s="1"/>
      </tp>
      <tp>
        <v>5.21</v>
        <stp/>
        <stp>Market</stp>
        <stp>STOCK</stp>
        <stp>21200.T</stp>
        <stp>配当</stp>
        <tr r="H63" s="1"/>
      </tp>
      <tp>
        <v>33</v>
        <stp/>
        <stp>Market</stp>
        <stp>STOCK</stp>
        <stp>21300.T</stp>
        <stp>配当</stp>
        <tr r="H69" s="1"/>
      </tp>
      <tp>
        <v>0</v>
        <stp/>
        <stp>Market</stp>
        <stp>STOCK</stp>
        <stp>21600.T</stp>
        <stp>配当</stp>
        <tr r="H84" s="1"/>
      </tp>
      <tp>
        <v>16.399999999999999</v>
        <stp/>
        <stp>Market</stp>
        <stp>STOCK</stp>
        <stp>21700.T</stp>
        <stp>配当</stp>
        <tr r="H90" s="1"/>
      </tp>
      <tp t="s">
        <v/>
        <stp/>
        <stp>Market</stp>
        <stp>STOCK</stp>
        <stp>21500.T</stp>
        <stp>配当</stp>
        <tr r="H76" s="1"/>
      </tp>
      <tp>
        <v>26</v>
        <stp/>
        <stp>Market</stp>
        <stp>STOCK</stp>
        <stp>21800.T</stp>
        <stp>配当</stp>
        <tr r="H94" s="1"/>
      </tp>
      <tp>
        <v>42</v>
        <stp/>
        <stp>Market</stp>
        <stp>STOCK</stp>
        <stp>20600.T</stp>
        <stp>配当</stp>
        <tr r="H54" s="1"/>
      </tp>
      <tp>
        <v>44</v>
        <stp/>
        <stp>Market</stp>
        <stp>STOCK</stp>
        <stp>19300.T</stp>
        <stp>配当</stp>
        <tr r="H6" s="1"/>
      </tp>
      <tp>
        <v>40</v>
        <stp/>
        <stp>Market</stp>
        <stp>STOCK</stp>
        <stp>19600.T</stp>
        <stp>配当</stp>
        <tr r="H23" s="1"/>
      </tp>
      <tp>
        <v>115</v>
        <stp/>
        <stp>Market</stp>
        <stp>STOCK</stp>
        <stp>19500.T</stp>
        <stp>配当</stp>
        <tr r="H18" s="1"/>
      </tp>
      <tp>
        <v>72.33</v>
        <stp/>
        <stp>Market</stp>
        <stp>STOCK</stp>
        <stp>19800.T</stp>
        <stp>配当</stp>
        <tr r="H38" s="1"/>
      </tp>
      <tp>
        <v>0</v>
        <stp/>
        <stp>Market</stp>
        <stp>STOCK</stp>
        <stp>23210.T</stp>
        <stp>配当</stp>
        <tr r="H148" s="1"/>
      </tp>
      <tp>
        <v>75</v>
        <stp/>
        <stp>Market</stp>
        <stp>STOCK</stp>
        <stp>23010.T</stp>
        <stp>配当</stp>
        <tr r="H140" s="1"/>
      </tp>
      <tp>
        <v>32</v>
        <stp/>
        <stp>Market</stp>
        <stp>STOCK</stp>
        <stp>23110.T</stp>
        <stp>配当</stp>
        <tr r="H145" s="1"/>
      </tp>
      <tp>
        <v>30</v>
        <stp/>
        <stp>Market</stp>
        <stp>STOCK</stp>
        <stp>22210.T</stp>
        <stp>配当</stp>
        <tr r="H118" s="1"/>
      </tp>
      <tp>
        <v>65</v>
        <stp/>
        <stp>Market</stp>
        <stp>STOCK</stp>
        <stp>22010.T</stp>
        <stp>配当</stp>
        <tr r="H105" s="1"/>
      </tp>
      <tp>
        <v>30</v>
        <stp/>
        <stp>Market</stp>
        <stp>STOCK</stp>
        <stp>22110.T</stp>
        <stp>配当</stp>
        <tr r="H112" s="1"/>
      </tp>
      <tp>
        <v>80</v>
        <stp/>
        <stp>Market</stp>
        <stp>STOCK</stp>
        <stp>22810.T</stp>
        <stp>配当</stp>
        <tr r="H129" s="1"/>
      </tp>
      <tp>
        <v>0</v>
        <stp/>
        <stp>Market</stp>
        <stp>STOCK</stp>
        <stp>22910.T</stp>
        <stp>配当</stp>
        <tr r="H134" s="1"/>
      </tp>
      <tp>
        <v>120</v>
        <stp/>
        <stp>Market</stp>
        <stp>STOCK</stp>
        <stp>21210.T</stp>
        <stp>配当</stp>
        <tr r="H64" s="1"/>
      </tp>
      <tp>
        <v>11</v>
        <stp/>
        <stp>Market</stp>
        <stp>STOCK</stp>
        <stp>21810.T</stp>
        <stp>配当</stp>
        <tr r="H95" s="1"/>
      </tp>
      <tp>
        <v>66</v>
        <stp/>
        <stp>Market</stp>
        <stp>STOCK</stp>
        <stp>20010.T</stp>
        <stp>配当</stp>
        <tr r="H45" s="1"/>
      </tp>
      <tp>
        <v>165</v>
        <stp/>
        <stp>Market</stp>
        <stp>STOCK</stp>
        <stp>19610.T</stp>
        <stp>配当</stp>
        <tr r="H24" s="1"/>
      </tp>
      <tp>
        <v>130</v>
        <stp/>
        <stp>Market</stp>
        <stp>STOCK</stp>
        <stp>19410.T</stp>
        <stp>配当</stp>
        <tr r="H10" s="1"/>
      </tp>
      <tp>
        <v>66</v>
        <stp/>
        <stp>Market</stp>
        <stp>STOCK</stp>
        <stp>19510.T</stp>
        <stp>配当</stp>
        <tr r="H19" s="1"/>
      </tp>
      <tp>
        <v>45</v>
        <stp/>
        <stp>Market</stp>
        <stp>STOCK</stp>
        <stp>19810.T</stp>
        <stp>配当</stp>
        <tr r="H39" s="1"/>
      </tp>
      <tp>
        <v>35</v>
        <stp/>
        <stp>Market</stp>
        <stp>STOCK</stp>
        <stp>22220.T</stp>
        <stp>配当</stp>
        <tr r="H119" s="1"/>
      </tp>
      <tp>
        <v>60</v>
        <stp/>
        <stp>Market</stp>
        <stp>STOCK</stp>
        <stp>22120.T</stp>
        <stp>配当</stp>
        <tr r="H113" s="1"/>
      </tp>
      <tp>
        <v>160</v>
        <stp/>
        <stp>Market</stp>
        <stp>STOCK</stp>
        <stp>22820.T</stp>
        <stp>配当</stp>
        <tr r="H130" s="1"/>
      </tp>
      <tp>
        <v>104</v>
        <stp/>
        <stp>Market</stp>
        <stp>STOCK</stp>
        <stp>22920.T</stp>
        <stp>配当</stp>
        <tr r="H135" s="1"/>
      </tp>
      <tp>
        <v>30</v>
        <stp/>
        <stp>Market</stp>
        <stp>STOCK</stp>
        <stp>21220.T</stp>
        <stp>配当</stp>
        <tr r="H65" s="1"/>
      </tp>
      <tp>
        <v>20</v>
        <stp/>
        <stp>Market</stp>
        <stp>STOCK</stp>
        <stp>21120.T</stp>
        <stp>配当</stp>
        <tr r="H59" s="1"/>
      </tp>
      <tp>
        <v>20</v>
        <stp/>
        <stp>Market</stp>
        <stp>STOCK</stp>
        <stp>21620.T</stp>
        <stp>配当</stp>
        <tr r="H85" s="1"/>
      </tp>
      <tp>
        <v>24</v>
        <stp/>
        <stp>Market</stp>
        <stp>STOCK</stp>
        <stp>21520.T</stp>
        <stp>配当</stp>
        <tr r="H77" s="1"/>
      </tp>
      <tp>
        <v>60</v>
        <stp/>
        <stp>Market</stp>
        <stp>STOCK</stp>
        <stp>20020.T</stp>
        <stp>配当</stp>
        <tr r="H46" s="1"/>
      </tp>
      <tp>
        <v>69</v>
        <stp/>
        <stp>Market</stp>
        <stp>STOCK</stp>
        <stp>19720.T</stp>
        <stp>配当</stp>
        <tr r="H33" s="1"/>
      </tp>
      <tp>
        <v>120</v>
        <stp/>
        <stp>Market</stp>
        <stp>STOCK</stp>
        <stp>19420.T</stp>
        <stp>配当</stp>
        <tr r="H11" s="1"/>
      </tp>
      <tp>
        <v>110</v>
        <stp/>
        <stp>Market</stp>
        <stp>STOCK</stp>
        <stp>19520.T</stp>
        <stp>配当</stp>
        <tr r="H20" s="1"/>
      </tp>
      <tp>
        <v>130</v>
        <stp/>
        <stp>Market</stp>
        <stp>STOCK</stp>
        <stp>19820.T</stp>
        <stp>配当</stp>
        <tr r="H40" s="1"/>
      </tp>
      <tp>
        <v>76</v>
        <stp/>
        <stp>Market</stp>
        <stp>STOCK</stp>
        <stp>19920.T</stp>
        <stp>配当</stp>
        <tr r="H42" s="1"/>
      </tp>
      <tp>
        <v>0</v>
        <stp/>
        <stp>Market</stp>
        <stp>STOCK</stp>
        <stp>23230.T</stp>
        <stp>配当</stp>
        <tr r="H149" s="1"/>
      </tp>
      <tp>
        <v>26</v>
        <stp/>
        <stp>Market</stp>
        <stp>STOCK</stp>
        <stp>23030.T</stp>
        <stp>配当</stp>
        <tr r="H141" s="1"/>
      </tp>
      <tp>
        <v>20</v>
        <stp/>
        <stp>Market</stp>
        <stp>STOCK</stp>
        <stp>22930.T</stp>
        <stp>配当</stp>
        <tr r="H136" s="1"/>
      </tp>
      <tp>
        <v>84</v>
        <stp/>
        <stp>Market</stp>
        <stp>STOCK</stp>
        <stp>21630.T</stp>
        <stp>配当</stp>
        <tr r="H86" s="1"/>
      </tp>
      <tp>
        <v>27</v>
        <stp/>
        <stp>Market</stp>
        <stp>STOCK</stp>
        <stp>21730.T</stp>
        <stp>配当</stp>
        <tr r="H91" s="1"/>
      </tp>
      <tp>
        <v>69</v>
        <stp/>
        <stp>Market</stp>
        <stp>STOCK</stp>
        <stp>21530.T</stp>
        <stp>配当</stp>
        <tr r="H78" s="1"/>
      </tp>
      <tp>
        <v>16</v>
        <stp/>
        <stp>Market</stp>
        <stp>STOCK</stp>
        <stp>21830.T</stp>
        <stp>配当</stp>
        <tr r="H96" s="1"/>
      </tp>
      <tp>
        <v>0</v>
        <stp/>
        <stp>Market</stp>
        <stp>STOCK</stp>
        <stp>21930.T</stp>
        <stp>配当</stp>
        <tr r="H100" s="1"/>
      </tp>
      <tp>
        <v>280</v>
        <stp/>
        <stp>Market</stp>
        <stp>STOCK</stp>
        <stp>20030.T</stp>
        <stp>配当</stp>
        <tr r="H47" s="1"/>
      </tp>
      <tp>
        <v>60</v>
        <stp/>
        <stp>Market</stp>
        <stp>STOCK</stp>
        <stp>20530.T</stp>
        <stp>配当</stp>
        <tr r="H51" s="1"/>
      </tp>
      <tp>
        <v>40</v>
        <stp/>
        <stp>Market</stp>
        <stp>STOCK</stp>
        <stp>19630.T</stp>
        <stp>配当</stp>
        <tr r="H25" s="1"/>
      </tp>
      <tp>
        <v>35</v>
        <stp/>
        <stp>Market</stp>
        <stp>STOCK</stp>
        <stp>23040.T</stp>
        <stp>配当</stp>
        <tr r="H142" s="1"/>
      </tp>
      <tp>
        <v>7</v>
        <stp/>
        <stp>Market</stp>
        <stp>STOCK</stp>
        <stp>22240.T</stp>
        <stp>配当</stp>
        <tr r="H120" s="1"/>
      </tp>
      <tp>
        <v>70</v>
        <stp/>
        <stp>Market</stp>
        <stp>STOCK</stp>
        <stp>22040.T</stp>
        <stp>配当</stp>
        <tr r="H106" s="1"/>
      </tp>
      <tp>
        <v>93</v>
        <stp/>
        <stp>Market</stp>
        <stp>STOCK</stp>
        <stp>22640.T</stp>
        <stp>配当</stp>
        <tr r="H123" s="1"/>
      </tp>
      <tp>
        <v>85</v>
        <stp/>
        <stp>Market</stp>
        <stp>STOCK</stp>
        <stp>22940.T</stp>
        <stp>配当</stp>
        <tr r="H137" s="1"/>
      </tp>
      <tp>
        <v>38</v>
        <stp/>
        <stp>Market</stp>
        <stp>STOCK</stp>
        <stp>21240.T</stp>
        <stp>配当</stp>
        <tr r="H66" s="1"/>
      </tp>
      <tp>
        <v>0</v>
        <stp/>
        <stp>Market</stp>
        <stp>STOCK</stp>
        <stp>21340.T</stp>
        <stp>配当</stp>
        <tr r="H70" s="1"/>
      </tp>
      <tp>
        <v>18</v>
        <stp/>
        <stp>Market</stp>
        <stp>STOCK</stp>
        <stp>21140.T</stp>
        <stp>配当</stp>
        <tr r="H60" s="1"/>
      </tp>
      <tp>
        <v>0</v>
        <stp/>
        <stp>Market</stp>
        <stp>STOCK</stp>
        <stp>21640.T</stp>
        <stp>配当</stp>
        <tr r="H87" s="1"/>
      </tp>
      <tp>
        <v>85</v>
        <stp/>
        <stp>Market</stp>
        <stp>STOCK</stp>
        <stp>21540.T</stp>
        <stp>配当</stp>
        <tr r="H79" s="1"/>
      </tp>
      <tp>
        <v>100</v>
        <stp/>
        <stp>Market</stp>
        <stp>STOCK</stp>
        <stp>20040.T</stp>
        <stp>配当</stp>
        <tr r="H48" s="1"/>
      </tp>
      <tp>
        <v>72</v>
        <stp/>
        <stp>Market</stp>
        <stp>STOCK</stp>
        <stp>19340.T</stp>
        <stp>配当</stp>
        <tr r="H7" s="1"/>
      </tp>
      <tp>
        <v>150</v>
        <stp/>
        <stp>Market</stp>
        <stp>STOCK</stp>
        <stp>19640.T</stp>
        <stp>配当</stp>
        <tr r="H26" s="1"/>
      </tp>
      <tp>
        <v>125</v>
        <stp/>
        <stp>Market</stp>
        <stp>STOCK</stp>
        <stp>19440.T</stp>
        <stp>配当</stp>
        <tr r="H12" s="1"/>
      </tp>
      <tp>
        <v>20</v>
        <stp/>
        <stp>Market</stp>
        <stp>STOCK</stp>
        <stp>19940.T</stp>
        <stp>配当</stp>
        <tr r="H43" s="1"/>
      </tp>
    </main>
    <main first="rtdsrv.b2353dc584914e4193ea525a6339afd4">
      <tp>
        <v>110</v>
        <stp/>
        <stp>Market</stp>
        <stp>STOCK</stp>
        <stp>23250.T</stp>
        <stp>配当</stp>
        <tr r="H150" s="1"/>
      </tp>
      <tp>
        <v>50</v>
        <stp/>
        <stp>Market</stp>
        <stp>STOCK</stp>
        <stp>23050.T</stp>
        <stp>配当</stp>
        <tr r="H143" s="1"/>
      </tp>
      <tp>
        <v>0</v>
        <stp/>
        <stp>Market</stp>
        <stp>STOCK</stp>
        <stp>23150.T</stp>
        <stp>配当</stp>
        <tr r="H146" s="1"/>
      </tp>
      <tp>
        <v>0</v>
        <stp/>
        <stp>Market</stp>
        <stp>STOCK</stp>
        <stp>22150.T</stp>
        <stp>配当</stp>
        <tr r="H114" s="1"/>
      </tp>
      <tp>
        <v>29.5</v>
        <stp/>
        <stp>Market</stp>
        <stp>STOCK</stp>
        <stp>21750.T</stp>
        <stp>配当</stp>
        <tr r="H92" s="1"/>
      </tp>
      <tp>
        <v>55</v>
        <stp/>
        <stp>Market</stp>
        <stp>STOCK</stp>
        <stp>21850.T</stp>
        <stp>配当</stp>
        <tr r="H97" s="1"/>
      </tp>
      <tp>
        <v>5</v>
        <stp/>
        <stp>Market</stp>
        <stp>STOCK</stp>
        <stp>21950.T</stp>
        <stp>配当</stp>
        <tr r="H101" s="1"/>
      </tp>
      <tp>
        <v>6</v>
        <stp/>
        <stp>Market</stp>
        <stp>STOCK</stp>
        <stp>20550.T</stp>
        <stp>配当</stp>
        <tr r="H52" s="1"/>
      </tp>
      <tp>
        <v>108</v>
        <stp/>
        <stp>Market</stp>
        <stp>STOCK</stp>
        <stp>19650.T</stp>
        <stp>配当</stp>
        <tr r="H27" s="1"/>
      </tp>
      <tp>
        <v>135</v>
        <stp/>
        <stp>Market</stp>
        <stp>STOCK</stp>
        <stp>19750.T</stp>
        <stp>配当</stp>
        <tr r="H34" s="1"/>
      </tp>
      <tp>
        <v>57</v>
        <stp/>
        <stp>Market</stp>
        <stp>STOCK</stp>
        <stp>19450.T</stp>
        <stp>配当</stp>
        <tr r="H13" s="1"/>
      </tp>
    </main>
    <main first="rtdsrv.b2353dc584914e4193ea525a6339afd4">
      <tp>
        <v>95</v>
        <stp/>
        <stp>Market</stp>
        <stp>STOCK</stp>
        <stp>23260.T</stp>
        <stp>配当</stp>
        <tr r="H151" s="1"/>
      </tp>
      <tp>
        <v>55</v>
        <stp/>
        <stp>Market</stp>
        <stp>STOCK</stp>
        <stp>22260.T</stp>
        <stp>配当</stp>
        <tr r="H121" s="1"/>
      </tp>
      <tp>
        <v>95</v>
        <stp/>
        <stp>Market</stp>
        <stp>STOCK</stp>
        <stp>22060.T</stp>
        <stp>配当</stp>
        <tr r="H107" s="1"/>
      </tp>
      <tp>
        <v>33</v>
        <stp/>
        <stp>Market</stp>
        <stp>STOCK</stp>
        <stp>22160.T</stp>
        <stp>配当</stp>
        <tr r="H115" s="1"/>
      </tp>
      <tp>
        <v>20</v>
        <stp/>
        <stp>Market</stp>
        <stp>STOCK</stp>
        <stp>22660.T</stp>
        <stp>配当</stp>
        <tr r="H124" s="1"/>
      </tp>
      <tp>
        <v>15</v>
        <stp/>
        <stp>Market</stp>
        <stp>STOCK</stp>
        <stp>22860.T</stp>
        <stp>配当</stp>
        <tr r="H131" s="1"/>
      </tp>
      <tp>
        <v>320</v>
        <stp/>
        <stp>Market</stp>
        <stp>STOCK</stp>
        <stp>22960.T</stp>
        <stp>配当</stp>
        <tr r="H138" s="1"/>
      </tp>
      <tp>
        <v>70</v>
        <stp/>
        <stp>Market</stp>
        <stp>STOCK</stp>
        <stp>21360.T</stp>
        <stp>配当</stp>
        <tr r="H71" s="1"/>
      </tp>
      <tp>
        <v>10.85</v>
        <stp/>
        <stp>Market</stp>
        <stp>STOCK</stp>
        <stp>21460.T</stp>
        <stp>配当</stp>
        <tr r="H74" s="1"/>
      </tp>
      <tp>
        <v>6</v>
        <stp/>
        <stp>Market</stp>
        <stp>STOCK</stp>
        <stp>21560.T</stp>
        <stp>配当</stp>
        <tr r="H80" s="1"/>
      </tp>
      <tp>
        <v>33</v>
        <stp/>
        <stp>Market</stp>
        <stp>STOCK</stp>
        <stp>21860.T</stp>
        <stp>配当</stp>
        <tr r="H98" s="1"/>
      </tp>
      <tp>
        <v>0</v>
        <stp/>
        <stp>Market</stp>
        <stp>STOCK</stp>
        <stp>21960.T</stp>
        <stp>配当</stp>
        <tr r="H102" s="1"/>
      </tp>
      <tp>
        <v>107</v>
        <stp/>
        <stp>Market</stp>
        <stp>STOCK</stp>
        <stp>19260.T</stp>
        <stp>配当</stp>
        <tr r="H2" s="1"/>
      </tp>
      <tp>
        <v>70</v>
        <stp/>
        <stp>Market</stp>
        <stp>STOCK</stp>
        <stp>19660.T</stp>
        <stp>配当</stp>
        <tr r="H28" s="1"/>
      </tp>
      <tp>
        <v>60</v>
        <stp/>
        <stp>Market</stp>
        <stp>STOCK</stp>
        <stp>19760.T</stp>
        <stp>配当</stp>
        <tr r="H35" s="1"/>
      </tp>
      <tp>
        <v>65</v>
        <stp/>
        <stp>Market</stp>
        <stp>STOCK</stp>
        <stp>19460.T</stp>
        <stp>配当</stp>
        <tr r="H14" s="1"/>
      </tp>
    </main>
    <main first="rtdsrv.b2353dc584914e4193ea525a6339afd4">
      <tp>
        <v>34</v>
        <stp/>
        <stp>Market</stp>
        <stp>STOCK</stp>
        <stp>23070.T</stp>
        <stp>配当</stp>
        <tr r="H144" s="1"/>
      </tp>
      <tp>
        <v>13</v>
        <stp/>
        <stp>Market</stp>
        <stp>STOCK</stp>
        <stp>23170.T</stp>
        <stp>配当</stp>
        <tr r="H147" s="1"/>
      </tp>
      <tp>
        <v>55</v>
        <stp/>
        <stp>Market</stp>
        <stp>STOCK</stp>
        <stp>22070.T</stp>
        <stp>配当</stp>
        <tr r="H108" s="1"/>
      </tp>
      <tp>
        <v>14</v>
        <stp/>
        <stp>Market</stp>
        <stp>STOCK</stp>
        <stp>22170.T</stp>
        <stp>配当</stp>
        <tr r="H116" s="1"/>
      </tp>
      <tp>
        <v>70</v>
        <stp/>
        <stp>Market</stp>
        <stp>STOCK</stp>
        <stp>22670.T</stp>
        <stp>配当</stp>
        <tr r="H125" s="1"/>
      </tp>
      <tp>
        <v>29</v>
        <stp/>
        <stp>Market</stp>
        <stp>STOCK</stp>
        <stp>21270.T</stp>
        <stp>配当</stp>
        <tr r="H67" s="1"/>
      </tp>
      <tp>
        <v>108</v>
        <stp/>
        <stp>Market</stp>
        <stp>STOCK</stp>
        <stp>21170.T</stp>
        <stp>配当</stp>
        <tr r="H61" s="1"/>
      </tp>
      <tp>
        <v>26</v>
        <stp/>
        <stp>Market</stp>
        <stp>STOCK</stp>
        <stp>21570.T</stp>
        <stp>配当</stp>
        <tr r="H81" s="1"/>
      </tp>
      <tp>
        <v>56</v>
        <stp/>
        <stp>Market</stp>
        <stp>STOCK</stp>
        <stp>19670.T</stp>
        <stp>配当</stp>
        <tr r="H29" s="1"/>
      </tp>
      <tp>
        <v>95</v>
        <stp/>
        <stp>Market</stp>
        <stp>STOCK</stp>
        <stp>19970.T</stp>
        <stp>配当</stp>
        <tr r="H44" s="1"/>
      </tp>
    </main>
    <main first="rtdsrv.b2353dc584914e4193ea525a6339afd4">
      <tp>
        <v>42</v>
        <stp/>
        <stp>Market</stp>
        <stp>STOCK</stp>
        <stp>22080.T</stp>
        <stp>配当</stp>
        <tr r="H109" s="1"/>
      </tp>
      <tp>
        <v>60</v>
        <stp/>
        <stp>Market</stp>
        <stp>STOCK</stp>
        <stp>22680.T</stp>
        <stp>配当</stp>
        <tr r="H126" s="1"/>
      </tp>
      <tp>
        <v>65</v>
        <stp/>
        <stp>Market</stp>
        <stp>STOCK</stp>
        <stp>22880.T</stp>
        <stp>配当</stp>
        <tr r="H132" s="1"/>
      </tp>
      <tp>
        <v>0</v>
        <stp/>
        <stp>Market</stp>
        <stp>STOCK</stp>
        <stp>21380.T</stp>
        <stp>配当</stp>
        <tr r="H72" s="1"/>
      </tp>
      <tp>
        <v>160</v>
        <stp/>
        <stp>Market</stp>
        <stp>STOCK</stp>
        <stp>21080.T</stp>
        <stp>配当</stp>
        <tr r="H57" s="1"/>
      </tp>
      <tp>
        <v>75</v>
        <stp/>
        <stp>Market</stp>
        <stp>STOCK</stp>
        <stp>21680.T</stp>
        <stp>配当</stp>
        <tr r="H88" s="1"/>
      </tp>
      <tp>
        <v>100</v>
        <stp/>
        <stp>Market</stp>
        <stp>STOCK</stp>
        <stp>21480.T</stp>
        <stp>配当</stp>
        <tr r="H75" s="1"/>
      </tp>
      <tp>
        <v>0</v>
        <stp/>
        <stp>Market</stp>
        <stp>STOCK</stp>
        <stp>21580.T</stp>
        <stp>配当</stp>
        <tr r="H82" s="1"/>
      </tp>
      <tp>
        <v>24</v>
        <stp/>
        <stp>Market</stp>
        <stp>STOCK</stp>
        <stp>21980.T</stp>
        <stp>配当</stp>
        <tr r="H103" s="1"/>
      </tp>
      <tp>
        <v>144</v>
        <stp/>
        <stp>Market</stp>
        <stp>STOCK</stp>
        <stp>19280.T</stp>
        <stp>配当</stp>
        <tr r="H3" s="1"/>
      </tp>
      <tp>
        <v>82</v>
        <stp/>
        <stp>Market</stp>
        <stp>STOCK</stp>
        <stp>19380.T</stp>
        <stp>配当</stp>
        <tr r="H8" s="1"/>
      </tp>
      <tp>
        <v>70</v>
        <stp/>
        <stp>Market</stp>
        <stp>STOCK</stp>
        <stp>19680.T</stp>
        <stp>配当</stp>
        <tr r="H30" s="1"/>
      </tp>
      <tp>
        <v>90</v>
        <stp/>
        <stp>Market</stp>
        <stp>STOCK</stp>
        <stp>19480.T</stp>
        <stp>配当</stp>
        <tr r="H15" s="1"/>
      </tp>
    </main>
    <main first="rtdsrv.b2353dc584914e4193ea525a6339afd4">
      <tp>
        <v>66</v>
        <stp/>
        <stp>Market</stp>
        <stp>STOCK</stp>
        <stp>22290.T</stp>
        <stp>配当</stp>
        <tr r="H122" s="1"/>
      </tp>
      <tp>
        <v>36</v>
        <stp/>
        <stp>Market</stp>
        <stp>STOCK</stp>
        <stp>22090.T</stp>
        <stp>配当</stp>
        <tr r="H110" s="1"/>
      </tp>
      <tp>
        <v>105</v>
        <stp/>
        <stp>Market</stp>
        <stp>STOCK</stp>
        <stp>22690.T</stp>
        <stp>配当</stp>
        <tr r="H127" s="1"/>
      </tp>
      <tp>
        <v>12</v>
        <stp/>
        <stp>Market</stp>
        <stp>STOCK</stp>
        <stp>21390.T</stp>
        <stp>配当</stp>
        <tr r="H73" s="1"/>
      </tp>
      <tp>
        <v>130</v>
        <stp/>
        <stp>Market</stp>
        <stp>STOCK</stp>
        <stp>21090.T</stp>
        <stp>配当</stp>
        <tr r="H58" s="1"/>
      </tp>
      <tp>
        <v>74</v>
        <stp/>
        <stp>Market</stp>
        <stp>STOCK</stp>
        <stp>21690.T</stp>
        <stp>配当</stp>
        <tr r="H89" s="1"/>
      </tp>
      <tp>
        <v>22</v>
        <stp/>
        <stp>Market</stp>
        <stp>STOCK</stp>
        <stp>21790.T</stp>
        <stp>配当</stp>
        <tr r="H93" s="1"/>
      </tp>
      <tp>
        <v>49</v>
        <stp/>
        <stp>Market</stp>
        <stp>STOCK</stp>
        <stp>20090.T</stp>
        <stp>配当</stp>
        <tr r="H49" s="1"/>
      </tp>
      <tp>
        <v>49</v>
        <stp/>
        <stp>Market</stp>
        <stp>STOCK</stp>
        <stp>19290.T</stp>
        <stp>配当</stp>
        <tr r="H4" s="1"/>
      </tp>
      <tp>
        <v>72</v>
        <stp/>
        <stp>Market</stp>
        <stp>STOCK</stp>
        <stp>19390.T</stp>
        <stp>配当</stp>
        <tr r="H9" s="1"/>
      </tp>
      <tp>
        <v>112</v>
        <stp/>
        <stp>Market</stp>
        <stp>STOCK</stp>
        <stp>19690.T</stp>
        <stp>配当</stp>
        <tr r="H31" s="1"/>
      </tp>
      <tp>
        <v>94</v>
        <stp/>
        <stp>Market</stp>
        <stp>STOCK</stp>
        <stp>19790.T</stp>
        <stp>配当</stp>
        <tr r="H36" s="1"/>
      </tp>
      <tp>
        <v>0</v>
        <stp/>
        <stp>Market</stp>
        <stp>STOCK</stp>
        <stp>19490.T</stp>
        <stp>配当</stp>
        <tr r="H16" s="1"/>
      </tp>
      <tp>
        <v>200</v>
        <stp/>
        <stp>Market</stp>
        <stp>STOCK</stp>
        <stp>19590.T</stp>
        <stp>配当</stp>
        <tr r="H21" s="1"/>
      </tp>
    </main>
    <main first="rtdsrv.b2353dc584914e4193ea525a6339afd4">
      <tp>
        <v>8040</v>
        <stp/>
        <stp>Market</stp>
        <stp>STOCK</stp>
        <stp>20550.T</stp>
        <stp>時価総額</stp>
        <tr r="F52" s="1"/>
      </tp>
      <tp>
        <v>56704</v>
        <stp/>
        <stp>Market</stp>
        <stp>STOCK</stp>
        <stp>20530.T</stp>
        <stp>時価総額</stp>
        <tr r="F51" s="1"/>
      </tp>
      <tp>
        <v>6490</v>
        <stp/>
        <stp>Market</stp>
        <stp>STOCK</stp>
        <stp>205A0.T</stp>
        <stp>時価総額</stp>
        <tr r="F53" s="1"/>
      </tp>
      <tp>
        <v>49019</v>
        <stp/>
        <stp>Market</stp>
        <stp>STOCK</stp>
        <stp>20600.T</stp>
        <stp>時価総額</stp>
        <tr r="F54" s="1"/>
      </tp>
      <tp>
        <v>7091</v>
        <stp/>
        <stp>Market</stp>
        <stp>STOCK</stp>
        <stp>206A0.T</stp>
        <stp>時価総額</stp>
        <tr r="F55" s="1"/>
      </tp>
      <tp>
        <v>28561</v>
        <stp/>
        <stp>Market</stp>
        <stp>STOCK</stp>
        <stp>20090.T</stp>
        <stp>時価総額</stp>
        <tr r="F49" s="1"/>
      </tp>
      <tp>
        <v>110864</v>
        <stp/>
        <stp>Market</stp>
        <stp>STOCK</stp>
        <stp>20040.T</stp>
        <stp>時価総額</stp>
        <tr r="F48" s="1"/>
      </tp>
      <tp>
        <v>235456</v>
        <stp/>
        <stp>Market</stp>
        <stp>STOCK</stp>
        <stp>20010.T</stp>
        <stp>時価総額</stp>
        <tr r="F45" s="1"/>
      </tp>
      <tp>
        <v>613724</v>
        <stp/>
        <stp>Market</stp>
        <stp>STOCK</stp>
        <stp>20020.T</stp>
        <stp>時価総額</stp>
        <tr r="F46" s="1"/>
      </tp>
      <tp>
        <v>66913</v>
        <stp/>
        <stp>Market</stp>
        <stp>STOCK</stp>
        <stp>20030.T</stp>
        <stp>時価総額</stp>
        <tr r="F47" s="1"/>
      </tp>
      <tp>
        <v>56897</v>
        <stp/>
        <stp>Market</stp>
        <stp>STOCK</stp>
        <stp>202A0.T</stp>
        <stp>時価総額</stp>
        <tr r="F50" s="1"/>
      </tp>
      <tp>
        <v>33990</v>
        <stp/>
        <stp>Market</stp>
        <stp>STOCK</stp>
        <stp>208A0.T</stp>
        <stp>時価総額</stp>
        <tr r="F56" s="1"/>
      </tp>
      <tp>
        <v>35195</v>
        <stp/>
        <stp>Market</stp>
        <stp>STOCK</stp>
        <stp>21580.T</stp>
        <stp>時価総額</stp>
        <tr r="F82" s="1"/>
      </tp>
      <tp>
        <v>165933</v>
        <stp/>
        <stp>Market</stp>
        <stp>STOCK</stp>
        <stp>21540.T</stp>
        <stp>時価総額</stp>
        <tr r="F79" s="1"/>
      </tp>
      <tp>
        <v>1859</v>
        <stp/>
        <stp>Market</stp>
        <stp>STOCK</stp>
        <stp>21560.T</stp>
        <stp>時価総額</stp>
        <tr r="F80" s="1"/>
      </tp>
      <tp>
        <v>90819</v>
        <stp/>
        <stp>Market</stp>
        <stp>STOCK</stp>
        <stp>21570.T</stp>
        <stp>時価総額</stp>
        <tr r="F81" s="1"/>
      </tp>
      <tp t="s">
        <v/>
        <stp/>
        <stp>Market</stp>
        <stp>STOCK</stp>
        <stp>21500.T</stp>
        <stp>時価総額</stp>
        <tr r="F76" s="1"/>
      </tp>
      <tp>
        <v>17063</v>
        <stp/>
        <stp>Market</stp>
        <stp>STOCK</stp>
        <stp>21520.T</stp>
        <stp>時価総額</stp>
        <tr r="F77" s="1"/>
      </tp>
      <tp>
        <v>34092</v>
        <stp/>
        <stp>Market</stp>
        <stp>STOCK</stp>
        <stp>21530.T</stp>
        <stp>時価総額</stp>
        <tr r="F78" s="1"/>
      </tp>
      <tp>
        <v>118956</v>
        <stp/>
        <stp>Market</stp>
        <stp>STOCK</stp>
        <stp>215A0.T</stp>
        <stp>時価総額</stp>
        <tr r="F83" s="1"/>
      </tp>
      <tp>
        <v>39899</v>
        <stp/>
        <stp>Market</stp>
        <stp>STOCK</stp>
        <stp>21480.T</stp>
        <stp>時価総額</stp>
        <tr r="F75" s="1"/>
      </tp>
      <tp>
        <v>123496</v>
        <stp/>
        <stp>Market</stp>
        <stp>STOCK</stp>
        <stp>21460.T</stp>
        <stp>時価総額</stp>
        <tr r="F74" s="1"/>
      </tp>
      <tp>
        <v>4841</v>
        <stp/>
        <stp>Market</stp>
        <stp>STOCK</stp>
        <stp>21790.T</stp>
        <stp>時価総額</stp>
        <tr r="F93" s="1"/>
      </tp>
      <tp>
        <v>150693</v>
        <stp/>
        <stp>Market</stp>
        <stp>STOCK</stp>
        <stp>21750.T</stp>
        <stp>時価総額</stp>
        <tr r="F92" s="1"/>
      </tp>
      <tp>
        <v>61015</v>
        <stp/>
        <stp>Market</stp>
        <stp>STOCK</stp>
        <stp>21700.T</stp>
        <stp>時価総額</stp>
        <tr r="F90" s="1"/>
      </tp>
      <tp>
        <v>16021</v>
        <stp/>
        <stp>Market</stp>
        <stp>STOCK</stp>
        <stp>21730.T</stp>
        <stp>時価総額</stp>
        <tr r="F91" s="1"/>
      </tp>
      <tp>
        <v>78330</v>
        <stp/>
        <stp>Market</stp>
        <stp>STOCK</stp>
        <stp>21680.T</stp>
        <stp>時価総額</stp>
        <tr r="F88" s="1"/>
      </tp>
      <tp>
        <v>12699</v>
        <stp/>
        <stp>Market</stp>
        <stp>STOCK</stp>
        <stp>21690.T</stp>
        <stp>時価総額</stp>
        <tr r="F89" s="1"/>
      </tp>
      <tp>
        <v>2462</v>
        <stp/>
        <stp>Market</stp>
        <stp>STOCK</stp>
        <stp>21640.T</stp>
        <stp>時価総額</stp>
        <tr r="F87" s="1"/>
      </tp>
      <tp>
        <v>175408</v>
        <stp/>
        <stp>Market</stp>
        <stp>STOCK</stp>
        <stp>21600.T</stp>
        <stp>時価総額</stp>
        <tr r="F84" s="1"/>
      </tp>
      <tp>
        <v>9789</v>
        <stp/>
        <stp>Market</stp>
        <stp>STOCK</stp>
        <stp>21620.T</stp>
        <stp>時価総額</stp>
        <tr r="F85" s="1"/>
      </tp>
      <tp>
        <v>21362</v>
        <stp/>
        <stp>Market</stp>
        <stp>STOCK</stp>
        <stp>21630.T</stp>
        <stp>時価総額</stp>
        <tr r="F86" s="1"/>
      </tp>
      <tp>
        <v>34205</v>
        <stp/>
        <stp>Market</stp>
        <stp>STOCK</stp>
        <stp>21140.T</stp>
        <stp>時価総額</stp>
        <tr r="F60" s="1"/>
      </tp>
      <tp>
        <v>96563</v>
        <stp/>
        <stp>Market</stp>
        <stp>STOCK</stp>
        <stp>21170.T</stp>
        <stp>時価総額</stp>
        <tr r="F61" s="1"/>
      </tp>
      <tp>
        <v>20090</v>
        <stp/>
        <stp>Market</stp>
        <stp>STOCK</stp>
        <stp>21120.T</stp>
        <stp>時価総額</stp>
        <tr r="F59" s="1"/>
      </tp>
      <tp>
        <v>4576</v>
        <stp/>
        <stp>Market</stp>
        <stp>STOCK</stp>
        <stp>211A0.T</stp>
        <stp>時価総額</stp>
        <tr r="F62" s="1"/>
      </tp>
      <tp>
        <v>55083</v>
        <stp/>
        <stp>Market</stp>
        <stp>STOCK</stp>
        <stp>21080.T</stp>
        <stp>時価総額</stp>
        <tr r="F57" s="1"/>
      </tp>
      <tp>
        <v>108710</v>
        <stp/>
        <stp>Market</stp>
        <stp>STOCK</stp>
        <stp>21090.T</stp>
        <stp>時価総額</stp>
        <tr r="F58" s="1"/>
      </tp>
      <tp>
        <v>7346</v>
        <stp/>
        <stp>Market</stp>
        <stp>STOCK</stp>
        <stp>21380.T</stp>
        <stp>時価総額</stp>
        <tr r="F72" s="1"/>
      </tp>
      <tp>
        <v>3824</v>
        <stp/>
        <stp>Market</stp>
        <stp>STOCK</stp>
        <stp>21390.T</stp>
        <stp>時価総額</stp>
        <tr r="F73" s="1"/>
      </tp>
      <tp>
        <v>18621</v>
        <stp/>
        <stp>Market</stp>
        <stp>STOCK</stp>
        <stp>21340.T</stp>
        <stp>時価総額</stp>
        <tr r="F70" s="1"/>
      </tp>
      <tp>
        <v>6177</v>
        <stp/>
        <stp>Market</stp>
        <stp>STOCK</stp>
        <stp>21360.T</stp>
        <stp>時価総額</stp>
        <tr r="F71" s="1"/>
      </tp>
      <tp>
        <v>15181</v>
        <stp/>
        <stp>Market</stp>
        <stp>STOCK</stp>
        <stp>21300.T</stp>
        <stp>時価総額</stp>
        <tr r="F69" s="1"/>
      </tp>
      <tp>
        <v>144696</v>
        <stp/>
        <stp>Market</stp>
        <stp>STOCK</stp>
        <stp>21240.T</stp>
        <stp>時価総額</stp>
        <tr r="F66" s="1"/>
      </tp>
      <tp>
        <v>217120</v>
        <stp/>
        <stp>Market</stp>
        <stp>STOCK</stp>
        <stp>21270.T</stp>
        <stp>時価総額</stp>
        <tr r="F67" s="1"/>
      </tp>
      <tp>
        <v>28258</v>
        <stp/>
        <stp>Market</stp>
        <stp>STOCK</stp>
        <stp>21200.T</stp>
        <stp>時価総額</stp>
        <tr r="F63" s="1"/>
      </tp>
      <tp>
        <v>185103</v>
        <stp/>
        <stp>Market</stp>
        <stp>STOCK</stp>
        <stp>21210.T</stp>
        <stp>時価総額</stp>
        <tr r="F64" s="1"/>
      </tp>
      <tp>
        <v>9092</v>
        <stp/>
        <stp>Market</stp>
        <stp>STOCK</stp>
        <stp>21220.T</stp>
        <stp>時価総額</stp>
        <tr r="F65" s="1"/>
      </tp>
      <tp>
        <v>41300</v>
        <stp/>
        <stp>Market</stp>
        <stp>STOCK</stp>
        <stp>212A0.T</stp>
        <stp>時価総額</stp>
        <tr r="F68" s="1"/>
      </tp>
      <tp>
        <v>24504</v>
        <stp/>
        <stp>Market</stp>
        <stp>STOCK</stp>
        <stp>21980.T</stp>
        <stp>時価総額</stp>
        <tr r="F103" s="1"/>
      </tp>
      <tp>
        <v>5582</v>
        <stp/>
        <stp>Market</stp>
        <stp>STOCK</stp>
        <stp>21950.T</stp>
        <stp>時価総額</stp>
        <tr r="F101" s="1"/>
      </tp>
      <tp>
        <v>2247</v>
        <stp/>
        <stp>Market</stp>
        <stp>STOCK</stp>
        <stp>21960.T</stp>
        <stp>時価総額</stp>
        <tr r="F102" s="1"/>
      </tp>
      <tp>
        <v>16006</v>
        <stp/>
        <stp>Market</stp>
        <stp>STOCK</stp>
        <stp>21930.T</stp>
        <stp>時価総額</stp>
        <tr r="F100" s="1"/>
      </tp>
      <tp>
        <v>43910</v>
        <stp/>
        <stp>Market</stp>
        <stp>STOCK</stp>
        <stp>219A0.T</stp>
        <stp>時価総額</stp>
        <tr r="F104" s="1"/>
      </tp>
      <tp>
        <v>27507</v>
        <stp/>
        <stp>Market</stp>
        <stp>STOCK</stp>
        <stp>21850.T</stp>
        <stp>時価総額</stp>
        <tr r="F97" s="1"/>
      </tp>
      <tp>
        <v>7375</v>
        <stp/>
        <stp>Market</stp>
        <stp>STOCK</stp>
        <stp>21860.T</stp>
        <stp>時価総額</stp>
        <tr r="F98" s="1"/>
      </tp>
      <tp>
        <v>15106</v>
        <stp/>
        <stp>Market</stp>
        <stp>STOCK</stp>
        <stp>21800.T</stp>
        <stp>時価総額</stp>
        <tr r="F94" s="1"/>
      </tp>
      <tp>
        <v>553432</v>
        <stp/>
        <stp>Market</stp>
        <stp>STOCK</stp>
        <stp>21810.T</stp>
        <stp>時価総額</stp>
        <tr r="F95" s="1"/>
      </tp>
      <tp>
        <v>7718</v>
        <stp/>
        <stp>Market</stp>
        <stp>STOCK</stp>
        <stp>21830.T</stp>
        <stp>時価総額</stp>
        <tr r="F96" s="1"/>
      </tp>
      <tp>
        <v>26600</v>
        <stp/>
        <stp>Market</stp>
        <stp>STOCK</stp>
        <stp>218A0.T</stp>
        <stp>時価総額</stp>
        <tr r="F99" s="1"/>
      </tp>
      <tp t="s">
        <v>2026/05/28</v>
        <stp/>
        <stp>Market</stp>
        <stp>STOCK</stp>
        <stp>198A0.T</stp>
        <stp>配当落日</stp>
        <tr r="P41" s="1"/>
      </tp>
      <tp>
        <v>236311</v>
        <stp/>
        <stp>Market</stp>
        <stp>STOCK</stp>
        <stp>22700.T</stp>
        <stp>時価総額</stp>
        <tr r="F128" s="1"/>
      </tp>
      <tp t="s">
        <v>2026/03/30</v>
        <stp/>
        <stp>Market</stp>
        <stp>STOCK</stp>
        <stp>19820.T</stp>
        <stp>配当落日</stp>
        <tr r="P40" s="1"/>
      </tp>
      <tp t="s">
        <v>2026/03/30</v>
        <stp/>
        <stp>Market</stp>
        <stp>STOCK</stp>
        <stp>19810.T</stp>
        <stp>配当落日</stp>
        <tr r="P39" s="1"/>
      </tp>
      <tp t="s">
        <v>2026/03/30</v>
        <stp/>
        <stp>Market</stp>
        <stp>STOCK</stp>
        <stp>19800.T</stp>
        <stp>配当落日</stp>
        <tr r="P38" s="1"/>
      </tp>
      <tp>
        <v>38722</v>
        <stp/>
        <stp>Market</stp>
        <stp>STOCK</stp>
        <stp>22680.T</stp>
        <stp>時価総額</stp>
        <tr r="F126" s="1"/>
      </tp>
      <tp>
        <v>1083930</v>
        <stp/>
        <stp>Market</stp>
        <stp>STOCK</stp>
        <stp>22690.T</stp>
        <stp>時価総額</stp>
        <tr r="F127" s="1"/>
      </tp>
      <tp>
        <v>429909</v>
        <stp/>
        <stp>Market</stp>
        <stp>STOCK</stp>
        <stp>22640.T</stp>
        <stp>時価総額</stp>
        <tr r="F123" s="1"/>
      </tp>
      <tp>
        <v>25141</v>
        <stp/>
        <stp>Market</stp>
        <stp>STOCK</stp>
        <stp>22660.T</stp>
        <stp>時価総額</stp>
        <tr r="F124" s="1"/>
      </tp>
      <tp>
        <v>809557</v>
        <stp/>
        <stp>Market</stp>
        <stp>STOCK</stp>
        <stp>22670.T</stp>
        <stp>時価総額</stp>
        <tr r="F125" s="1"/>
      </tp>
      <tp t="s">
        <v>2026/03/30</v>
        <stp/>
        <stp>Market</stp>
        <stp>STOCK</stp>
        <stp>19920.T</stp>
        <stp>配当落日</stp>
        <tr r="P42" s="1"/>
      </tp>
      <tp t="s">
        <v>2026/08/28</v>
        <stp/>
        <stp>Market</stp>
        <stp>STOCK</stp>
        <stp>19970.T</stp>
        <stp>配当落日</stp>
        <tr r="P44" s="1"/>
      </tp>
      <tp t="s">
        <v>2026/12/29</v>
        <stp/>
        <stp>Market</stp>
        <stp>STOCK</stp>
        <stp>19940.T</stp>
        <stp>配当落日</stp>
        <tr r="P43" s="1"/>
      </tp>
      <tp>
        <v>4275</v>
        <stp/>
        <stp>Market</stp>
        <stp>STOCK</stp>
        <stp>22150.T</stp>
        <stp>時価総額</stp>
        <tr r="F114" s="1"/>
      </tp>
      <tp>
        <v>60420</v>
        <stp/>
        <stp>Market</stp>
        <stp>STOCK</stp>
        <stp>22160.T</stp>
        <stp>時価総額</stp>
        <tr r="F115" s="1"/>
      </tp>
      <tp>
        <v>30868</v>
        <stp/>
        <stp>Market</stp>
        <stp>STOCK</stp>
        <stp>22170.T</stp>
        <stp>時価総額</stp>
        <tr r="F116" s="1"/>
      </tp>
      <tp>
        <v>63327</v>
        <stp/>
        <stp>Market</stp>
        <stp>STOCK</stp>
        <stp>22110.T</stp>
        <stp>時価総額</stp>
        <tr r="F112" s="1"/>
      </tp>
      <tp>
        <v>748961</v>
        <stp/>
        <stp>Market</stp>
        <stp>STOCK</stp>
        <stp>22120.T</stp>
        <stp>時価総額</stp>
        <tr r="F113" s="1"/>
      </tp>
      <tp>
        <v>90717</v>
        <stp/>
        <stp>Market</stp>
        <stp>STOCK</stp>
        <stp>22080.T</stp>
        <stp>時価総額</stp>
        <tr r="F109" s="1"/>
      </tp>
      <tp>
        <v>32584</v>
        <stp/>
        <stp>Market</stp>
        <stp>STOCK</stp>
        <stp>22090.T</stp>
        <stp>時価総額</stp>
        <tr r="F110" s="1"/>
      </tp>
      <tp>
        <v>19691</v>
        <stp/>
        <stp>Market</stp>
        <stp>STOCK</stp>
        <stp>22040.T</stp>
        <stp>時価総額</stp>
        <tr r="F106" s="1"/>
      </tp>
      <tp>
        <v>414987</v>
        <stp/>
        <stp>Market</stp>
        <stp>STOCK</stp>
        <stp>22060.T</stp>
        <stp>時価総額</stp>
        <tr r="F107" s="1"/>
      </tp>
      <tp>
        <v>46974</v>
        <stp/>
        <stp>Market</stp>
        <stp>STOCK</stp>
        <stp>22070.T</stp>
        <stp>時価総額</stp>
        <tr r="F108" s="1"/>
      </tp>
      <tp>
        <v>240079</v>
        <stp/>
        <stp>Market</stp>
        <stp>STOCK</stp>
        <stp>22010.T</stp>
        <stp>時価総額</stp>
        <tr r="F105" s="1"/>
      </tp>
      <tp>
        <v>3225</v>
        <stp/>
        <stp>Market</stp>
        <stp>STOCK</stp>
        <stp>220A0.T</stp>
        <stp>時価総額</stp>
        <tr r="F111" s="1"/>
      </tp>
      <tp>
        <v>420539</v>
        <stp/>
        <stp>Market</stp>
        <stp>STOCK</stp>
        <stp>22290.T</stp>
        <stp>時価総額</stp>
        <tr r="F122" s="1"/>
      </tp>
      <tp>
        <v>14193</v>
        <stp/>
        <stp>Market</stp>
        <stp>STOCK</stp>
        <stp>22240.T</stp>
        <stp>時価総額</stp>
        <tr r="F120" s="1"/>
      </tp>
      <tp>
        <v>49775</v>
        <stp/>
        <stp>Market</stp>
        <stp>STOCK</stp>
        <stp>22260.T</stp>
        <stp>時価総額</stp>
        <tr r="F121" s="1"/>
      </tp>
      <tp>
        <v>96862</v>
        <stp/>
        <stp>Market</stp>
        <stp>STOCK</stp>
        <stp>22200.T</stp>
        <stp>時価総額</stp>
        <tr r="F117" s="1"/>
      </tp>
      <tp>
        <v>39327</v>
        <stp/>
        <stp>Market</stp>
        <stp>STOCK</stp>
        <stp>22210.T</stp>
        <stp>時価総額</stp>
        <tr r="F118" s="1"/>
      </tp>
      <tp>
        <v>292482</v>
        <stp/>
        <stp>Market</stp>
        <stp>STOCK</stp>
        <stp>22220.T</stp>
        <stp>時価総額</stp>
        <tr r="F119" s="1"/>
      </tp>
      <tp t="s">
        <v>2026/05/28</v>
        <stp/>
        <stp>Market</stp>
        <stp>STOCK</stp>
        <stp>192A0.T</stp>
        <stp>配当落日</stp>
        <tr r="P5" s="1"/>
      </tp>
      <tp t="s">
        <v>2026/03/30</v>
        <stp/>
        <stp>Market</stp>
        <stp>STOCK</stp>
        <stp>19260.T</stp>
        <stp>配当落日</stp>
        <tr r="P2" s="1"/>
      </tp>
      <tp t="s">
        <v>2026/03/30</v>
        <stp/>
        <stp>Market</stp>
        <stp>STOCK</stp>
        <stp>19290.T</stp>
        <stp>配当落日</stp>
        <tr r="P4" s="1"/>
      </tp>
      <tp t="s">
        <v>2027/01/28</v>
        <stp/>
        <stp>Market</stp>
        <stp>STOCK</stp>
        <stp>19280.T</stp>
        <stp>配当落日</stp>
        <tr r="P3" s="1"/>
      </tp>
      <tp t="s">
        <v>2026/03/30</v>
        <stp/>
        <stp>Market</stp>
        <stp>STOCK</stp>
        <stp>19300.T</stp>
        <stp>配当落日</stp>
        <tr r="P6" s="1"/>
      </tp>
      <tp t="s">
        <v>2026/03/30</v>
        <stp/>
        <stp>Market</stp>
        <stp>STOCK</stp>
        <stp>19340.T</stp>
        <stp>配当落日</stp>
        <tr r="P7" s="1"/>
      </tp>
      <tp t="s">
        <v>2026/03/30</v>
        <stp/>
        <stp>Market</stp>
        <stp>STOCK</stp>
        <stp>19390.T</stp>
        <stp>配当落日</stp>
        <tr r="P9" s="1"/>
      </tp>
      <tp t="s">
        <v>2026/03/30</v>
        <stp/>
        <stp>Market</stp>
        <stp>STOCK</stp>
        <stp>19380.T</stp>
        <stp>配当落日</stp>
        <tr r="P8" s="1"/>
      </tp>
      <tp t="s">
        <v>2026/06/29</v>
        <stp/>
        <stp>Market</stp>
        <stp>STOCK</stp>
        <stp>196A0.T</stp>
        <stp>配当落日</stp>
        <tr r="P32" s="1"/>
      </tp>
      <tp>
        <v>35610</v>
        <stp/>
        <stp>Market</stp>
        <stp>STOCK</stp>
        <stp>22940.T</stp>
        <stp>時価総額</stp>
        <tr r="F137" s="1"/>
      </tp>
      <tp>
        <v>355745</v>
        <stp/>
        <stp>Market</stp>
        <stp>STOCK</stp>
        <stp>22960.T</stp>
        <stp>時価総額</stp>
        <tr r="F138" s="1"/>
      </tp>
      <tp>
        <v>2104</v>
        <stp/>
        <stp>Market</stp>
        <stp>STOCK</stp>
        <stp>22910.T</stp>
        <stp>時価総額</stp>
        <tr r="F134" s="1"/>
      </tp>
      <tp>
        <v>97932</v>
        <stp/>
        <stp>Market</stp>
        <stp>STOCK</stp>
        <stp>22920.T</stp>
        <stp>時価総額</stp>
        <tr r="F135" s="1"/>
      </tp>
      <tp>
        <v>6245</v>
        <stp/>
        <stp>Market</stp>
        <stp>STOCK</stp>
        <stp>22930.T</stp>
        <stp>時価総額</stp>
        <tr r="F136" s="1"/>
      </tp>
      <tp t="s">
        <v>2026/03/30</v>
        <stp/>
        <stp>Market</stp>
        <stp>STOCK</stp>
        <stp>19630.T</stp>
        <stp>配当落日</stp>
        <tr r="P25" s="1"/>
      </tp>
      <tp t="s">
        <v>2026/03/30</v>
        <stp/>
        <stp>Market</stp>
        <stp>STOCK</stp>
        <stp>19610.T</stp>
        <stp>配当落日</stp>
        <tr r="P24" s="1"/>
      </tp>
      <tp t="s">
        <v>2026/03/30</v>
        <stp/>
        <stp>Market</stp>
        <stp>STOCK</stp>
        <stp>19600.T</stp>
        <stp>配当落日</stp>
        <tr r="P23" s="1"/>
      </tp>
      <tp t="s">
        <v>2026/03/18</v>
        <stp/>
        <stp>Market</stp>
        <stp>STOCK</stp>
        <stp>19670.T</stp>
        <stp>配当落日</stp>
        <tr r="P29" s="1"/>
      </tp>
      <tp t="s">
        <v>2026/03/30</v>
        <stp/>
        <stp>Market</stp>
        <stp>STOCK</stp>
        <stp>19660.T</stp>
        <stp>配当落日</stp>
        <tr r="P28" s="1"/>
      </tp>
      <tp t="s">
        <v>2026/03/30</v>
        <stp/>
        <stp>Market</stp>
        <stp>STOCK</stp>
        <stp>19650.T</stp>
        <stp>配当落日</stp>
        <tr r="P27" s="1"/>
      </tp>
      <tp t="s">
        <v>2026/03/30</v>
        <stp/>
        <stp>Market</stp>
        <stp>STOCK</stp>
        <stp>19640.T</stp>
        <stp>配当落日</stp>
        <tr r="P26" s="1"/>
      </tp>
      <tp t="s">
        <v>2026/03/30</v>
        <stp/>
        <stp>Market</stp>
        <stp>STOCK</stp>
        <stp>19690.T</stp>
        <stp>配当落日</stp>
        <tr r="P31" s="1"/>
      </tp>
      <tp t="s">
        <v>2026/03/30</v>
        <stp/>
        <stp>Market</stp>
        <stp>STOCK</stp>
        <stp>19680.T</stp>
        <stp>配当落日</stp>
        <tr r="P30" s="1"/>
      </tp>
      <tp t="s">
        <v>2026/06/29</v>
        <stp/>
        <stp>Market</stp>
        <stp>STOCK</stp>
        <stp>197A0.T</stp>
        <stp>配当落日</stp>
        <tr r="P37" s="1"/>
      </tp>
      <tp>
        <v>58974</v>
        <stp/>
        <stp>Market</stp>
        <stp>STOCK</stp>
        <stp>22880.T</stp>
        <stp>時価総額</stp>
        <tr r="F132" s="1"/>
      </tp>
      <tp>
        <v>7956</v>
        <stp/>
        <stp>Market</stp>
        <stp>STOCK</stp>
        <stp>22860.T</stp>
        <stp>時価総額</stp>
        <tr r="F131" s="1"/>
      </tp>
      <tp>
        <v>141923</v>
        <stp/>
        <stp>Market</stp>
        <stp>STOCK</stp>
        <stp>22810.T</stp>
        <stp>時価総額</stp>
        <tr r="F129" s="1"/>
      </tp>
      <tp>
        <v>687322</v>
        <stp/>
        <stp>Market</stp>
        <stp>STOCK</stp>
        <stp>22820.T</stp>
        <stp>時価総額</stp>
        <tr r="F130" s="1"/>
      </tp>
      <tp>
        <v>3325</v>
        <stp/>
        <stp>Market</stp>
        <stp>STOCK</stp>
        <stp>228A0.T</stp>
        <stp>時価総額</stp>
        <tr r="F133" s="1"/>
      </tp>
      <tp t="s">
        <v>2026/03/30</v>
        <stp/>
        <stp>Market</stp>
        <stp>STOCK</stp>
        <stp>19720.T</stp>
        <stp>配当落日</stp>
        <tr r="P33" s="1"/>
      </tp>
      <tp t="s">
        <v>2026/03/30</v>
        <stp/>
        <stp>Market</stp>
        <stp>STOCK</stp>
        <stp>19760.T</stp>
        <stp>配当落日</stp>
        <tr r="P35" s="1"/>
      </tp>
      <tp t="s">
        <v>2026/03/30</v>
        <stp/>
        <stp>Market</stp>
        <stp>STOCK</stp>
        <stp>19750.T</stp>
        <stp>配当落日</stp>
        <tr r="P34" s="1"/>
      </tp>
      <tp t="s">
        <v>2026/03/30</v>
        <stp/>
        <stp>Market</stp>
        <stp>STOCK</stp>
        <stp>19790.T</stp>
        <stp>配当落日</stp>
        <tr r="P36" s="1"/>
      </tp>
      <tp t="s">
        <v>2026/06/29</v>
        <stp/>
        <stp>Market</stp>
        <stp>STOCK</stp>
        <stp>194A0.T</stp>
        <stp>配当落日</stp>
        <tr r="P17" s="1"/>
      </tp>
      <tp t="s">
        <v>2026/03/30</v>
        <stp/>
        <stp>Market</stp>
        <stp>STOCK</stp>
        <stp>19420.T</stp>
        <stp>配当落日</stp>
        <tr r="P11" s="1"/>
      </tp>
      <tp t="s">
        <v>2026/03/30</v>
        <stp/>
        <stp>Market</stp>
        <stp>STOCK</stp>
        <stp>19410.T</stp>
        <stp>配当落日</stp>
        <tr r="P10" s="1"/>
      </tp>
      <tp t="s">
        <v>2026/03/30</v>
        <stp/>
        <stp>Market</stp>
        <stp>STOCK</stp>
        <stp>19460.T</stp>
        <stp>配当落日</stp>
        <tr r="P14" s="1"/>
      </tp>
      <tp t="s">
        <v>2026/03/30</v>
        <stp/>
        <stp>Market</stp>
        <stp>STOCK</stp>
        <stp>19450.T</stp>
        <stp>配当落日</stp>
        <tr r="P13" s="1"/>
      </tp>
      <tp t="s">
        <v>2026/03/30</v>
        <stp/>
        <stp>Market</stp>
        <stp>STOCK</stp>
        <stp>19440.T</stp>
        <stp>配当落日</stp>
        <tr r="P12" s="1"/>
      </tp>
      <tp t="s">
        <v/>
        <stp/>
        <stp>Market</stp>
        <stp>STOCK</stp>
        <stp>19490.T</stp>
        <stp>配当落日</stp>
        <tr r="P16" s="1"/>
      </tp>
      <tp t="s">
        <v>2026/03/30</v>
        <stp/>
        <stp>Market</stp>
        <stp>STOCK</stp>
        <stp>19480.T</stp>
        <stp>配当落日</stp>
        <tr r="P15" s="1"/>
      </tp>
      <tp t="s">
        <v>2026/03/30</v>
        <stp/>
        <stp>Market</stp>
        <stp>STOCK</stp>
        <stp>195A0.T</stp>
        <stp>配当落日</stp>
        <tr r="P22" s="1"/>
      </tp>
      <tp t="s">
        <v>2026/03/30</v>
        <stp/>
        <stp>Market</stp>
        <stp>STOCK</stp>
        <stp>19520.T</stp>
        <stp>配当落日</stp>
        <tr r="P20" s="1"/>
      </tp>
      <tp t="s">
        <v>2026/03/30</v>
        <stp/>
        <stp>Market</stp>
        <stp>STOCK</stp>
        <stp>19510.T</stp>
        <stp>配当落日</stp>
        <tr r="P19" s="1"/>
      </tp>
      <tp t="s">
        <v>2026/03/30</v>
        <stp/>
        <stp>Market</stp>
        <stp>STOCK</stp>
        <stp>19500.T</stp>
        <stp>配当落日</stp>
        <tr r="P18" s="1"/>
      </tp>
      <tp t="s">
        <v>2026/03/30</v>
        <stp/>
        <stp>Market</stp>
        <stp>STOCK</stp>
        <stp>19590.T</stp>
        <stp>配当落日</stp>
        <tr r="P21" s="1"/>
      </tp>
      <tp>
        <v>15754</v>
        <stp/>
        <stp>Market</stp>
        <stp>STOCK</stp>
        <stp>23150.T</stp>
        <stp>時価総額</stp>
        <tr r="F146" s="1"/>
      </tp>
      <tp>
        <v>178017</v>
        <stp/>
        <stp>Market</stp>
        <stp>STOCK</stp>
        <stp>23170.T</stp>
        <stp>時価総額</stp>
        <tr r="F147" s="1"/>
      </tp>
      <tp>
        <v>7555</v>
        <stp/>
        <stp>Market</stp>
        <stp>STOCK</stp>
        <stp>23110.T</stp>
        <stp>時価総額</stp>
        <tr r="F145" s="1"/>
      </tp>
      <tp>
        <v>5132</v>
        <stp/>
        <stp>Market</stp>
        <stp>STOCK</stp>
        <stp>23040.T</stp>
        <stp>時価総額</stp>
        <tr r="F142" s="1"/>
      </tp>
      <tp>
        <v>34147</v>
        <stp/>
        <stp>Market</stp>
        <stp>STOCK</stp>
        <stp>23050.T</stp>
        <stp>時価総額</stp>
        <tr r="F143" s="1"/>
      </tp>
      <tp>
        <v>17124</v>
        <stp/>
        <stp>Market</stp>
        <stp>STOCK</stp>
        <stp>23070.T</stp>
        <stp>時価総額</stp>
        <tr r="F144" s="1"/>
      </tp>
      <tp>
        <v>2753</v>
        <stp/>
        <stp>Market</stp>
        <stp>STOCK</stp>
        <stp>23000.T</stp>
        <stp>時価総額</stp>
        <tr r="F139" s="1"/>
      </tp>
      <tp>
        <v>29034</v>
        <stp/>
        <stp>Market</stp>
        <stp>STOCK</stp>
        <stp>23010.T</stp>
        <stp>時価総額</stp>
        <tr r="F140" s="1"/>
      </tp>
      <tp>
        <v>8685</v>
        <stp/>
        <stp>Market</stp>
        <stp>STOCK</stp>
        <stp>23030.T</stp>
        <stp>時価総額</stp>
        <tr r="F141" s="1"/>
      </tp>
      <tp>
        <v>46070</v>
        <stp/>
        <stp>Market</stp>
        <stp>STOCK</stp>
        <stp>23250.T</stp>
        <stp>時価総額</stp>
        <tr r="F150" s="1"/>
      </tp>
      <tp>
        <v>73208</v>
        <stp/>
        <stp>Market</stp>
        <stp>STOCK</stp>
        <stp>23260.T</stp>
        <stp>時価総額</stp>
        <tr r="F151" s="1"/>
      </tp>
      <tp>
        <v>17514</v>
        <stp/>
        <stp>Market</stp>
        <stp>STOCK</stp>
        <stp>23210.T</stp>
        <stp>時価総額</stp>
        <tr r="F148" s="1"/>
      </tp>
      <tp>
        <v>7346</v>
        <stp/>
        <stp>Market</stp>
        <stp>STOCK</stp>
        <stp>23230.T</stp>
        <stp>時価総額</stp>
        <tr r="F149" s="1"/>
      </tp>
      <tp t="s">
        <v>2026/03/30</v>
        <stp/>
        <stp>Market</stp>
        <stp>STOCK</stp>
        <stp>23230.T</stp>
        <stp>配当落日</stp>
        <tr r="P149" s="1"/>
      </tp>
      <tp t="s">
        <v>2026/03/30</v>
        <stp/>
        <stp>Market</stp>
        <stp>STOCK</stp>
        <stp>23210.T</stp>
        <stp>配当落日</stp>
        <tr r="P148" s="1"/>
      </tp>
      <tp t="s">
        <v>2026/03/30</v>
        <stp/>
        <stp>Market</stp>
        <stp>STOCK</stp>
        <stp>23260.T</stp>
        <stp>配当落日</stp>
        <tr r="P151" s="1"/>
      </tp>
      <tp t="s">
        <v>2026/12/29</v>
        <stp/>
        <stp>Market</stp>
        <stp>STOCK</stp>
        <stp>23250.T</stp>
        <stp>配当落日</stp>
        <tr r="P150" s="1"/>
      </tp>
      <tp t="s">
        <v>2026/05/28</v>
        <stp/>
        <stp>Market</stp>
        <stp>STOCK</stp>
        <stp>23030.T</stp>
        <stp>配当落日</stp>
        <tr r="P141" s="1"/>
      </tp>
      <tp t="s">
        <v>2026/10/29</v>
        <stp/>
        <stp>Market</stp>
        <stp>STOCK</stp>
        <stp>23010.T</stp>
        <stp>配当落日</stp>
        <tr r="P140" s="1"/>
      </tp>
      <tp t="s">
        <v>2027/02/25</v>
        <stp/>
        <stp>Market</stp>
        <stp>STOCK</stp>
        <stp>23000.T</stp>
        <stp>配当落日</stp>
        <tr r="P139" s="1"/>
      </tp>
      <tp t="s">
        <v>2026/03/30</v>
        <stp/>
        <stp>Market</stp>
        <stp>STOCK</stp>
        <stp>23070.T</stp>
        <stp>配当落日</stp>
        <tr r="P144" s="1"/>
      </tp>
      <tp t="s">
        <v>2027/02/25</v>
        <stp/>
        <stp>Market</stp>
        <stp>STOCK</stp>
        <stp>23050.T</stp>
        <stp>配当落日</stp>
        <tr r="P143" s="1"/>
      </tp>
      <tp t="s">
        <v>2026/09/29</v>
        <stp/>
        <stp>Market</stp>
        <stp>STOCK</stp>
        <stp>23040.T</stp>
        <stp>配当落日</stp>
        <tr r="P142" s="1"/>
      </tp>
      <tp t="s">
        <v>2026/12/29</v>
        <stp/>
        <stp>Market</stp>
        <stp>STOCK</stp>
        <stp>23110.T</stp>
        <stp>配当落日</stp>
        <tr r="P145" s="1"/>
      </tp>
      <tp t="s">
        <v>2026/03/30</v>
        <stp/>
        <stp>Market</stp>
        <stp>STOCK</stp>
        <stp>23170.T</stp>
        <stp>配当落日</stp>
        <tr r="P147" s="1"/>
      </tp>
      <tp t="s">
        <v>2026/10/29</v>
        <stp/>
        <stp>Market</stp>
        <stp>STOCK</stp>
        <stp>23150.T</stp>
        <stp>配当落日</stp>
        <tr r="P146" s="1"/>
      </tp>
      <tp>
        <v>713610</v>
        <stp/>
        <stp>Market</stp>
        <stp>STOCK</stp>
        <stp>19590.T</stp>
        <stp>時価総額</stp>
        <tr r="F21" s="1"/>
      </tp>
      <tp>
        <v>314455</v>
        <stp/>
        <stp>Market</stp>
        <stp>STOCK</stp>
        <stp>19500.T</stp>
        <stp>時価総額</stp>
        <tr r="F18" s="1"/>
      </tp>
      <tp>
        <v>584591</v>
        <stp/>
        <stp>Market</stp>
        <stp>STOCK</stp>
        <stp>19510.T</stp>
        <stp>時価総額</stp>
        <tr r="F19" s="1"/>
      </tp>
      <tp>
        <v>190129</v>
        <stp/>
        <stp>Market</stp>
        <stp>STOCK</stp>
        <stp>19520.T</stp>
        <stp>時価総額</stp>
        <tr r="F20" s="1"/>
      </tp>
      <tp>
        <v>3883</v>
        <stp/>
        <stp>Market</stp>
        <stp>STOCK</stp>
        <stp>195A0.T</stp>
        <stp>時価総額</stp>
        <tr r="F22" s="1"/>
      </tp>
      <tp>
        <v>60368</v>
        <stp/>
        <stp>Market</stp>
        <stp>STOCK</stp>
        <stp>19480.T</stp>
        <stp>時価総額</stp>
        <tr r="F15" s="1"/>
      </tp>
      <tp>
        <v>0</v>
        <stp/>
        <stp>Market</stp>
        <stp>STOCK</stp>
        <stp>19490.T</stp>
        <stp>時価総額</stp>
        <tr r="F16" s="1"/>
      </tp>
      <tp>
        <v>1632425</v>
        <stp/>
        <stp>Market</stp>
        <stp>STOCK</stp>
        <stp>19440.T</stp>
        <stp>時価総額</stp>
        <tr r="F12" s="1"/>
      </tp>
      <tp>
        <v>63357</v>
        <stp/>
        <stp>Market</stp>
        <stp>STOCK</stp>
        <stp>19450.T</stp>
        <stp>時価総額</stp>
        <tr r="F13" s="1"/>
      </tp>
      <tp>
        <v>212146</v>
        <stp/>
        <stp>Market</stp>
        <stp>STOCK</stp>
        <stp>19460.T</stp>
        <stp>時価総額</stp>
        <tr r="F14" s="1"/>
      </tp>
      <tp>
        <v>279062</v>
        <stp/>
        <stp>Market</stp>
        <stp>STOCK</stp>
        <stp>19410.T</stp>
        <stp>時価総額</stp>
        <tr r="F10" s="1"/>
      </tp>
      <tp>
        <v>1350591</v>
        <stp/>
        <stp>Market</stp>
        <stp>STOCK</stp>
        <stp>19420.T</stp>
        <stp>時価総額</stp>
        <tr r="F11" s="1"/>
      </tp>
      <tp>
        <v>14432</v>
        <stp/>
        <stp>Market</stp>
        <stp>STOCK</stp>
        <stp>194A0.T</stp>
        <stp>時価総額</stp>
        <tr r="F17" s="1"/>
      </tp>
      <tp t="s">
        <v>2026/11/27</v>
        <stp/>
        <stp>Market</stp>
        <stp>STOCK</stp>
        <stp>228A0.T</stp>
        <stp>配当落日</stp>
        <tr r="P133" s="1"/>
      </tp>
      <tp>
        <v>232912</v>
        <stp/>
        <stp>Market</stp>
        <stp>STOCK</stp>
        <stp>19790.T</stp>
        <stp>時価総額</stp>
        <tr r="F36" s="1"/>
      </tp>
      <tp>
        <v>116824</v>
        <stp/>
        <stp>Market</stp>
        <stp>STOCK</stp>
        <stp>19750.T</stp>
        <stp>時価総額</stp>
        <tr r="F34" s="1"/>
      </tp>
      <tp>
        <v>105769</v>
        <stp/>
        <stp>Market</stp>
        <stp>STOCK</stp>
        <stp>19760.T</stp>
        <stp>時価総額</stp>
        <tr r="F35" s="1"/>
      </tp>
      <tp>
        <v>28314</v>
        <stp/>
        <stp>Market</stp>
        <stp>STOCK</stp>
        <stp>19720.T</stp>
        <stp>時価総額</stp>
        <tr r="F33" s="1"/>
      </tp>
      <tp>
        <v>57253</v>
        <stp/>
        <stp>Market</stp>
        <stp>STOCK</stp>
        <stp>197A0.T</stp>
        <stp>時価総額</stp>
        <tr r="F37" s="1"/>
      </tp>
      <tp t="s">
        <v>2026/03/30</v>
        <stp/>
        <stp>Market</stp>
        <stp>STOCK</stp>
        <stp>22820.T</stp>
        <stp>配当落日</stp>
        <tr r="P130" s="1"/>
      </tp>
      <tp t="s">
        <v>2026/03/30</v>
        <stp/>
        <stp>Market</stp>
        <stp>STOCK</stp>
        <stp>22810.T</stp>
        <stp>配当落日</stp>
        <tr r="P129" s="1"/>
      </tp>
      <tp t="s">
        <v>2026/03/30</v>
        <stp/>
        <stp>Market</stp>
        <stp>STOCK</stp>
        <stp>22860.T</stp>
        <stp>配当落日</stp>
        <tr r="P131" s="1"/>
      </tp>
      <tp t="s">
        <v>2026/03/30</v>
        <stp/>
        <stp>Market</stp>
        <stp>STOCK</stp>
        <stp>22880.T</stp>
        <stp>配当落日</stp>
        <tr r="P132" s="1"/>
      </tp>
      <tp>
        <v>190958</v>
        <stp/>
        <stp>Market</stp>
        <stp>STOCK</stp>
        <stp>19680.T</stp>
        <stp>時価総額</stp>
        <tr r="F30" s="1"/>
      </tp>
      <tp>
        <v>712508</v>
        <stp/>
        <stp>Market</stp>
        <stp>STOCK</stp>
        <stp>19690.T</stp>
        <stp>時価総額</stp>
        <tr r="F31" s="1"/>
      </tp>
      <tp>
        <v>37440</v>
        <stp/>
        <stp>Market</stp>
        <stp>STOCK</stp>
        <stp>19640.T</stp>
        <stp>時価総額</stp>
        <tr r="F26" s="1"/>
      </tp>
      <tp>
        <v>147751</v>
        <stp/>
        <stp>Market</stp>
        <stp>STOCK</stp>
        <stp>19650.T</stp>
        <stp>時価総額</stp>
        <tr r="F27" s="1"/>
      </tp>
      <tp>
        <v>13781</v>
        <stp/>
        <stp>Market</stp>
        <stp>STOCK</stp>
        <stp>19660.T</stp>
        <stp>時価総額</stp>
        <tr r="F28" s="1"/>
      </tp>
      <tp>
        <v>56289</v>
        <stp/>
        <stp>Market</stp>
        <stp>STOCK</stp>
        <stp>19670.T</stp>
        <stp>時価総額</stp>
        <tr r="F29" s="1"/>
      </tp>
      <tp>
        <v>24384</v>
        <stp/>
        <stp>Market</stp>
        <stp>STOCK</stp>
        <stp>19600.T</stp>
        <stp>時価総額</stp>
        <tr r="F23" s="1"/>
      </tp>
      <tp>
        <v>392263</v>
        <stp/>
        <stp>Market</stp>
        <stp>STOCK</stp>
        <stp>19610.T</stp>
        <stp>時価総額</stp>
        <tr r="F24" s="1"/>
      </tp>
      <tp>
        <v>551491</v>
        <stp/>
        <stp>Market</stp>
        <stp>STOCK</stp>
        <stp>19630.T</stp>
        <stp>時価総額</stp>
        <tr r="F25" s="1"/>
      </tp>
      <tp>
        <v>2539</v>
        <stp/>
        <stp>Market</stp>
        <stp>STOCK</stp>
        <stp>196A0.T</stp>
        <stp>時価総額</stp>
        <tr r="F32" s="1"/>
      </tp>
      <tp t="s">
        <v>2026/03/30</v>
        <stp/>
        <stp>Market</stp>
        <stp>STOCK</stp>
        <stp>22930.T</stp>
        <stp>配当落日</stp>
        <tr r="P136" s="1"/>
      </tp>
      <tp t="s">
        <v>2027/02/25</v>
        <stp/>
        <stp>Market</stp>
        <stp>STOCK</stp>
        <stp>22920.T</stp>
        <stp>配当落日</stp>
        <tr r="P135" s="1"/>
      </tp>
      <tp t="s">
        <v>2026/03/30</v>
        <stp/>
        <stp>Market</stp>
        <stp>STOCK</stp>
        <stp>22910.T</stp>
        <stp>配当落日</stp>
        <tr r="P134" s="1"/>
      </tp>
      <tp t="s">
        <v>2026/03/30</v>
        <stp/>
        <stp>Market</stp>
        <stp>STOCK</stp>
        <stp>22960.T</stp>
        <stp>配当落日</stp>
        <tr r="P138" s="1"/>
      </tp>
      <tp t="s">
        <v>2026/04/28</v>
        <stp/>
        <stp>Market</stp>
        <stp>STOCK</stp>
        <stp>22940.T</stp>
        <stp>配当落日</stp>
        <tr r="P137" s="1"/>
      </tp>
      <tp>
        <v>76648</v>
        <stp/>
        <stp>Market</stp>
        <stp>STOCK</stp>
        <stp>19380.T</stp>
        <stp>時価総額</stp>
        <tr r="F8" s="1"/>
      </tp>
      <tp>
        <v>95289</v>
        <stp/>
        <stp>Market</stp>
        <stp>STOCK</stp>
        <stp>19390.T</stp>
        <stp>時価総額</stp>
        <tr r="F9" s="1"/>
      </tp>
      <tp>
        <v>191037</v>
        <stp/>
        <stp>Market</stp>
        <stp>STOCK</stp>
        <stp>19340.T</stp>
        <stp>時価総額</stp>
        <tr r="F7" s="1"/>
      </tp>
      <tp>
        <v>50399</v>
        <stp/>
        <stp>Market</stp>
        <stp>STOCK</stp>
        <stp>19300.T</stp>
        <stp>時価総額</stp>
        <tr r="F6" s="1"/>
      </tp>
      <tp>
        <v>2363367</v>
        <stp/>
        <stp>Market</stp>
        <stp>STOCK</stp>
        <stp>19280.T</stp>
        <stp>時価総額</stp>
        <tr r="F3" s="1"/>
      </tp>
      <tp>
        <v>56730</v>
        <stp/>
        <stp>Market</stp>
        <stp>STOCK</stp>
        <stp>19290.T</stp>
        <stp>時価総額</stp>
        <tr r="F4" s="1"/>
      </tp>
      <tp>
        <v>176608</v>
        <stp/>
        <stp>Market</stp>
        <stp>STOCK</stp>
        <stp>19260.T</stp>
        <stp>時価総額</stp>
        <tr r="F2" s="1"/>
      </tp>
      <tp>
        <v>4098</v>
        <stp/>
        <stp>Market</stp>
        <stp>STOCK</stp>
        <stp>192A0.T</stp>
        <stp>時価総額</stp>
        <tr r="F5" s="1"/>
      </tp>
      <tp t="s">
        <v>2026/03/30</v>
        <stp/>
        <stp>Market</stp>
        <stp>STOCK</stp>
        <stp>22220.T</stp>
        <stp>配当落日</stp>
        <tr r="P119" s="1"/>
      </tp>
      <tp t="s">
        <v>2026/03/30</v>
        <stp/>
        <stp>Market</stp>
        <stp>STOCK</stp>
        <stp>22210.T</stp>
        <stp>配当落日</stp>
        <tr r="P118" s="1"/>
      </tp>
      <tp t="s">
        <v>2026/03/30</v>
        <stp/>
        <stp>Market</stp>
        <stp>STOCK</stp>
        <stp>22200.T</stp>
        <stp>配当落日</stp>
        <tr r="P117" s="1"/>
      </tp>
      <tp t="s">
        <v>2026/03/30</v>
        <stp/>
        <stp>Market</stp>
        <stp>STOCK</stp>
        <stp>22260.T</stp>
        <stp>配当落日</stp>
        <tr r="P121" s="1"/>
      </tp>
      <tp t="s">
        <v>2026/03/30</v>
        <stp/>
        <stp>Market</stp>
        <stp>STOCK</stp>
        <stp>22240.T</stp>
        <stp>配当落日</stp>
        <tr r="P120" s="1"/>
      </tp>
      <tp t="s">
        <v>2026/03/30</v>
        <stp/>
        <stp>Market</stp>
        <stp>STOCK</stp>
        <stp>22290.T</stp>
        <stp>配当落日</stp>
        <tr r="P122" s="1"/>
      </tp>
      <tp t="s">
        <v>2026/09/29</v>
        <stp/>
        <stp>Market</stp>
        <stp>STOCK</stp>
        <stp>220A0.T</stp>
        <stp>配当落日</stp>
        <tr r="P111" s="1"/>
      </tp>
      <tp t="s">
        <v>2026/03/30</v>
        <stp/>
        <stp>Market</stp>
        <stp>STOCK</stp>
        <stp>22010.T</stp>
        <stp>配当落日</stp>
        <tr r="P105" s="1"/>
      </tp>
      <tp t="s">
        <v>2026/03/30</v>
        <stp/>
        <stp>Market</stp>
        <stp>STOCK</stp>
        <stp>22070.T</stp>
        <stp>配当落日</stp>
        <tr r="P108" s="1"/>
      </tp>
      <tp t="s">
        <v>2026/12/29</v>
        <stp/>
        <stp>Market</stp>
        <stp>STOCK</stp>
        <stp>22060.T</stp>
        <stp>配当落日</stp>
        <tr r="P107" s="1"/>
      </tp>
      <tp t="s">
        <v>2026/03/30</v>
        <stp/>
        <stp>Market</stp>
        <stp>STOCK</stp>
        <stp>22040.T</stp>
        <stp>配当落日</stp>
        <tr r="P106" s="1"/>
      </tp>
      <tp t="s">
        <v>2026/03/30</v>
        <stp/>
        <stp>Market</stp>
        <stp>STOCK</stp>
        <stp>22090.T</stp>
        <stp>配当落日</stp>
        <tr r="P110" s="1"/>
      </tp>
      <tp t="s">
        <v>2026/03/30</v>
        <stp/>
        <stp>Market</stp>
        <stp>STOCK</stp>
        <stp>22080.T</stp>
        <stp>配当落日</stp>
        <tr r="P109" s="1"/>
      </tp>
      <tp t="s">
        <v>2026/12/29</v>
        <stp/>
        <stp>Market</stp>
        <stp>STOCK</stp>
        <stp>22120.T</stp>
        <stp>配当落日</stp>
        <tr r="P113" s="1"/>
      </tp>
      <tp t="s">
        <v>2026/12/29</v>
        <stp/>
        <stp>Market</stp>
        <stp>STOCK</stp>
        <stp>22110.T</stp>
        <stp>配当落日</stp>
        <tr r="P112" s="1"/>
      </tp>
      <tp t="s">
        <v>2027/01/28</v>
        <stp/>
        <stp>Market</stp>
        <stp>STOCK</stp>
        <stp>22170.T</stp>
        <stp>配当落日</stp>
        <tr r="P116" s="1"/>
      </tp>
      <tp t="s">
        <v>2026/12/29</v>
        <stp/>
        <stp>Market</stp>
        <stp>STOCK</stp>
        <stp>22160.T</stp>
        <stp>配当落日</stp>
        <tr r="P115" s="1"/>
      </tp>
      <tp t="s">
        <v>2026/12/29</v>
        <stp/>
        <stp>Market</stp>
        <stp>STOCK</stp>
        <stp>22150.T</stp>
        <stp>配当落日</stp>
        <tr r="P114" s="1"/>
      </tp>
      <tp>
        <v>5550</v>
        <stp/>
        <stp>Market</stp>
        <stp>STOCK</stp>
        <stp>19940.T</stp>
        <stp>時価総額</stp>
        <tr r="F43" s="1"/>
      </tp>
      <tp>
        <v>8888</v>
        <stp/>
        <stp>Market</stp>
        <stp>STOCK</stp>
        <stp>19970.T</stp>
        <stp>時価総額</stp>
        <tr r="F44" s="1"/>
      </tp>
      <tp>
        <v>7473</v>
        <stp/>
        <stp>Market</stp>
        <stp>STOCK</stp>
        <stp>19920.T</stp>
        <stp>時価総額</stp>
        <tr r="F42" s="1"/>
      </tp>
      <tp t="s">
        <v>2026/03/30</v>
        <stp/>
        <stp>Market</stp>
        <stp>STOCK</stp>
        <stp>22670.T</stp>
        <stp>配当落日</stp>
        <tr r="P125" s="1"/>
      </tp>
      <tp t="s">
        <v>2026/12/29</v>
        <stp/>
        <stp>Market</stp>
        <stp>STOCK</stp>
        <stp>22660.T</stp>
        <stp>配当落日</stp>
        <tr r="P124" s="1"/>
      </tp>
      <tp t="s">
        <v>2026/03/30</v>
        <stp/>
        <stp>Market</stp>
        <stp>STOCK</stp>
        <stp>22640.T</stp>
        <stp>配当落日</stp>
        <tr r="P123" s="1"/>
      </tp>
      <tp t="s">
        <v>2026/03/30</v>
        <stp/>
        <stp>Market</stp>
        <stp>STOCK</stp>
        <stp>22690.T</stp>
        <stp>配当落日</stp>
        <tr r="P127" s="1"/>
      </tp>
      <tp t="s">
        <v>2026/12/29</v>
        <stp/>
        <stp>Market</stp>
        <stp>STOCK</stp>
        <stp>22680.T</stp>
        <stp>配当落日</stp>
        <tr r="P126" s="1"/>
      </tp>
      <tp>
        <v>459178</v>
        <stp/>
        <stp>Market</stp>
        <stp>STOCK</stp>
        <stp>19800.T</stp>
        <stp>時価総額</stp>
        <tr r="F38" s="1"/>
      </tp>
      <tp>
        <v>17129</v>
        <stp/>
        <stp>Market</stp>
        <stp>STOCK</stp>
        <stp>19810.T</stp>
        <stp>時価総額</stp>
        <tr r="F39" s="1"/>
      </tp>
      <tp>
        <v>148952</v>
        <stp/>
        <stp>Market</stp>
        <stp>STOCK</stp>
        <stp>19820.T</stp>
        <stp>時価総額</stp>
        <tr r="F40" s="1"/>
      </tp>
      <tp>
        <v>2214</v>
        <stp/>
        <stp>Market</stp>
        <stp>STOCK</stp>
        <stp>198A0.T</stp>
        <stp>時価総額</stp>
        <tr r="F41" s="1"/>
      </tp>
      <tp t="s">
        <v>2026/03/30</v>
        <stp/>
        <stp>Market</stp>
        <stp>STOCK</stp>
        <stp>22700.T</stp>
        <stp>配当落日</stp>
        <tr r="P128" s="1"/>
      </tp>
      <tp t="s">
        <v>2026/07/30</v>
        <stp/>
        <stp>Market</stp>
        <stp>STOCK</stp>
        <stp>218A0.T</stp>
        <stp>配当落日</stp>
        <tr r="P99" s="1"/>
      </tp>
      <tp t="s">
        <v>2026/03/30</v>
        <stp/>
        <stp>Market</stp>
        <stp>STOCK</stp>
        <stp>21830.T</stp>
        <stp>配当落日</stp>
        <tr r="P96" s="1"/>
      </tp>
      <tp t="s">
        <v>2026/03/30</v>
        <stp/>
        <stp>Market</stp>
        <stp>STOCK</stp>
        <stp>21810.T</stp>
        <stp>配当落日</stp>
        <tr r="P95" s="1"/>
      </tp>
      <tp t="s">
        <v>2026/06/29</v>
        <stp/>
        <stp>Market</stp>
        <stp>STOCK</stp>
        <stp>21800.T</stp>
        <stp>配当落日</stp>
        <tr r="P94" s="1"/>
      </tp>
      <tp t="s">
        <v>2027/02/25</v>
        <stp/>
        <stp>Market</stp>
        <stp>STOCK</stp>
        <stp>21860.T</stp>
        <stp>配当落日</stp>
        <tr r="P98" s="1"/>
      </tp>
      <tp t="s">
        <v>2026/09/29</v>
        <stp/>
        <stp>Market</stp>
        <stp>STOCK</stp>
        <stp>21850.T</stp>
        <stp>配当落日</stp>
        <tr r="P97" s="1"/>
      </tp>
      <tp t="s">
        <v>2026/12/29</v>
        <stp/>
        <stp>Market</stp>
        <stp>STOCK</stp>
        <stp>219A0.T</stp>
        <stp>配当落日</stp>
        <tr r="P104" s="1"/>
      </tp>
      <tp t="s">
        <v>2026/12/29</v>
        <stp/>
        <stp>Market</stp>
        <stp>STOCK</stp>
        <stp>21930.T</stp>
        <stp>配当落日</stp>
        <tr r="P100" s="1"/>
      </tp>
      <tp t="s">
        <v>2026/03/30</v>
        <stp/>
        <stp>Market</stp>
        <stp>STOCK</stp>
        <stp>21960.T</stp>
        <stp>配当落日</stp>
        <tr r="P102" s="1"/>
      </tp>
      <tp t="s">
        <v>2026/12/29</v>
        <stp/>
        <stp>Market</stp>
        <stp>STOCK</stp>
        <stp>21950.T</stp>
        <stp>配当落日</stp>
        <tr r="P101" s="1"/>
      </tp>
      <tp t="s">
        <v>2026/10/29</v>
        <stp/>
        <stp>Market</stp>
        <stp>STOCK</stp>
        <stp>21980.T</stp>
        <stp>配当落日</stp>
        <tr r="P103" s="1"/>
      </tp>
      <tp t="s">
        <v>2026/10/29</v>
        <stp/>
        <stp>Market</stp>
        <stp>STOCK</stp>
        <stp>212A0.T</stp>
        <stp>配当落日</stp>
        <tr r="P68" s="1"/>
      </tp>
      <tp t="s">
        <v>2026/09/29</v>
        <stp/>
        <stp>Market</stp>
        <stp>STOCK</stp>
        <stp>21220.T</stp>
        <stp>配当落日</stp>
        <tr r="P65" s="1"/>
      </tp>
      <tp t="s">
        <v>2026/03/30</v>
        <stp/>
        <stp>Market</stp>
        <stp>STOCK</stp>
        <stp>21210.T</stp>
        <stp>配当落日</stp>
        <tr r="P64" s="1"/>
      </tp>
      <tp t="s">
        <v>2026/09/29</v>
        <stp/>
        <stp>Market</stp>
        <stp>STOCK</stp>
        <stp>21200.T</stp>
        <stp>配当落日</stp>
        <tr r="P63" s="1"/>
      </tp>
      <tp t="s">
        <v>2026/03/30</v>
        <stp/>
        <stp>Market</stp>
        <stp>STOCK</stp>
        <stp>21270.T</stp>
        <stp>配当落日</stp>
        <tr r="P67" s="1"/>
      </tp>
      <tp t="s">
        <v>2026/12/29</v>
        <stp/>
        <stp>Market</stp>
        <stp>STOCK</stp>
        <stp>21240.T</stp>
        <stp>配当落日</stp>
        <tr r="P66" s="1"/>
      </tp>
      <tp t="s">
        <v>2026/03/30</v>
        <stp/>
        <stp>Market</stp>
        <stp>STOCK</stp>
        <stp>21300.T</stp>
        <stp>配当落日</stp>
        <tr r="P69" s="1"/>
      </tp>
      <tp t="s">
        <v>2026/03/30</v>
        <stp/>
        <stp>Market</stp>
        <stp>STOCK</stp>
        <stp>21360.T</stp>
        <stp>配当落日</stp>
        <tr r="P71" s="1"/>
      </tp>
      <tp t="s">
        <v>2026/03/30</v>
        <stp/>
        <stp>Market</stp>
        <stp>STOCK</stp>
        <stp>21340.T</stp>
        <stp>配当落日</stp>
        <tr r="P70" s="1"/>
      </tp>
      <tp t="s">
        <v>2026/03/30</v>
        <stp/>
        <stp>Market</stp>
        <stp>STOCK</stp>
        <stp>21390.T</stp>
        <stp>配当落日</stp>
        <tr r="P73" s="1"/>
      </tp>
      <tp t="s">
        <v>2026/03/30</v>
        <stp/>
        <stp>Market</stp>
        <stp>STOCK</stp>
        <stp>21380.T</stp>
        <stp>配当落日</stp>
        <tr r="P72" s="1"/>
      </tp>
      <tp t="s">
        <v>2026/03/30</v>
        <stp/>
        <stp>Market</stp>
        <stp>STOCK</stp>
        <stp>21090.T</stp>
        <stp>配当落日</stp>
        <tr r="P58" s="1"/>
      </tp>
      <tp t="s">
        <v>2026/03/30</v>
        <stp/>
        <stp>Market</stp>
        <stp>STOCK</stp>
        <stp>21080.T</stp>
        <stp>配当落日</stp>
        <tr r="P57" s="1"/>
      </tp>
      <tp t="s">
        <v>2026/07/30</v>
        <stp/>
        <stp>Market</stp>
        <stp>STOCK</stp>
        <stp>211A0.T</stp>
        <stp>配当落日</stp>
        <tr r="P62" s="1"/>
      </tp>
      <tp t="s">
        <v>2026/03/30</v>
        <stp/>
        <stp>Market</stp>
        <stp>STOCK</stp>
        <stp>21120.T</stp>
        <stp>配当落日</stp>
        <tr r="P59" s="1"/>
      </tp>
      <tp t="s">
        <v>2026/03/30</v>
        <stp/>
        <stp>Market</stp>
        <stp>STOCK</stp>
        <stp>21170.T</stp>
        <stp>配当落日</stp>
        <tr r="P61" s="1"/>
      </tp>
      <tp t="s">
        <v>2026/03/30</v>
        <stp/>
        <stp>Market</stp>
        <stp>STOCK</stp>
        <stp>21140.T</stp>
        <stp>配当落日</stp>
        <tr r="P60" s="1"/>
      </tp>
      <tp t="s">
        <v>2027/01/28</v>
        <stp/>
        <stp>Market</stp>
        <stp>STOCK</stp>
        <stp>21630.T</stp>
        <stp>配当落日</stp>
        <tr r="P86" s="1"/>
      </tp>
      <tp t="s">
        <v>2026/03/30</v>
        <stp/>
        <stp>Market</stp>
        <stp>STOCK</stp>
        <stp>21620.T</stp>
        <stp>配当落日</stp>
        <tr r="P85" s="1"/>
      </tp>
      <tp t="s">
        <v>2026/12/29</v>
        <stp/>
        <stp>Market</stp>
        <stp>STOCK</stp>
        <stp>21600.T</stp>
        <stp>配当落日</stp>
        <tr r="P84" s="1"/>
      </tp>
      <tp t="s">
        <v>2026/08/28</v>
        <stp/>
        <stp>Market</stp>
        <stp>STOCK</stp>
        <stp>21640.T</stp>
        <stp>配当落日</stp>
        <tr r="P87" s="1"/>
      </tp>
      <tp t="s">
        <v>2026/12/29</v>
        <stp/>
        <stp>Market</stp>
        <stp>STOCK</stp>
        <stp>21690.T</stp>
        <stp>配当落日</stp>
        <tr r="P89" s="1"/>
      </tp>
      <tp t="s">
        <v>2026/05/28</v>
        <stp/>
        <stp>Market</stp>
        <stp>STOCK</stp>
        <stp>21680.T</stp>
        <stp>配当落日</stp>
        <tr r="P88" s="1"/>
      </tp>
      <tp t="s">
        <v>2026/12/29</v>
        <stp/>
        <stp>Market</stp>
        <stp>STOCK</stp>
        <stp>21730.T</stp>
        <stp>配当落日</stp>
        <tr r="P91" s="1"/>
      </tp>
      <tp t="s">
        <v>2026/12/29</v>
        <stp/>
        <stp>Market</stp>
        <stp>STOCK</stp>
        <stp>21700.T</stp>
        <stp>配当落日</stp>
        <tr r="P90" s="1"/>
      </tp>
      <tp t="s">
        <v>2026/03/30</v>
        <stp/>
        <stp>Market</stp>
        <stp>STOCK</stp>
        <stp>21750.T</stp>
        <stp>配当落日</stp>
        <tr r="P92" s="1"/>
      </tp>
      <tp t="s">
        <v>2026/03/30</v>
        <stp/>
        <stp>Market</stp>
        <stp>STOCK</stp>
        <stp>21790.T</stp>
        <stp>配当落日</stp>
        <tr r="P93" s="1"/>
      </tp>
      <tp t="s">
        <v>2026/03/30</v>
        <stp/>
        <stp>Market</stp>
        <stp>STOCK</stp>
        <stp>21460.T</stp>
        <stp>配当落日</stp>
        <tr r="P74" s="1"/>
      </tp>
      <tp t="s">
        <v>2026/03/30</v>
        <stp/>
        <stp>Market</stp>
        <stp>STOCK</stp>
        <stp>21480.T</stp>
        <stp>配当落日</stp>
        <tr r="P75" s="1"/>
      </tp>
      <tp t="s">
        <v>2026/04/28</v>
        <stp/>
        <stp>Market</stp>
        <stp>STOCK</stp>
        <stp>215A0.T</stp>
        <stp>配当落日</stp>
        <tr r="P83" s="1"/>
      </tp>
      <tp t="s">
        <v>2026/05/28</v>
        <stp/>
        <stp>Market</stp>
        <stp>STOCK</stp>
        <stp>21530.T</stp>
        <stp>配当落日</stp>
        <tr r="P78" s="1"/>
      </tp>
      <tp t="s">
        <v>2026/03/30</v>
        <stp/>
        <stp>Market</stp>
        <stp>STOCK</stp>
        <stp>21520.T</stp>
        <stp>配当落日</stp>
        <tr r="P77" s="1"/>
      </tp>
      <tp t="s">
        <v/>
        <stp/>
        <stp>Market</stp>
        <stp>STOCK</stp>
        <stp>21500.T</stp>
        <stp>配当落日</stp>
        <tr r="P76" s="1"/>
      </tp>
      <tp t="s">
        <v>2026/08/28</v>
        <stp/>
        <stp>Market</stp>
        <stp>STOCK</stp>
        <stp>21570.T</stp>
        <stp>配当落日</stp>
        <tr r="P81" s="1"/>
      </tp>
      <tp t="s">
        <v>2026/03/30</v>
        <stp/>
        <stp>Market</stp>
        <stp>STOCK</stp>
        <stp>21560.T</stp>
        <stp>配当落日</stp>
        <tr r="P80" s="1"/>
      </tp>
      <tp t="s">
        <v>2026/06/29</v>
        <stp/>
        <stp>Market</stp>
        <stp>STOCK</stp>
        <stp>21540.T</stp>
        <stp>配当落日</stp>
        <tr r="P79" s="1"/>
      </tp>
      <tp t="s">
        <v>2026/03/30</v>
        <stp/>
        <stp>Market</stp>
        <stp>STOCK</stp>
        <stp>21580.T</stp>
        <stp>配当落日</stp>
        <tr r="P82" s="1"/>
      </tp>
      <tp t="s">
        <v>2026/06/29</v>
        <stp/>
        <stp>Market</stp>
        <stp>STOCK</stp>
        <stp>208A0.T</stp>
        <stp>配当落日</stp>
        <tr r="P56" s="1"/>
      </tp>
      <tp t="s">
        <v>2026/03/30</v>
        <stp/>
        <stp>Market</stp>
        <stp>STOCK</stp>
        <stp>202A0.T</stp>
        <stp>配当落日</stp>
        <tr r="P50" s="1"/>
      </tp>
      <tp t="s">
        <v>2026/03/30</v>
        <stp/>
        <stp>Market</stp>
        <stp>STOCK</stp>
        <stp>20030.T</stp>
        <stp>配当落日</stp>
        <tr r="P47" s="1"/>
      </tp>
      <tp t="s">
        <v>2026/03/30</v>
        <stp/>
        <stp>Market</stp>
        <stp>STOCK</stp>
        <stp>20020.T</stp>
        <stp>配当落日</stp>
        <tr r="P46" s="1"/>
      </tp>
      <tp t="s">
        <v>2026/03/30</v>
        <stp/>
        <stp>Market</stp>
        <stp>STOCK</stp>
        <stp>20010.T</stp>
        <stp>配当落日</stp>
        <tr r="P45" s="1"/>
      </tp>
      <tp t="s">
        <v>2026/03/30</v>
        <stp/>
        <stp>Market</stp>
        <stp>STOCK</stp>
        <stp>20040.T</stp>
        <stp>配当落日</stp>
        <tr r="P48" s="1"/>
      </tp>
      <tp t="s">
        <v>2026/12/29</v>
        <stp/>
        <stp>Market</stp>
        <stp>STOCK</stp>
        <stp>20090.T</stp>
        <stp>配当落日</stp>
        <tr r="P49" s="1"/>
      </tp>
      <tp t="s">
        <v>2026/09/29</v>
        <stp/>
        <stp>Market</stp>
        <stp>STOCK</stp>
        <stp>206A0.T</stp>
        <stp>配当落日</stp>
        <tr r="P55" s="1"/>
      </tp>
      <tp t="s">
        <v>2026/03/30</v>
        <stp/>
        <stp>Market</stp>
        <stp>STOCK</stp>
        <stp>20600.T</stp>
        <stp>配当落日</stp>
        <tr r="P54" s="1"/>
      </tp>
      <tp t="s">
        <v>2026/05/28</v>
        <stp/>
        <stp>Market</stp>
        <stp>STOCK</stp>
        <stp>205A0.T</stp>
        <stp>配当落日</stp>
        <tr r="P53" s="1"/>
      </tp>
      <tp t="s">
        <v>2026/03/30</v>
        <stp/>
        <stp>Market</stp>
        <stp>STOCK</stp>
        <stp>20530.T</stp>
        <stp>配当落日</stp>
        <tr r="P51" s="1"/>
      </tp>
      <tp t="s">
        <v>2026/03/30</v>
        <stp/>
        <stp>Market</stp>
        <stp>STOCK</stp>
        <stp>20550.T</stp>
        <stp>配当落日</stp>
        <tr r="P52" s="1"/>
      </tp>
      <tp t="s">
        <v>2026/02/12</v>
        <stp/>
        <stp>Market</stp>
        <stp>STOCK</stp>
        <stp>220A0.T</stp>
        <stp>決算発表日</stp>
        <tr r="S111" s="1"/>
      </tp>
    </main>
    <main first="rtdsrv.b2353dc584914e4193ea525a6339afd4">
      <tp t="s">
        <v>2026/03/30</v>
        <stp/>
        <stp>Market</stp>
        <stp>STOCK</stp>
        <stp>21850.T</stp>
        <stp>中配落日</stp>
        <tr r="Q97" s="1"/>
      </tp>
      <tp t="s">
        <v>2026/08/28</v>
        <stp/>
        <stp>Market</stp>
        <stp>STOCK</stp>
        <stp>21860.T</stp>
        <stp>中配落日</stp>
        <tr r="Q98" s="1"/>
      </tp>
      <tp t="s">
        <v>2026/12/29</v>
        <stp/>
        <stp>Market</stp>
        <stp>STOCK</stp>
        <stp>21800.T</stp>
        <stp>中配落日</stp>
        <tr r="Q94" s="1"/>
      </tp>
      <tp t="s">
        <v>2026/09/29</v>
        <stp/>
        <stp>Market</stp>
        <stp>STOCK</stp>
        <stp>21810.T</stp>
        <stp>中配落日</stp>
        <tr r="Q95" s="1"/>
      </tp>
      <tp t="s">
        <v>2026/09/29</v>
        <stp/>
        <stp>Market</stp>
        <stp>STOCK</stp>
        <stp>21830.T</stp>
        <stp>中配落日</stp>
        <tr r="Q96" s="1"/>
      </tp>
      <tp t="s">
        <v>2027/01/28</v>
        <stp/>
        <stp>Market</stp>
        <stp>STOCK</stp>
        <stp>218A0.T</stp>
        <stp>中配落日</stp>
        <tr r="Q99" s="1"/>
      </tp>
      <tp t="s">
        <v>2026/04/28</v>
        <stp/>
        <stp>Market</stp>
        <stp>STOCK</stp>
        <stp>21980.T</stp>
        <stp>中配落日</stp>
        <tr r="Q103" s="1"/>
      </tp>
      <tp t="s">
        <v>2026/06/29</v>
        <stp/>
        <stp>Market</stp>
        <stp>STOCK</stp>
        <stp>21950.T</stp>
        <stp>中配落日</stp>
        <tr r="Q101" s="1"/>
      </tp>
      <tp t="s">
        <v>2026/09/29</v>
        <stp/>
        <stp>Market</stp>
        <stp>STOCK</stp>
        <stp>21960.T</stp>
        <stp>中配落日</stp>
        <tr r="Q102" s="1"/>
      </tp>
      <tp t="s">
        <v>2026/06/29</v>
        <stp/>
        <stp>Market</stp>
        <stp>STOCK</stp>
        <stp>21930.T</stp>
        <stp>中配落日</stp>
        <tr r="Q100" s="1"/>
      </tp>
      <tp t="s">
        <v/>
        <stp/>
        <stp>Market</stp>
        <stp>STOCK</stp>
        <stp>219A0.T</stp>
        <stp>中配落日</stp>
        <tr r="Q104" s="1"/>
      </tp>
      <tp t="s">
        <v>2026/06/29</v>
        <stp/>
        <stp>Market</stp>
        <stp>STOCK</stp>
        <stp>21240.T</stp>
        <stp>中配落日</stp>
        <tr r="Q66" s="1"/>
      </tp>
      <tp t="s">
        <v>2026/09/29</v>
        <stp/>
        <stp>Market</stp>
        <stp>STOCK</stp>
        <stp>21270.T</stp>
        <stp>中配落日</stp>
        <tr r="Q67" s="1"/>
      </tp>
      <tp t="s">
        <v>2026/03/30</v>
        <stp/>
        <stp>Market</stp>
        <stp>STOCK</stp>
        <stp>21200.T</stp>
        <stp>中配落日</stp>
        <tr r="Q63" s="1"/>
      </tp>
      <tp t="s">
        <v>2026/09/29</v>
        <stp/>
        <stp>Market</stp>
        <stp>STOCK</stp>
        <stp>21210.T</stp>
        <stp>中配落日</stp>
        <tr r="Q64" s="1"/>
      </tp>
      <tp t="s">
        <v>2026/03/30</v>
        <stp/>
        <stp>Market</stp>
        <stp>STOCK</stp>
        <stp>21220.T</stp>
        <stp>中配落日</stp>
        <tr r="Q65" s="1"/>
      </tp>
      <tp t="s">
        <v>2026/04/28</v>
        <stp/>
        <stp>Market</stp>
        <stp>STOCK</stp>
        <stp>212A0.T</stp>
        <stp>中配落日</stp>
        <tr r="Q68" s="1"/>
      </tp>
      <tp t="s">
        <v>2026/09/29</v>
        <stp/>
        <stp>Market</stp>
        <stp>STOCK</stp>
        <stp>21380.T</stp>
        <stp>中配落日</stp>
        <tr r="Q72" s="1"/>
      </tp>
      <tp t="s">
        <v>2026/09/29</v>
        <stp/>
        <stp>Market</stp>
        <stp>STOCK</stp>
        <stp>21390.T</stp>
        <stp>中配落日</stp>
        <tr r="Q73" s="1"/>
      </tp>
      <tp t="s">
        <v>2026/09/29</v>
        <stp/>
        <stp>Market</stp>
        <stp>STOCK</stp>
        <stp>21340.T</stp>
        <stp>中配落日</stp>
        <tr r="Q70" s="1"/>
      </tp>
      <tp t="s">
        <v>2026/09/29</v>
        <stp/>
        <stp>Market</stp>
        <stp>STOCK</stp>
        <stp>21360.T</stp>
        <stp>中配落日</stp>
        <tr r="Q71" s="1"/>
      </tp>
      <tp t="s">
        <v>2026/09/29</v>
        <stp/>
        <stp>Market</stp>
        <stp>STOCK</stp>
        <stp>21300.T</stp>
        <stp>中配落日</stp>
        <tr r="Q69" s="1"/>
      </tp>
      <tp t="s">
        <v/>
        <stp/>
        <stp>Market</stp>
        <stp>STOCK</stp>
        <stp>21080.T</stp>
        <stp>中配落日</stp>
        <tr r="Q57" s="1"/>
      </tp>
      <tp t="s">
        <v>2026/09/29</v>
        <stp/>
        <stp>Market</stp>
        <stp>STOCK</stp>
        <stp>21090.T</stp>
        <stp>中配落日</stp>
        <tr r="Q58" s="1"/>
      </tp>
      <tp t="s">
        <v>2026/09/29</v>
        <stp/>
        <stp>Market</stp>
        <stp>STOCK</stp>
        <stp>21140.T</stp>
        <stp>中配落日</stp>
        <tr r="Q60" s="1"/>
      </tp>
      <tp t="s">
        <v>2026/09/29</v>
        <stp/>
        <stp>Market</stp>
        <stp>STOCK</stp>
        <stp>21170.T</stp>
        <stp>中配落日</stp>
        <tr r="Q61" s="1"/>
      </tp>
      <tp t="s">
        <v>2026/09/29</v>
        <stp/>
        <stp>Market</stp>
        <stp>STOCK</stp>
        <stp>21120.T</stp>
        <stp>中配落日</stp>
        <tr r="Q59" s="1"/>
      </tp>
      <tp t="s">
        <v>2027/01/28</v>
        <stp/>
        <stp>Market</stp>
        <stp>STOCK</stp>
        <stp>211A0.T</stp>
        <stp>中配落日</stp>
        <tr r="Q62" s="1"/>
      </tp>
      <tp t="s">
        <v>2026/11/27</v>
        <stp/>
        <stp>Market</stp>
        <stp>STOCK</stp>
        <stp>21680.T</stp>
        <stp>中配落日</stp>
        <tr r="Q88" s="1"/>
      </tp>
      <tp t="s">
        <v>2026/06/29</v>
        <stp/>
        <stp>Market</stp>
        <stp>STOCK</stp>
        <stp>21690.T</stp>
        <stp>中配落日</stp>
        <tr r="Q89" s="1"/>
      </tp>
      <tp t="s">
        <v>2027/02/25</v>
        <stp/>
        <stp>Market</stp>
        <stp>STOCK</stp>
        <stp>21640.T</stp>
        <stp>中配落日</stp>
        <tr r="Q87" s="1"/>
      </tp>
      <tp t="s">
        <v/>
        <stp/>
        <stp>Market</stp>
        <stp>STOCK</stp>
        <stp>21600.T</stp>
        <stp>中配落日</stp>
        <tr r="Q84" s="1"/>
      </tp>
      <tp t="s">
        <v>2026/09/29</v>
        <stp/>
        <stp>Market</stp>
        <stp>STOCK</stp>
        <stp>21620.T</stp>
        <stp>中配落日</stp>
        <tr r="Q85" s="1"/>
      </tp>
      <tp t="s">
        <v>2026/07/30</v>
        <stp/>
        <stp>Market</stp>
        <stp>STOCK</stp>
        <stp>21630.T</stp>
        <stp>中配落日</stp>
        <tr r="Q86" s="1"/>
      </tp>
      <tp t="s">
        <v>2026/09/29</v>
        <stp/>
        <stp>Market</stp>
        <stp>STOCK</stp>
        <stp>21790.T</stp>
        <stp>中配落日</stp>
        <tr r="Q93" s="1"/>
      </tp>
      <tp t="s">
        <v>2026/09/29</v>
        <stp/>
        <stp>Market</stp>
        <stp>STOCK</stp>
        <stp>21750.T</stp>
        <stp>中配落日</stp>
        <tr r="Q92" s="1"/>
      </tp>
      <tp t="s">
        <v>2026/06/29</v>
        <stp/>
        <stp>Market</stp>
        <stp>STOCK</stp>
        <stp>21700.T</stp>
        <stp>中配落日</stp>
        <tr r="Q90" s="1"/>
      </tp>
      <tp t="s">
        <v>2026/06/29</v>
        <stp/>
        <stp>Market</stp>
        <stp>STOCK</stp>
        <stp>21730.T</stp>
        <stp>中配落日</stp>
        <tr r="Q91" s="1"/>
      </tp>
      <tp t="s">
        <v>2026/09/29</v>
        <stp/>
        <stp>Market</stp>
        <stp>STOCK</stp>
        <stp>21480.T</stp>
        <stp>中配落日</stp>
        <tr r="Q75" s="1"/>
      </tp>
      <tp t="s">
        <v>2026/09/29</v>
        <stp/>
        <stp>Market</stp>
        <stp>STOCK</stp>
        <stp>21460.T</stp>
        <stp>中配落日</stp>
        <tr r="Q74" s="1"/>
      </tp>
      <tp t="s">
        <v>2026/09/29</v>
        <stp/>
        <stp>Market</stp>
        <stp>STOCK</stp>
        <stp>21580.T</stp>
        <stp>中配落日</stp>
        <tr r="Q82" s="1"/>
      </tp>
      <tp t="s">
        <v>2026/12/29</v>
        <stp/>
        <stp>Market</stp>
        <stp>STOCK</stp>
        <stp>21540.T</stp>
        <stp>中配落日</stp>
        <tr r="Q79" s="1"/>
      </tp>
      <tp t="s">
        <v>2026/09/29</v>
        <stp/>
        <stp>Market</stp>
        <stp>STOCK</stp>
        <stp>21560.T</stp>
        <stp>中配落日</stp>
        <tr r="Q80" s="1"/>
      </tp>
      <tp t="s">
        <v>2027/02/25</v>
        <stp/>
        <stp>Market</stp>
        <stp>STOCK</stp>
        <stp>21570.T</stp>
        <stp>中配落日</stp>
        <tr r="Q81" s="1"/>
      </tp>
      <tp t="s">
        <v/>
        <stp/>
        <stp>Market</stp>
        <stp>STOCK</stp>
        <stp>21500.T</stp>
        <stp>中配落日</stp>
        <tr r="Q76" s="1"/>
      </tp>
      <tp t="s">
        <v>2026/09/29</v>
        <stp/>
        <stp>Market</stp>
        <stp>STOCK</stp>
        <stp>21520.T</stp>
        <stp>中配落日</stp>
        <tr r="Q77" s="1"/>
      </tp>
      <tp t="s">
        <v>2026/11/27</v>
        <stp/>
        <stp>Market</stp>
        <stp>STOCK</stp>
        <stp>21530.T</stp>
        <stp>中配落日</stp>
        <tr r="Q78" s="1"/>
      </tp>
      <tp t="s">
        <v/>
        <stp/>
        <stp>Market</stp>
        <stp>STOCK</stp>
        <stp>215A0.T</stp>
        <stp>中配落日</stp>
        <tr r="Q83" s="1"/>
      </tp>
    </main>
    <main first="rtdsrv.b2353dc584914e4193ea525a6339afd4">
      <tp t="s">
        <v>-</v>
        <stp/>
        <stp>Market</stp>
        <stp>STOCK</stp>
        <stp>23070.T</stp>
        <stp>決算発表日</stp>
        <tr r="S144" s="1"/>
      </tp>
      <tp t="s">
        <v>-</v>
        <stp/>
        <stp>Market</stp>
        <stp>STOCK</stp>
        <stp>22070.T</stp>
        <stp>決算発表日</stp>
        <tr r="S108" s="1"/>
      </tp>
    </main>
    <main first="rtdsrv.b2353dc584914e4193ea525a6339afd4">
      <tp t="s">
        <v>2026/02/13</v>
        <stp/>
        <stp>Market</stp>
        <stp>STOCK</stp>
        <stp>22060.T</stp>
        <stp>決算発表日</stp>
        <tr r="S107" s="1"/>
      </tp>
      <tp t="s">
        <v>-</v>
        <stp/>
        <stp>Market</stp>
        <stp>STOCK</stp>
        <stp>23050.T</stp>
        <stp>決算発表日</stp>
        <tr r="S143" s="1"/>
      </tp>
      <tp t="s">
        <v>2026/02/06</v>
        <stp/>
        <stp>Market</stp>
        <stp>STOCK</stp>
        <stp>20040.T</stp>
        <stp>決算発表日</stp>
        <tr r="S48" s="1"/>
      </tp>
      <tp t="s">
        <v>2026/02/10</v>
        <stp/>
        <stp>Market</stp>
        <stp>STOCK</stp>
        <stp>23040.T</stp>
        <stp>決算発表日</stp>
        <tr r="S142" s="1"/>
      </tp>
      <tp t="s">
        <v>2026/02/06</v>
        <stp/>
        <stp>Market</stp>
        <stp>STOCK</stp>
        <stp>22040.T</stp>
        <stp>決算発表日</stp>
        <tr r="S106" s="1"/>
      </tp>
      <tp t="s">
        <v>-</v>
        <stp/>
        <stp>Market</stp>
        <stp>STOCK</stp>
        <stp>20030.T</stp>
        <stp>決算発表日</stp>
        <tr r="S47" s="1"/>
      </tp>
      <tp t="s">
        <v>-</v>
        <stp/>
        <stp>Market</stp>
        <stp>STOCK</stp>
        <stp>23030.T</stp>
        <stp>決算発表日</stp>
        <tr r="S141" s="1"/>
      </tp>
      <tp t="s">
        <v>-</v>
        <stp/>
        <stp>Market</stp>
        <stp>STOCK</stp>
        <stp>20020.T</stp>
        <stp>決算発表日</stp>
        <tr r="S46" s="1"/>
      </tp>
      <tp t="s">
        <v>2026/02/05</v>
        <stp/>
        <stp>Market</stp>
        <stp>STOCK</stp>
        <stp>20010.T</stp>
        <stp>決算発表日</stp>
        <tr r="S45" s="1"/>
      </tp>
      <tp t="s">
        <v>2026/03/09</v>
        <stp/>
        <stp>Market</stp>
        <stp>STOCK</stp>
        <stp>23010.T</stp>
        <stp>決算発表日</stp>
        <tr r="S140" s="1"/>
      </tp>
      <tp t="s">
        <v>2026/02/10</v>
        <stp/>
        <stp>Market</stp>
        <stp>STOCK</stp>
        <stp>22010.T</stp>
        <stp>決算発表日</stp>
        <tr r="S105" s="1"/>
      </tp>
      <tp t="s">
        <v>-</v>
        <stp/>
        <stp>Market</stp>
        <stp>STOCK</stp>
        <stp>23000.T</stp>
        <stp>決算発表日</stp>
        <tr r="S139" s="1"/>
      </tp>
    </main>
    <main first="rtdsrv.b2353dc584914e4193ea525a6339afd4">
      <tp t="s">
        <v>-</v>
        <stp/>
        <stp>Market</stp>
        <stp>STOCK</stp>
        <stp>21090.T</stp>
        <stp>決算発表日</stp>
        <tr r="S58" s="1"/>
      </tp>
      <tp t="s">
        <v>2026/02/13</v>
        <stp/>
        <stp>Market</stp>
        <stp>STOCK</stp>
        <stp>20090.T</stp>
        <stp>決算発表日</stp>
        <tr r="S49" s="1"/>
      </tp>
      <tp t="s">
        <v>-</v>
        <stp/>
        <stp>Market</stp>
        <stp>STOCK</stp>
        <stp>22090.T</stp>
        <stp>決算発表日</stp>
        <tr r="S110" s="1"/>
      </tp>
    </main>
    <main first="rtdsrv.b2353dc584914e4193ea525a6339afd4">
      <tp t="s">
        <v>2026/02/13</v>
        <stp/>
        <stp>Market</stp>
        <stp>STOCK</stp>
        <stp>21080.T</stp>
        <stp>決算発表日</stp>
        <tr r="S57" s="1"/>
      </tp>
      <tp t="s">
        <v>-</v>
        <stp/>
        <stp>Market</stp>
        <stp>STOCK</stp>
        <stp>22080.T</stp>
        <stp>決算発表日</stp>
        <tr r="S109" s="1"/>
      </tp>
    </main>
    <main first="rtdsrv.b2353dc584914e4193ea525a6339afd4">
      <tp t="s">
        <v>2026/03/13</v>
        <stp/>
        <stp>Market</stp>
        <stp>STOCK</stp>
        <stp>211A0.T</stp>
        <stp>決算発表日</stp>
        <tr r="S62" s="1"/>
      </tp>
    </main>
    <main first="rtdsrv.b2353dc584914e4193ea525a6339afd4">
      <tp t="s">
        <v>2026/12/29</v>
        <stp/>
        <stp>Market</stp>
        <stp>STOCK</stp>
        <stp>208A0.T</stp>
        <stp>中配落日</stp>
        <tr r="Q56" s="1"/>
      </tp>
      <tp t="s">
        <v>2026/09/29</v>
        <stp/>
        <stp>Market</stp>
        <stp>STOCK</stp>
        <stp>202A0.T</stp>
        <stp>中配落日</stp>
        <tr r="Q50" s="1"/>
      </tp>
      <tp t="s">
        <v/>
        <stp/>
        <stp>Market</stp>
        <stp>STOCK</stp>
        <stp>20090.T</stp>
        <stp>中配落日</stp>
        <tr r="Q49" s="1"/>
      </tp>
      <tp t="s">
        <v>2026/09/29</v>
        <stp/>
        <stp>Market</stp>
        <stp>STOCK</stp>
        <stp>20040.T</stp>
        <stp>中配落日</stp>
        <tr r="Q48" s="1"/>
      </tp>
      <tp t="s">
        <v>2026/09/29</v>
        <stp/>
        <stp>Market</stp>
        <stp>STOCK</stp>
        <stp>20010.T</stp>
        <stp>中配落日</stp>
        <tr r="Q45" s="1"/>
      </tp>
      <tp t="s">
        <v>2026/09/29</v>
        <stp/>
        <stp>Market</stp>
        <stp>STOCK</stp>
        <stp>20020.T</stp>
        <stp>中配落日</stp>
        <tr r="Q46" s="1"/>
      </tp>
      <tp t="s">
        <v>2026/09/29</v>
        <stp/>
        <stp>Market</stp>
        <stp>STOCK</stp>
        <stp>20030.T</stp>
        <stp>中配落日</stp>
        <tr r="Q47" s="1"/>
      </tp>
      <tp t="s">
        <v>2026/09/29</v>
        <stp/>
        <stp>Market</stp>
        <stp>STOCK</stp>
        <stp>20600.T</stp>
        <stp>中配落日</stp>
        <tr r="Q54" s="1"/>
      </tp>
      <tp t="s">
        <v>2026/03/30</v>
        <stp/>
        <stp>Market</stp>
        <stp>STOCK</stp>
        <stp>206A0.T</stp>
        <stp>中配落日</stp>
        <tr r="Q55" s="1"/>
      </tp>
      <tp t="s">
        <v>2026/09/29</v>
        <stp/>
        <stp>Market</stp>
        <stp>STOCK</stp>
        <stp>20550.T</stp>
        <stp>中配落日</stp>
        <tr r="Q52" s="1"/>
      </tp>
      <tp t="s">
        <v>2026/09/29</v>
        <stp/>
        <stp>Market</stp>
        <stp>STOCK</stp>
        <stp>20530.T</stp>
        <stp>中配落日</stp>
        <tr r="Q51" s="1"/>
      </tp>
      <tp t="s">
        <v>2026/11/27</v>
        <stp/>
        <stp>Market</stp>
        <stp>STOCK</stp>
        <stp>205A0.T</stp>
        <stp>中配落日</stp>
        <tr r="Q53" s="1"/>
      </tp>
    </main>
    <main first="rtdsrv.b2353dc584914e4193ea525a6339afd4">
      <tp t="s">
        <v>2026/02/09</v>
        <stp/>
        <stp>Market</stp>
        <stp>STOCK</stp>
        <stp>21170.T</stp>
        <stp>決算発表日</stp>
        <tr r="S61" s="1"/>
      </tp>
      <tp t="s">
        <v>2026/02/05</v>
        <stp/>
        <stp>Market</stp>
        <stp>STOCK</stp>
        <stp>23170.T</stp>
        <stp>決算発表日</stp>
        <tr r="S147" s="1"/>
      </tp>
      <tp t="s">
        <v>2026/03/13</v>
        <stp/>
        <stp>Market</stp>
        <stp>STOCK</stp>
        <stp>22170.T</stp>
        <stp>決算発表日</stp>
        <tr r="S116" s="1"/>
      </tp>
    </main>
    <main first="rtdsrv.b2353dc584914e4193ea525a6339afd4">
      <tp t="s">
        <v>2026/02/13</v>
        <stp/>
        <stp>Market</stp>
        <stp>STOCK</stp>
        <stp>22160.T</stp>
        <stp>決算発表日</stp>
        <tr r="S115" s="1"/>
      </tp>
      <tp t="s">
        <v>2026/03/17</v>
        <stp/>
        <stp>Market</stp>
        <stp>STOCK</stp>
        <stp>23150.T</stp>
        <stp>決算発表日</stp>
        <tr r="S146" s="1"/>
      </tp>
      <tp t="s">
        <v>2026/02/13</v>
        <stp/>
        <stp>Market</stp>
        <stp>STOCK</stp>
        <stp>22150.T</stp>
        <stp>決算発表日</stp>
        <tr r="S114" s="1"/>
      </tp>
      <tp t="s">
        <v>-</v>
        <stp/>
        <stp>Market</stp>
        <stp>STOCK</stp>
        <stp>21140.T</stp>
        <stp>決算発表日</stp>
        <tr r="S60" s="1"/>
      </tp>
      <tp t="s">
        <v>2026/02/06</v>
        <stp/>
        <stp>Market</stp>
        <stp>STOCK</stp>
        <stp>21120.T</stp>
        <stp>決算発表日</stp>
        <tr r="S59" s="1"/>
      </tp>
      <tp t="s">
        <v>2026/02/12</v>
        <stp/>
        <stp>Market</stp>
        <stp>STOCK</stp>
        <stp>22120.T</stp>
        <stp>決算発表日</stp>
        <tr r="S113" s="1"/>
      </tp>
      <tp t="s">
        <v>2026/02/12</v>
        <stp/>
        <stp>Market</stp>
        <stp>STOCK</stp>
        <stp>23110.T</stp>
        <stp>決算発表日</stp>
        <tr r="S145" s="1"/>
      </tp>
      <tp t="s">
        <v>2026/02/10</v>
        <stp/>
        <stp>Market</stp>
        <stp>STOCK</stp>
        <stp>22110.T</stp>
        <stp>決算発表日</stp>
        <tr r="S112" s="1"/>
      </tp>
    </main>
    <main first="rtdsrv.b2353dc584914e4193ea525a6339afd4">
      <tp t="s">
        <v>-</v>
        <stp/>
        <stp>Market</stp>
        <stp>STOCK</stp>
        <stp>192A0.T</stp>
        <stp>決算発表日</stp>
        <tr r="S5" s="1"/>
      </tp>
      <tp t="s">
        <v>2026/03/13</v>
        <stp/>
        <stp>Market</stp>
        <stp>STOCK</stp>
        <stp>212A0.T</stp>
        <stp>決算発表日</stp>
        <tr r="S68" s="1"/>
      </tp>
      <tp t="s">
        <v>2026/02/12</v>
        <stp/>
        <stp>Market</stp>
        <stp>STOCK</stp>
        <stp>202A0.T</stp>
        <stp>決算発表日</stp>
        <tr r="S50" s="1"/>
      </tp>
    </main>
    <main first="rtdsrv.b2353dc584914e4193ea525a6339afd4">
      <tp t="s">
        <v>2026/06/29</v>
        <stp/>
        <stp>Market</stp>
        <stp>STOCK</stp>
        <stp>23250.T</stp>
        <stp>中配落日</stp>
        <tr r="Q150" s="1"/>
      </tp>
      <tp t="s">
        <v>2026/09/29</v>
        <stp/>
        <stp>Market</stp>
        <stp>STOCK</stp>
        <stp>23260.T</stp>
        <stp>中配落日</stp>
        <tr r="Q151" s="1"/>
      </tp>
      <tp t="s">
        <v>2026/09/29</v>
        <stp/>
        <stp>Market</stp>
        <stp>STOCK</stp>
        <stp>23210.T</stp>
        <stp>中配落日</stp>
        <tr r="Q148" s="1"/>
      </tp>
      <tp t="s">
        <v>2026/09/29</v>
        <stp/>
        <stp>Market</stp>
        <stp>STOCK</stp>
        <stp>23230.T</stp>
        <stp>中配落日</stp>
        <tr r="Q149" s="1"/>
      </tp>
      <tp t="s">
        <v>2026/03/30</v>
        <stp/>
        <stp>Market</stp>
        <stp>STOCK</stp>
        <stp>23040.T</stp>
        <stp>中配落日</stp>
        <tr r="Q142" s="1"/>
      </tp>
      <tp t="s">
        <v>2026/08/28</v>
        <stp/>
        <stp>Market</stp>
        <stp>STOCK</stp>
        <stp>23050.T</stp>
        <stp>中配落日</stp>
        <tr r="Q143" s="1"/>
      </tp>
      <tp t="s">
        <v>2026/09/29</v>
        <stp/>
        <stp>Market</stp>
        <stp>STOCK</stp>
        <stp>23070.T</stp>
        <stp>中配落日</stp>
        <tr r="Q144" s="1"/>
      </tp>
      <tp t="s">
        <v>2026/08/28</v>
        <stp/>
        <stp>Market</stp>
        <stp>STOCK</stp>
        <stp>23000.T</stp>
        <stp>中配落日</stp>
        <tr r="Q139" s="1"/>
      </tp>
      <tp t="s">
        <v>2026/04/28</v>
        <stp/>
        <stp>Market</stp>
        <stp>STOCK</stp>
        <stp>23010.T</stp>
        <stp>中配落日</stp>
        <tr r="Q140" s="1"/>
      </tp>
      <tp t="s">
        <v>2026/11/27</v>
        <stp/>
        <stp>Market</stp>
        <stp>STOCK</stp>
        <stp>23030.T</stp>
        <stp>中配落日</stp>
        <tr r="Q141" s="1"/>
      </tp>
      <tp t="s">
        <v>2026/04/28</v>
        <stp/>
        <stp>Market</stp>
        <stp>STOCK</stp>
        <stp>23150.T</stp>
        <stp>中配落日</stp>
        <tr r="Q146" s="1"/>
      </tp>
      <tp t="s">
        <v>2026/09/29</v>
        <stp/>
        <stp>Market</stp>
        <stp>STOCK</stp>
        <stp>23170.T</stp>
        <stp>中配落日</stp>
        <tr r="Q147" s="1"/>
      </tp>
      <tp t="s">
        <v>2026/06/29</v>
        <stp/>
        <stp>Market</stp>
        <stp>STOCK</stp>
        <stp>23110.T</stp>
        <stp>中配落日</stp>
        <tr r="Q145" s="1"/>
      </tp>
    </main>
    <main first="rtdsrv.b2353dc584914e4193ea525a6339afd4">
      <tp t="s">
        <v>-</v>
        <stp/>
        <stp>Market</stp>
        <stp>STOCK</stp>
        <stp>21270.T</stp>
        <stp>決算発表日</stp>
        <tr r="S67" s="1"/>
      </tp>
    </main>
    <main first="rtdsrv.b2353dc584914e4193ea525a6339afd4">
      <tp t="s">
        <v>2026/02/05</v>
        <stp/>
        <stp>Market</stp>
        <stp>STOCK</stp>
        <stp>19260.T</stp>
        <stp>決算発表日</stp>
        <tr r="S2" s="1"/>
      </tp>
      <tp t="s">
        <v>-</v>
        <stp/>
        <stp>Market</stp>
        <stp>STOCK</stp>
        <stp>23260.T</stp>
        <stp>決算発表日</stp>
        <tr r="S151" s="1"/>
      </tp>
      <tp t="s">
        <v>-</v>
        <stp/>
        <stp>Market</stp>
        <stp>STOCK</stp>
        <stp>22260.T</stp>
        <stp>決算発表日</stp>
        <tr r="S121" s="1"/>
      </tp>
      <tp t="s">
        <v>2026/02/13</v>
        <stp/>
        <stp>Market</stp>
        <stp>STOCK</stp>
        <stp>23250.T</stp>
        <stp>決算発表日</stp>
        <tr r="S150" s="1"/>
      </tp>
      <tp t="s">
        <v>2026/02/13</v>
        <stp/>
        <stp>Market</stp>
        <stp>STOCK</stp>
        <stp>21240.T</stp>
        <stp>決算発表日</stp>
        <tr r="S66" s="1"/>
      </tp>
      <tp t="s">
        <v>-</v>
        <stp/>
        <stp>Market</stp>
        <stp>STOCK</stp>
        <stp>22240.T</stp>
        <stp>決算発表日</stp>
        <tr r="S120" s="1"/>
      </tp>
      <tp t="s">
        <v>2026/02/13</v>
        <stp/>
        <stp>Market</stp>
        <stp>STOCK</stp>
        <stp>23230.T</stp>
        <stp>決算発表日</stp>
        <tr r="S149" s="1"/>
      </tp>
      <tp t="s">
        <v>2026/02/10</v>
        <stp/>
        <stp>Market</stp>
        <stp>STOCK</stp>
        <stp>21220.T</stp>
        <stp>決算発表日</stp>
        <tr r="S65" s="1"/>
      </tp>
      <tp t="s">
        <v>-</v>
        <stp/>
        <stp>Market</stp>
        <stp>STOCK</stp>
        <stp>22220.T</stp>
        <stp>決算発表日</stp>
        <tr r="S119" s="1"/>
      </tp>
      <tp t="s">
        <v>-</v>
        <stp/>
        <stp>Market</stp>
        <stp>STOCK</stp>
        <stp>21210.T</stp>
        <stp>決算発表日</stp>
        <tr r="S64" s="1"/>
      </tp>
      <tp t="s">
        <v>2026/02/12</v>
        <stp/>
        <stp>Market</stp>
        <stp>STOCK</stp>
        <stp>23210.T</stp>
        <stp>決算発表日</stp>
        <tr r="S148" s="1"/>
      </tp>
      <tp t="s">
        <v>2026/02/12</v>
        <stp/>
        <stp>Market</stp>
        <stp>STOCK</stp>
        <stp>22210.T</stp>
        <stp>決算発表日</stp>
        <tr r="S118" s="1"/>
      </tp>
      <tp t="s">
        <v>2026/02/12</v>
        <stp/>
        <stp>Market</stp>
        <stp>STOCK</stp>
        <stp>21200.T</stp>
        <stp>決算発表日</stp>
        <tr r="S63" s="1"/>
      </tp>
      <tp t="s">
        <v>-</v>
        <stp/>
        <stp>Market</stp>
        <stp>STOCK</stp>
        <stp>22200.T</stp>
        <stp>決算発表日</stp>
        <tr r="S117" s="1"/>
      </tp>
    </main>
    <main first="rtdsrv.b2353dc584914e4193ea525a6339afd4">
      <tp t="s">
        <v>2026/02/09</v>
        <stp/>
        <stp>Market</stp>
        <stp>STOCK</stp>
        <stp>19290.T</stp>
        <stp>決算発表日</stp>
        <tr r="S4" s="1"/>
      </tp>
      <tp t="s">
        <v>-</v>
        <stp/>
        <stp>Market</stp>
        <stp>STOCK</stp>
        <stp>22290.T</stp>
        <stp>決算発表日</stp>
        <tr r="S122" s="1"/>
      </tp>
      <tp t="s">
        <v>2026/03/05</v>
        <stp/>
        <stp>Market</stp>
        <stp>STOCK</stp>
        <stp>19280.T</stp>
        <stp>決算発表日</stp>
        <tr r="S3" s="1"/>
      </tp>
    </main>
    <main first="rtdsrv.b2353dc584914e4193ea525a6339afd4">
      <tp t="s">
        <v/>
        <stp/>
        <stp>Market</stp>
        <stp>STOCK</stp>
        <stp>22880.T</stp>
        <stp>中配落日</stp>
        <tr r="Q132" s="1"/>
      </tp>
      <tp t="s">
        <v/>
        <stp/>
        <stp>Market</stp>
        <stp>STOCK</stp>
        <stp>22860.T</stp>
        <stp>中配落日</stp>
        <tr r="Q131" s="1"/>
      </tp>
      <tp t="s">
        <v>2026/09/29</v>
        <stp/>
        <stp>Market</stp>
        <stp>STOCK</stp>
        <stp>22810.T</stp>
        <stp>中配落日</stp>
        <tr r="Q129" s="1"/>
      </tp>
      <tp t="s">
        <v/>
        <stp/>
        <stp>Market</stp>
        <stp>STOCK</stp>
        <stp>22820.T</stp>
        <stp>中配落日</stp>
        <tr r="Q130" s="1"/>
      </tp>
      <tp t="s">
        <v>2026/05/28</v>
        <stp/>
        <stp>Market</stp>
        <stp>STOCK</stp>
        <stp>228A0.T</stp>
        <stp>中配落日</stp>
        <tr r="Q133" s="1"/>
      </tp>
      <tp t="s">
        <v>2026/10/29</v>
        <stp/>
        <stp>Market</stp>
        <stp>STOCK</stp>
        <stp>22940.T</stp>
        <stp>中配落日</stp>
        <tr r="Q137" s="1"/>
      </tp>
      <tp t="s">
        <v>2026/09/29</v>
        <stp/>
        <stp>Market</stp>
        <stp>STOCK</stp>
        <stp>22960.T</stp>
        <stp>中配落日</stp>
        <tr r="Q138" s="1"/>
      </tp>
      <tp t="s">
        <v>2026/09/29</v>
        <stp/>
        <stp>Market</stp>
        <stp>STOCK</stp>
        <stp>22910.T</stp>
        <stp>中配落日</stp>
        <tr r="Q134" s="1"/>
      </tp>
      <tp t="s">
        <v>2026/08/28</v>
        <stp/>
        <stp>Market</stp>
        <stp>STOCK</stp>
        <stp>22920.T</stp>
        <stp>中配落日</stp>
        <tr r="Q135" s="1"/>
      </tp>
      <tp t="s">
        <v>2026/09/29</v>
        <stp/>
        <stp>Market</stp>
        <stp>STOCK</stp>
        <stp>22930.T</stp>
        <stp>中配落日</stp>
        <tr r="Q136" s="1"/>
      </tp>
      <tp t="s">
        <v>2026/09/29</v>
        <stp/>
        <stp>Market</stp>
        <stp>STOCK</stp>
        <stp>22290.T</stp>
        <stp>中配落日</stp>
        <tr r="Q122" s="1"/>
      </tp>
      <tp t="s">
        <v>2026/09/29</v>
        <stp/>
        <stp>Market</stp>
        <stp>STOCK</stp>
        <stp>22240.T</stp>
        <stp>中配落日</stp>
        <tr r="Q120" s="1"/>
      </tp>
      <tp t="s">
        <v>2026/09/29</v>
        <stp/>
        <stp>Market</stp>
        <stp>STOCK</stp>
        <stp>22260.T</stp>
        <stp>中配落日</stp>
        <tr r="Q121" s="1"/>
      </tp>
      <tp t="s">
        <v>2026/09/29</v>
        <stp/>
        <stp>Market</stp>
        <stp>STOCK</stp>
        <stp>22200.T</stp>
        <stp>中配落日</stp>
        <tr r="Q117" s="1"/>
      </tp>
      <tp t="s">
        <v>2026/09/29</v>
        <stp/>
        <stp>Market</stp>
        <stp>STOCK</stp>
        <stp>22210.T</stp>
        <stp>中配落日</stp>
        <tr r="Q118" s="1"/>
      </tp>
      <tp t="s">
        <v>2026/09/29</v>
        <stp/>
        <stp>Market</stp>
        <stp>STOCK</stp>
        <stp>22220.T</stp>
        <stp>中配落日</stp>
        <tr r="Q119" s="1"/>
      </tp>
      <tp t="s">
        <v>2026/09/29</v>
        <stp/>
        <stp>Market</stp>
        <stp>STOCK</stp>
        <stp>22080.T</stp>
        <stp>中配落日</stp>
        <tr r="Q109" s="1"/>
      </tp>
      <tp t="s">
        <v>2026/09/29</v>
        <stp/>
        <stp>Market</stp>
        <stp>STOCK</stp>
        <stp>22090.T</stp>
        <stp>中配落日</stp>
        <tr r="Q110" s="1"/>
      </tp>
      <tp t="s">
        <v/>
        <stp/>
        <stp>Market</stp>
        <stp>STOCK</stp>
        <stp>22040.T</stp>
        <stp>中配落日</stp>
        <tr r="Q106" s="1"/>
      </tp>
      <tp t="s">
        <v>2026/06/29</v>
        <stp/>
        <stp>Market</stp>
        <stp>STOCK</stp>
        <stp>22060.T</stp>
        <stp>中配落日</stp>
        <tr r="Q107" s="1"/>
      </tp>
      <tp t="s">
        <v>2026/09/29</v>
        <stp/>
        <stp>Market</stp>
        <stp>STOCK</stp>
        <stp>22070.T</stp>
        <stp>中配落日</stp>
        <tr r="Q108" s="1"/>
      </tp>
      <tp t="s">
        <v>2026/09/29</v>
        <stp/>
        <stp>Market</stp>
        <stp>STOCK</stp>
        <stp>22010.T</stp>
        <stp>中配落日</stp>
        <tr r="Q105" s="1"/>
      </tp>
      <tp t="s">
        <v>2026/03/30</v>
        <stp/>
        <stp>Market</stp>
        <stp>STOCK</stp>
        <stp>220A0.T</stp>
        <stp>中配落日</stp>
        <tr r="Q111" s="1"/>
      </tp>
      <tp t="s">
        <v>2026/06/29</v>
        <stp/>
        <stp>Market</stp>
        <stp>STOCK</stp>
        <stp>22150.T</stp>
        <stp>中配落日</stp>
        <tr r="Q114" s="1"/>
      </tp>
      <tp t="s">
        <v>2026/06/29</v>
        <stp/>
        <stp>Market</stp>
        <stp>STOCK</stp>
        <stp>22160.T</stp>
        <stp>中配落日</stp>
        <tr r="Q115" s="1"/>
      </tp>
      <tp t="s">
        <v>2026/07/30</v>
        <stp/>
        <stp>Market</stp>
        <stp>STOCK</stp>
        <stp>22170.T</stp>
        <stp>中配落日</stp>
        <tr r="Q116" s="1"/>
      </tp>
      <tp t="s">
        <v>2026/06/29</v>
        <stp/>
        <stp>Market</stp>
        <stp>STOCK</stp>
        <stp>22110.T</stp>
        <stp>中配落日</stp>
        <tr r="Q112" s="1"/>
      </tp>
      <tp t="s">
        <v/>
        <stp/>
        <stp>Market</stp>
        <stp>STOCK</stp>
        <stp>22120.T</stp>
        <stp>中配落日</stp>
        <tr r="Q113" s="1"/>
      </tp>
      <tp t="s">
        <v>2026/06/29</v>
        <stp/>
        <stp>Market</stp>
        <stp>STOCK</stp>
        <stp>22680.T</stp>
        <stp>中配落日</stp>
        <tr r="Q126" s="1"/>
      </tp>
      <tp t="s">
        <v>2026/09/29</v>
        <stp/>
        <stp>Market</stp>
        <stp>STOCK</stp>
        <stp>22690.T</stp>
        <stp>中配落日</stp>
        <tr r="Q127" s="1"/>
      </tp>
      <tp t="s">
        <v>2026/09/29</v>
        <stp/>
        <stp>Market</stp>
        <stp>STOCK</stp>
        <stp>22640.T</stp>
        <stp>中配落日</stp>
        <tr r="Q123" s="1"/>
      </tp>
      <tp t="s">
        <v>2026/06/29</v>
        <stp/>
        <stp>Market</stp>
        <stp>STOCK</stp>
        <stp>22660.T</stp>
        <stp>中配落日</stp>
        <tr r="Q124" s="1"/>
      </tp>
      <tp t="s">
        <v>2026/09/29</v>
        <stp/>
        <stp>Market</stp>
        <stp>STOCK</stp>
        <stp>22670.T</stp>
        <stp>中配落日</stp>
        <tr r="Q125" s="1"/>
      </tp>
      <tp t="s">
        <v/>
        <stp/>
        <stp>Market</stp>
        <stp>STOCK</stp>
        <stp>22700.T</stp>
        <stp>中配落日</stp>
        <tr r="Q128" s="1"/>
      </tp>
    </main>
    <main first="rtdsrv.b2353dc584914e4193ea525a6339afd4">
      <tp t="s">
        <v>-</v>
        <stp/>
        <stp>Market</stp>
        <stp>STOCK</stp>
        <stp>21360.T</stp>
        <stp>決算発表日</stp>
        <tr r="S71" s="1"/>
      </tp>
      <tp t="s">
        <v>-</v>
        <stp/>
        <stp>Market</stp>
        <stp>STOCK</stp>
        <stp>19340.T</stp>
        <stp>決算発表日</stp>
        <tr r="S7" s="1"/>
      </tp>
      <tp t="s">
        <v>2026/02/16</v>
        <stp/>
        <stp>Market</stp>
        <stp>STOCK</stp>
        <stp>21340.T</stp>
        <stp>決算発表日</stp>
        <tr r="S70" s="1"/>
      </tp>
      <tp t="s">
        <v>-</v>
        <stp/>
        <stp>Market</stp>
        <stp>STOCK</stp>
        <stp>19300.T</stp>
        <stp>決算発表日</stp>
        <tr r="S6" s="1"/>
      </tp>
      <tp t="s">
        <v>-</v>
        <stp/>
        <stp>Market</stp>
        <stp>STOCK</stp>
        <stp>21300.T</stp>
        <stp>決算発表日</stp>
        <tr r="S69" s="1"/>
      </tp>
    </main>
    <main first="rtdsrv.b2353dc584914e4193ea525a6339afd4">
      <tp t="s">
        <v>-</v>
        <stp/>
        <stp>Market</stp>
        <stp>STOCK</stp>
        <stp>19390.T</stp>
        <stp>決算発表日</stp>
        <tr r="S9" s="1"/>
      </tp>
      <tp t="s">
        <v>-</v>
        <stp/>
        <stp>Market</stp>
        <stp>STOCK</stp>
        <stp>21390.T</stp>
        <stp>決算発表日</stp>
        <tr r="S73" s="1"/>
      </tp>
    </main>
    <main first="rtdsrv.b2353dc584914e4193ea525a6339afd4">
      <tp t="s">
        <v>2026/02/12</v>
        <stp/>
        <stp>Market</stp>
        <stp>STOCK</stp>
        <stp>19380.T</stp>
        <stp>決算発表日</stp>
        <tr r="S8" s="1"/>
      </tp>
      <tp t="s">
        <v>2026/02/10</v>
        <stp/>
        <stp>Market</stp>
        <stp>STOCK</stp>
        <stp>21380.T</stp>
        <stp>決算発表日</stp>
        <tr r="S72" s="1"/>
      </tp>
      <tp t="s">
        <v>2026/02/13</v>
        <stp/>
        <stp>Market</stp>
        <stp>STOCK</stp>
        <stp>194A0.T</stp>
        <stp>決算発表日</stp>
        <tr r="S17" s="1"/>
      </tp>
    </main>
    <main first="rtdsrv.b2353dc584914e4193ea525a6339afd4">
      <tp t="s">
        <v>-</v>
        <stp/>
        <stp>Market</stp>
        <stp>STOCK</stp>
        <stp>19460.T</stp>
        <stp>決算発表日</stp>
        <tr r="S14" s="1"/>
      </tp>
      <tp t="s">
        <v>2026/02/12</v>
        <stp/>
        <stp>Market</stp>
        <stp>STOCK</stp>
        <stp>21460.T</stp>
        <stp>決算発表日</stp>
        <tr r="S74" s="1"/>
      </tp>
      <tp t="s">
        <v>2026/02/06</v>
        <stp/>
        <stp>Market</stp>
        <stp>STOCK</stp>
        <stp>19450.T</stp>
        <stp>決算発表日</stp>
        <tr r="S13" s="1"/>
      </tp>
      <tp t="s">
        <v>-</v>
        <stp/>
        <stp>Market</stp>
        <stp>STOCK</stp>
        <stp>19440.T</stp>
        <stp>決算発表日</stp>
        <tr r="S12" s="1"/>
      </tp>
      <tp t="s">
        <v>-</v>
        <stp/>
        <stp>Market</stp>
        <stp>STOCK</stp>
        <stp>19420.T</stp>
        <stp>決算発表日</stp>
        <tr r="S11" s="1"/>
      </tp>
      <tp t="s">
        <v>-</v>
        <stp/>
        <stp>Market</stp>
        <stp>STOCK</stp>
        <stp>19410.T</stp>
        <stp>決算発表日</stp>
        <tr r="S10" s="1"/>
      </tp>
    </main>
    <main first="rtdsrv.b2353dc584914e4193ea525a6339afd4">
      <tp t="s">
        <v>-</v>
        <stp/>
        <stp>Market</stp>
        <stp>STOCK</stp>
        <stp>19490.T</stp>
        <stp>決算発表日</stp>
        <tr r="S16" s="1"/>
      </tp>
    </main>
    <main first="rtdsrv.b2353dc584914e4193ea525a6339afd4">
      <tp t="s">
        <v>-</v>
        <stp/>
        <stp>Market</stp>
        <stp>STOCK</stp>
        <stp>19480.T</stp>
        <stp>決算発表日</stp>
        <tr r="S15" s="1"/>
      </tp>
      <tp t="s">
        <v>2026/02/06</v>
        <stp/>
        <stp>Market</stp>
        <stp>STOCK</stp>
        <stp>21480.T</stp>
        <stp>決算発表日</stp>
        <tr r="S75" s="1"/>
      </tp>
      <tp>
        <v>4385</v>
        <stp/>
        <stp>Market</stp>
        <stp>STOCK</stp>
        <stp>219A0.T</stp>
        <stp>上場来高値</stp>
        <tr r="V104" s="1"/>
      </tp>
      <tp>
        <v>4385</v>
        <stp/>
        <stp>Market</stp>
        <stp>STOCK</stp>
        <stp>219A0.T</stp>
        <stp>年初来高値</stp>
        <tr r="T104" s="1"/>
      </tp>
      <tp>
        <v>1320</v>
        <stp/>
        <stp>Market</stp>
        <stp>STOCK</stp>
        <stp>22910.T</stp>
        <stp>年初来高値</stp>
        <tr r="T134" s="1"/>
      </tp>
      <tp>
        <v>3285</v>
        <stp/>
        <stp>Market</stp>
        <stp>STOCK</stp>
        <stp>22920.T</stp>
        <stp>年初来高値</stp>
        <tr r="T135" s="1"/>
      </tp>
      <tp>
        <v>2930</v>
        <stp/>
        <stp>Market</stp>
        <stp>STOCK</stp>
        <stp>19920.T</stp>
        <stp>年初来高値</stp>
        <tr r="T42" s="1"/>
      </tp>
      <tp>
        <v>3080</v>
        <stp/>
        <stp>Market</stp>
        <stp>STOCK</stp>
        <stp>22930.T</stp>
        <stp>年初来高値</stp>
        <tr r="T136" s="1"/>
      </tp>
      <tp>
        <v>233</v>
        <stp/>
        <stp>Market</stp>
        <stp>STOCK</stp>
        <stp>21930.T</stp>
        <stp>年初来高値</stp>
        <tr r="T100" s="1"/>
      </tp>
      <tp>
        <v>3185</v>
        <stp/>
        <stp>Market</stp>
        <stp>STOCK</stp>
        <stp>22940.T</stp>
        <stp>年初来高値</stp>
        <tr r="T137" s="1"/>
      </tp>
      <tp>
        <v>621</v>
        <stp/>
        <stp>Market</stp>
        <stp>STOCK</stp>
        <stp>19940.T</stp>
        <stp>年初来高値</stp>
        <tr r="T43" s="1"/>
      </tp>
      <tp>
        <v>500</v>
        <stp/>
        <stp>Market</stp>
        <stp>STOCK</stp>
        <stp>21950.T</stp>
        <stp>年初来高値</stp>
        <tr r="T101" s="1"/>
      </tp>
      <tp>
        <v>6480</v>
        <stp/>
        <stp>Market</stp>
        <stp>STOCK</stp>
        <stp>22960.T</stp>
        <stp>年初来高値</stp>
        <tr r="T138" s="1"/>
      </tp>
      <tp>
        <v>407</v>
        <stp/>
        <stp>Market</stp>
        <stp>STOCK</stp>
        <stp>21960.T</stp>
        <stp>年初来高値</stp>
        <tr r="T102" s="1"/>
      </tp>
      <tp>
        <v>4435</v>
        <stp/>
        <stp>Market</stp>
        <stp>STOCK</stp>
        <stp>19970.T</stp>
        <stp>年初来高値</stp>
        <tr r="T44" s="1"/>
      </tp>
      <tp>
        <v>854</v>
        <stp/>
        <stp>Market</stp>
        <stp>STOCK</stp>
        <stp>21980.T</stp>
        <stp>年初来高値</stp>
        <tr r="T103" s="1"/>
      </tp>
      <tp>
        <v>2620</v>
        <stp/>
        <stp>Market</stp>
        <stp>STOCK</stp>
        <stp>22910.T</stp>
        <stp>上場来高値</stp>
        <tr r="V134" s="1"/>
      </tp>
      <tp>
        <v>5300</v>
        <stp/>
        <stp>Market</stp>
        <stp>STOCK</stp>
        <stp>22920.T</stp>
        <stp>上場来高値</stp>
        <tr r="V135" s="1"/>
      </tp>
      <tp>
        <v>3900</v>
        <stp/>
        <stp>Market</stp>
        <stp>STOCK</stp>
        <stp>19920.T</stp>
        <stp>上場来高値</stp>
        <tr r="V42" s="1"/>
      </tp>
      <tp>
        <v>3995</v>
        <stp/>
        <stp>Market</stp>
        <stp>STOCK</stp>
        <stp>22930.T</stp>
        <stp>上場来高値</stp>
        <tr r="V136" s="1"/>
      </tp>
      <tp>
        <v>39100</v>
        <stp/>
        <stp>Market</stp>
        <stp>STOCK</stp>
        <stp>21930.T</stp>
        <stp>上場来高値</stp>
        <tr r="V100" s="1"/>
      </tp>
      <tp>
        <v>3540</v>
        <stp/>
        <stp>Market</stp>
        <stp>STOCK</stp>
        <stp>22940.T</stp>
        <stp>上場来高値</stp>
        <tr r="V137" s="1"/>
      </tp>
      <tp>
        <v>22600</v>
        <stp/>
        <stp>Market</stp>
        <stp>STOCK</stp>
        <stp>19940.T</stp>
        <stp>上場来高値</stp>
        <tr r="V43" s="1"/>
      </tp>
      <tp>
        <v>23650</v>
        <stp/>
        <stp>Market</stp>
        <stp>STOCK</stp>
        <stp>21950.T</stp>
        <stp>上場来高値</stp>
        <tr r="V101" s="1"/>
      </tp>
      <tp>
        <v>6480</v>
        <stp/>
        <stp>Market</stp>
        <stp>STOCK</stp>
        <stp>22960.T</stp>
        <stp>上場来高値</stp>
        <tr r="V138" s="1"/>
      </tp>
      <tp>
        <v>2595</v>
        <stp/>
        <stp>Market</stp>
        <stp>STOCK</stp>
        <stp>21960.T</stp>
        <stp>上場来高値</stp>
        <tr r="V102" s="1"/>
      </tp>
      <tp>
        <v>4435</v>
        <stp/>
        <stp>Market</stp>
        <stp>STOCK</stp>
        <stp>19970.T</stp>
        <stp>上場来高値</stp>
        <tr r="V44" s="1"/>
      </tp>
      <tp>
        <v>1728</v>
        <stp/>
        <stp>Market</stp>
        <stp>STOCK</stp>
        <stp>21980.T</stp>
        <stp>上場来高値</stp>
        <tr r="V103" s="1"/>
      </tp>
      <tp t="s">
        <v>2026/02/12</v>
        <stp/>
        <stp>Market</stp>
        <stp>STOCK</stp>
        <stp>195A0.T</stp>
        <stp>決算発表日</stp>
        <tr r="S22" s="1"/>
      </tp>
      <tp t="s">
        <v>2026/03/12</v>
        <stp/>
        <stp>Market</stp>
        <stp>STOCK</stp>
        <stp>215A0.T</stp>
        <stp>決算発表日</stp>
        <tr r="S83" s="1"/>
      </tp>
      <tp t="s">
        <v>-</v>
        <stp/>
        <stp>Market</stp>
        <stp>STOCK</stp>
        <stp>205A0.T</stp>
        <stp>決算発表日</stp>
        <tr r="S53" s="1"/>
      </tp>
      <tp>
        <v>249</v>
        <stp/>
        <stp>Market</stp>
        <stp>STOCK</stp>
        <stp>196A0.T</stp>
        <stp>現在値</stp>
        <tr r="E32" s="1"/>
      </tp>
      <tp>
        <v>2257.5</v>
        <stp/>
        <stp>Market</stp>
        <stp>STOCK</stp>
        <stp>19630.T</stp>
        <stp>現在値</stp>
        <tr r="E25" s="1"/>
      </tp>
      <tp>
        <v>7310</v>
        <stp/>
        <stp>Market</stp>
        <stp>STOCK</stp>
        <stp>19610.T</stp>
        <stp>現在値</stp>
        <tr r="E24" s="1"/>
      </tp>
      <tp>
        <v>1524</v>
        <stp/>
        <stp>Market</stp>
        <stp>STOCK</stp>
        <stp>19600.T</stp>
        <stp>現在値</stp>
        <tr r="E23" s="1"/>
      </tp>
      <tp>
        <v>2333</v>
        <stp/>
        <stp>Market</stp>
        <stp>STOCK</stp>
        <stp>19670.T</stp>
        <stp>現在値</stp>
        <tr r="E29" s="1"/>
      </tp>
      <tp>
        <v>1879</v>
        <stp/>
        <stp>Market</stp>
        <stp>STOCK</stp>
        <stp>19660.T</stp>
        <stp>現在値</stp>
        <tr r="E28" s="1"/>
      </tp>
      <tp>
        <v>6960</v>
        <stp/>
        <stp>Market</stp>
        <stp>STOCK</stp>
        <stp>19650.T</stp>
        <stp>現在値</stp>
        <tr r="E27" s="1"/>
      </tp>
      <tp>
        <v>4800</v>
        <stp/>
        <stp>Market</stp>
        <stp>STOCK</stp>
        <stp>19640.T</stp>
        <stp>現在値</stp>
        <tr r="E26" s="1"/>
      </tp>
      <tp>
        <v>5072</v>
        <stp/>
        <stp>Market</stp>
        <stp>STOCK</stp>
        <stp>19690.T</stp>
        <stp>現在値</stp>
        <tr r="E31" s="1"/>
      </tp>
      <tp>
        <v>2929</v>
        <stp/>
        <stp>Market</stp>
        <stp>STOCK</stp>
        <stp>19680.T</stp>
        <stp>現在値</stp>
        <tr r="E30" s="1"/>
      </tp>
      <tp>
        <v>538</v>
        <stp/>
        <stp>Market</stp>
        <stp>STOCK</stp>
        <stp>197A0.T</stp>
        <stp>現在値</stp>
        <tr r="E37" s="1"/>
      </tp>
      <tp>
        <v>1430</v>
        <stp/>
        <stp>Market</stp>
        <stp>STOCK</stp>
        <stp>19720.T</stp>
        <stp>現在値</stp>
        <tr r="E33" s="1"/>
      </tp>
      <tp>
        <v>1919</v>
        <stp/>
        <stp>Market</stp>
        <stp>STOCK</stp>
        <stp>19760.T</stp>
        <stp>現在値</stp>
        <tr r="E35" s="1"/>
      </tp>
      <tp>
        <v>4295</v>
        <stp/>
        <stp>Market</stp>
        <stp>STOCK</stp>
        <stp>19750.T</stp>
        <stp>現在値</stp>
        <tr r="E34" s="1"/>
      </tp>
      <tp>
        <v>3670</v>
        <stp/>
        <stp>Market</stp>
        <stp>STOCK</stp>
        <stp>19790.T</stp>
        <stp>現在値</stp>
        <tr r="E36" s="1"/>
      </tp>
      <tp>
        <v>1810</v>
        <stp/>
        <stp>Market</stp>
        <stp>STOCK</stp>
        <stp>194A0.T</stp>
        <stp>現在値</stp>
        <tr r="E17" s="1"/>
      </tp>
      <tp>
        <v>6579</v>
        <stp/>
        <stp>Market</stp>
        <stp>STOCK</stp>
        <stp>19420.T</stp>
        <stp>現在値</stp>
        <tr r="E11" s="1"/>
      </tp>
      <tp>
        <v>4800</v>
        <stp/>
        <stp>Market</stp>
        <stp>STOCK</stp>
        <stp>19410.T</stp>
        <stp>現在値</stp>
        <tr r="E10" s="1"/>
      </tp>
      <tp>
        <v>2195</v>
        <stp/>
        <stp>Market</stp>
        <stp>STOCK</stp>
        <stp>19460.T</stp>
        <stp>現在値</stp>
        <tr r="E14" s="1"/>
      </tp>
      <tp>
        <v>1907</v>
        <stp/>
        <stp>Market</stp>
        <stp>STOCK</stp>
        <stp>19450.T</stp>
        <stp>現在値</stp>
        <tr r="E13" s="1"/>
      </tp>
      <tp>
        <v>8164</v>
        <stp/>
        <stp>Market</stp>
        <stp>STOCK</stp>
        <stp>19440.T</stp>
        <stp>現在値</stp>
        <tr r="E12" s="1"/>
      </tp>
      <tp>
        <v>0</v>
        <stp/>
        <stp>Market</stp>
        <stp>STOCK</stp>
        <stp>19490.T</stp>
        <stp>現在値</stp>
        <tr r="E16" s="1"/>
      </tp>
      <tp>
        <v>6730</v>
        <stp/>
        <stp>Market</stp>
        <stp>STOCK</stp>
        <stp>19480.T</stp>
        <stp>現在値</stp>
        <tr r="E15" s="1"/>
      </tp>
      <tp>
        <v>1140</v>
        <stp/>
        <stp>Market</stp>
        <stp>STOCK</stp>
        <stp>195A0.T</stp>
        <stp>現在値</stp>
        <tr r="E22" s="1"/>
      </tp>
      <tp>
        <v>3915</v>
        <stp/>
        <stp>Market</stp>
        <stp>STOCK</stp>
        <stp>19520.T</stp>
        <stp>現在値</stp>
        <tr r="E20" s="1"/>
      </tp>
      <tp>
        <v>2843</v>
        <stp/>
        <stp>Market</stp>
        <stp>STOCK</stp>
        <stp>19510.T</stp>
        <stp>現在値</stp>
        <tr r="E19" s="1"/>
      </tp>
      <tp>
        <v>5110</v>
        <stp/>
        <stp>Market</stp>
        <stp>STOCK</stp>
        <stp>19500.T</stp>
        <stp>現在値</stp>
        <tr r="E18" s="1"/>
      </tp>
      <tp>
        <v>10070</v>
        <stp/>
        <stp>Market</stp>
        <stp>STOCK</stp>
        <stp>19590.T</stp>
        <stp>現在値</stp>
        <tr r="E21" s="1"/>
      </tp>
      <tp>
        <v>1915</v>
        <stp/>
        <stp>Market</stp>
        <stp>STOCK</stp>
        <stp>192A0.T</stp>
        <stp>現在値</stp>
        <tr r="E5" s="1"/>
      </tp>
      <tp>
        <v>4110</v>
        <stp/>
        <stp>Market</stp>
        <stp>STOCK</stp>
        <stp>19260.T</stp>
        <stp>現在値</stp>
        <tr r="E2" s="1"/>
      </tp>
      <tp>
        <v>1358</v>
        <stp/>
        <stp>Market</stp>
        <stp>STOCK</stp>
        <stp>19290.T</stp>
        <stp>現在値</stp>
        <tr r="E4" s="1"/>
      </tp>
      <tp>
        <v>3564</v>
        <stp/>
        <stp>Market</stp>
        <stp>STOCK</stp>
        <stp>19280.T</stp>
        <stp>現在値</stp>
        <tr r="E3" s="1"/>
      </tp>
      <tp>
        <v>1682</v>
        <stp/>
        <stp>Market</stp>
        <stp>STOCK</stp>
        <stp>19300.T</stp>
        <stp>現在値</stp>
        <tr r="E6" s="1"/>
      </tp>
      <tp>
        <v>2761</v>
        <stp/>
        <stp>Market</stp>
        <stp>STOCK</stp>
        <stp>19340.T</stp>
        <stp>現在値</stp>
        <tr r="E7" s="1"/>
      </tp>
      <tp>
        <v>1954</v>
        <stp/>
        <stp>Market</stp>
        <stp>STOCK</stp>
        <stp>19390.T</stp>
        <stp>現在値</stp>
        <tr r="E9" s="1"/>
      </tp>
      <tp>
        <v>2992</v>
        <stp/>
        <stp>Market</stp>
        <stp>STOCK</stp>
        <stp>19380.T</stp>
        <stp>現在値</stp>
        <tr r="E8" s="1"/>
      </tp>
      <tp>
        <v>216</v>
        <stp/>
        <stp>Market</stp>
        <stp>STOCK</stp>
        <stp>198A0.T</stp>
        <stp>現在値</stp>
        <tr r="E41" s="1"/>
      </tp>
      <tp>
        <v>6270</v>
        <stp/>
        <stp>Market</stp>
        <stp>STOCK</stp>
        <stp>19820.T</stp>
        <stp>現在値</stp>
        <tr r="E40" s="1"/>
      </tp>
      <tp>
        <v>1594</v>
        <stp/>
        <stp>Market</stp>
        <stp>STOCK</stp>
        <stp>19810.T</stp>
        <stp>現在値</stp>
        <tr r="E39" s="1"/>
      </tp>
      <tp>
        <v>3330</v>
        <stp/>
        <stp>Market</stp>
        <stp>STOCK</stp>
        <stp>19800.T</stp>
        <stp>現在値</stp>
        <tr r="E38" s="1"/>
      </tp>
      <tp>
        <v>2849</v>
        <stp/>
        <stp>Market</stp>
        <stp>STOCK</stp>
        <stp>19920.T</stp>
        <stp>現在値</stp>
        <tr r="E42" s="1"/>
      </tp>
      <tp>
        <v>4040</v>
        <stp/>
        <stp>Market</stp>
        <stp>STOCK</stp>
        <stp>19970.T</stp>
        <stp>現在値</stp>
        <tr r="E44" s="1"/>
      </tp>
      <tp>
        <v>581</v>
        <stp/>
        <stp>Market</stp>
        <stp>STOCK</stp>
        <stp>19940.T</stp>
        <stp>現在値</stp>
        <tr r="E43" s="1"/>
      </tp>
    </main>
    <main first="rtdsrv.b2353dc584914e4193ea525a6339afd4">
      <tp t="s">
        <v>-</v>
        <stp/>
        <stp>Market</stp>
        <stp>STOCK</stp>
        <stp>21570.T</stp>
        <stp>決算発表日</stp>
        <tr r="S81" s="1"/>
      </tp>
    </main>
    <main first="rtdsrv.b2353dc584914e4193ea525a6339afd4">
      <tp t="s">
        <v>2026/02/10</v>
        <stp/>
        <stp>Market</stp>
        <stp>STOCK</stp>
        <stp>21560.T</stp>
        <stp>決算発表日</stp>
        <tr r="S80" s="1"/>
      </tp>
      <tp t="s">
        <v>2026/02/12</v>
        <stp/>
        <stp>Market</stp>
        <stp>STOCK</stp>
        <stp>20550.T</stp>
        <stp>決算発表日</stp>
        <tr r="S52" s="1"/>
      </tp>
      <tp t="s">
        <v>2026/02/06</v>
        <stp/>
        <stp>Market</stp>
        <stp>STOCK</stp>
        <stp>21540.T</stp>
        <stp>決算発表日</stp>
        <tr r="S79" s="1"/>
      </tp>
      <tp t="s">
        <v>-</v>
        <stp/>
        <stp>Market</stp>
        <stp>STOCK</stp>
        <stp>21530.T</stp>
        <stp>決算発表日</stp>
        <tr r="S78" s="1"/>
      </tp>
      <tp t="s">
        <v>-</v>
        <stp/>
        <stp>Market</stp>
        <stp>STOCK</stp>
        <stp>20530.T</stp>
        <stp>決算発表日</stp>
        <tr r="S51" s="1"/>
      </tp>
      <tp t="s">
        <v>2026/02/12</v>
        <stp/>
        <stp>Market</stp>
        <stp>STOCK</stp>
        <stp>19520.T</stp>
        <stp>決算発表日</stp>
        <tr r="S20" s="1"/>
      </tp>
      <tp t="s">
        <v>-</v>
        <stp/>
        <stp>Market</stp>
        <stp>STOCK</stp>
        <stp>21520.T</stp>
        <stp>決算発表日</stp>
        <tr r="S77" s="1"/>
      </tp>
      <tp t="s">
        <v>2026/02/06</v>
        <stp/>
        <stp>Market</stp>
        <stp>STOCK</stp>
        <stp>19510.T</stp>
        <stp>決算発表日</stp>
        <tr r="S19" s="1"/>
      </tp>
      <tp t="s">
        <v>-</v>
        <stp/>
        <stp>Market</stp>
        <stp>STOCK</stp>
        <stp>19500.T</stp>
        <stp>決算発表日</stp>
        <tr r="S18" s="1"/>
      </tp>
      <tp t="s">
        <v/>
        <stp/>
        <stp>Market</stp>
        <stp>STOCK</stp>
        <stp>21500.T</stp>
        <stp>決算発表日</stp>
        <tr r="S76" s="1"/>
      </tp>
    </main>
    <main first="rtdsrv.b2353dc584914e4193ea525a6339afd4">
      <tp t="s">
        <v>-</v>
        <stp/>
        <stp>Market</stp>
        <stp>STOCK</stp>
        <stp>19590.T</stp>
        <stp>決算発表日</stp>
        <tr r="S21" s="1"/>
      </tp>
    </main>
    <main first="rtdsrv.b2353dc584914e4193ea525a6339afd4">
      <tp t="s">
        <v>2026/02/16</v>
        <stp/>
        <stp>Market</stp>
        <stp>STOCK</stp>
        <stp>21580.T</stp>
        <stp>決算発表日</stp>
        <tr r="S82" s="1"/>
      </tp>
      <tp>
        <v>2897</v>
        <stp/>
        <stp>Market</stp>
        <stp>STOCK</stp>
        <stp>228A0.T</stp>
        <stp>上場来高値</stp>
        <tr r="V133" s="1"/>
      </tp>
      <tp>
        <v>2868</v>
        <stp/>
        <stp>Market</stp>
        <stp>STOCK</stp>
        <stp>218A0.T</stp>
        <stp>上場来高値</stp>
        <tr r="V99" s="1"/>
      </tp>
      <tp>
        <v>4950</v>
        <stp/>
        <stp>Market</stp>
        <stp>STOCK</stp>
        <stp>208A0.T</stp>
        <stp>上場来高値</stp>
        <tr r="V56" s="1"/>
      </tp>
      <tp>
        <v>1427</v>
        <stp/>
        <stp>Market</stp>
        <stp>STOCK</stp>
        <stp>198A0.T</stp>
        <stp>上場来高値</stp>
        <tr r="V41" s="1"/>
      </tp>
      <tp>
        <v>2897</v>
        <stp/>
        <stp>Market</stp>
        <stp>STOCK</stp>
        <stp>228A0.T</stp>
        <stp>年初来高値</stp>
        <tr r="T133" s="1"/>
      </tp>
      <tp>
        <v>3570</v>
        <stp/>
        <stp>Market</stp>
        <stp>STOCK</stp>
        <stp>208A0.T</stp>
        <stp>年初来高値</stp>
        <tr r="T56" s="1"/>
      </tp>
      <tp>
        <v>2868</v>
        <stp/>
        <stp>Market</stp>
        <stp>STOCK</stp>
        <stp>218A0.T</stp>
        <stp>年初来高値</stp>
        <tr r="T99" s="1"/>
      </tp>
      <tp>
        <v>839</v>
        <stp/>
        <stp>Market</stp>
        <stp>STOCK</stp>
        <stp>198A0.T</stp>
        <stp>年初来高値</stp>
        <tr r="T41" s="1"/>
      </tp>
      <tp>
        <v>1024</v>
        <stp/>
        <stp>Market</stp>
        <stp>STOCK</stp>
        <stp>21800.T</stp>
        <stp>年初来高値</stp>
        <tr r="T94" s="1"/>
      </tp>
      <tp>
        <v>3680</v>
        <stp/>
        <stp>Market</stp>
        <stp>STOCK</stp>
        <stp>19800.T</stp>
        <stp>年初来高値</stp>
        <tr r="T38" s="1"/>
      </tp>
      <tp>
        <v>2929</v>
        <stp/>
        <stp>Market</stp>
        <stp>STOCK</stp>
        <stp>22810.T</stp>
        <stp>年初来高値</stp>
        <tr r="T129" s="1"/>
      </tp>
      <tp>
        <v>305.39999999999998</v>
        <stp/>
        <stp>Market</stp>
        <stp>STOCK</stp>
        <stp>21810.T</stp>
        <stp>年初来高値</stp>
        <tr r="T95" s="1"/>
      </tp>
      <tp>
        <v>1947</v>
        <stp/>
        <stp>Market</stp>
        <stp>STOCK</stp>
        <stp>19810.T</stp>
        <stp>年初来高値</stp>
        <tr r="T39" s="1"/>
      </tp>
      <tp>
        <v>7248</v>
        <stp/>
        <stp>Market</stp>
        <stp>STOCK</stp>
        <stp>22820.T</stp>
        <stp>年初来高値</stp>
        <tr r="T130" s="1"/>
      </tp>
      <tp>
        <v>6970</v>
        <stp/>
        <stp>Market</stp>
        <stp>STOCK</stp>
        <stp>19820.T</stp>
        <stp>年初来高値</stp>
        <tr r="T40" s="1"/>
      </tp>
      <tp>
        <v>367</v>
        <stp/>
        <stp>Market</stp>
        <stp>STOCK</stp>
        <stp>21830.T</stp>
        <stp>年初来高値</stp>
        <tr r="T96" s="1"/>
      </tp>
      <tp>
        <v>2140</v>
        <stp/>
        <stp>Market</stp>
        <stp>STOCK</stp>
        <stp>21850.T</stp>
        <stp>年初来高値</stp>
        <tr r="T97" s="1"/>
      </tp>
      <tp>
        <v>935</v>
        <stp/>
        <stp>Market</stp>
        <stp>STOCK</stp>
        <stp>22860.T</stp>
        <stp>年初来高値</stp>
        <tr r="T131" s="1"/>
      </tp>
      <tp>
        <v>981</v>
        <stp/>
        <stp>Market</stp>
        <stp>STOCK</stp>
        <stp>21860.T</stp>
        <stp>年初来高値</stp>
        <tr r="T98" s="1"/>
      </tp>
      <tp>
        <v>2451</v>
        <stp/>
        <stp>Market</stp>
        <stp>STOCK</stp>
        <stp>22880.T</stp>
        <stp>年初来高値</stp>
        <tr r="T132" s="1"/>
      </tp>
      <tp>
        <v>4800</v>
        <stp/>
        <stp>Market</stp>
        <stp>STOCK</stp>
        <stp>21800.T</stp>
        <stp>上場来高値</stp>
        <tr r="V94" s="1"/>
      </tp>
      <tp>
        <v>7790</v>
        <stp/>
        <stp>Market</stp>
        <stp>STOCK</stp>
        <stp>19800.T</stp>
        <stp>上場来高値</stp>
        <tr r="V38" s="1"/>
      </tp>
      <tp>
        <v>3705</v>
        <stp/>
        <stp>Market</stp>
        <stp>STOCK</stp>
        <stp>22810.T</stp>
        <stp>上場来高値</stp>
        <tr r="V129" s="1"/>
      </tp>
      <tp>
        <v>5770</v>
        <stp/>
        <stp>Market</stp>
        <stp>STOCK</stp>
        <stp>21810.T</stp>
        <stp>上場来高値</stp>
        <tr r="V95" s="1"/>
      </tp>
      <tp>
        <v>2480</v>
        <stp/>
        <stp>Market</stp>
        <stp>STOCK</stp>
        <stp>19810.T</stp>
        <stp>上場来高値</stp>
        <tr r="V39" s="1"/>
      </tp>
      <tp>
        <v>7248</v>
        <stp/>
        <stp>Market</stp>
        <stp>STOCK</stp>
        <stp>22820.T</stp>
        <stp>上場来高値</stp>
        <tr r="V130" s="1"/>
      </tp>
      <tp>
        <v>30200</v>
        <stp/>
        <stp>Market</stp>
        <stp>STOCK</stp>
        <stp>19820.T</stp>
        <stp>上場来高値</stp>
        <tr r="V40" s="1"/>
      </tp>
      <tp>
        <v>4445</v>
        <stp/>
        <stp>Market</stp>
        <stp>STOCK</stp>
        <stp>21830.T</stp>
        <stp>上場来高値</stp>
        <tr r="V96" s="1"/>
      </tp>
      <tp>
        <v>9660</v>
        <stp/>
        <stp>Market</stp>
        <stp>STOCK</stp>
        <stp>21850.T</stp>
        <stp>上場来高値</stp>
        <tr r="V97" s="1"/>
      </tp>
      <tp>
        <v>1130</v>
        <stp/>
        <stp>Market</stp>
        <stp>STOCK</stp>
        <stp>22860.T</stp>
        <stp>上場来高値</stp>
        <tr r="V131" s="1"/>
      </tp>
      <tp>
        <v>2580</v>
        <stp/>
        <stp>Market</stp>
        <stp>STOCK</stp>
        <stp>21860.T</stp>
        <stp>上場来高値</stp>
        <tr r="V98" s="1"/>
      </tp>
      <tp>
        <v>2474</v>
        <stp/>
        <stp>Market</stp>
        <stp>STOCK</stp>
        <stp>22880.T</stp>
        <stp>上場来高値</stp>
        <tr r="V132" s="1"/>
      </tp>
      <tp>
        <v>192</v>
        <stp/>
        <stp>Market</stp>
        <stp>STOCK</stp>
        <stp>206A0.T</stp>
        <stp>現在値</stp>
        <tr r="E55" s="1"/>
      </tp>
      <tp>
        <v>1274</v>
        <stp/>
        <stp>Market</stp>
        <stp>STOCK</stp>
        <stp>20600.T</stp>
        <stp>現在値</stp>
        <tr r="E54" s="1"/>
      </tp>
      <tp>
        <v>1654</v>
        <stp/>
        <stp>Market</stp>
        <stp>STOCK</stp>
        <stp>205A0.T</stp>
        <stp>現在値</stp>
        <tr r="E53" s="1"/>
      </tp>
      <tp>
        <v>1867</v>
        <stp/>
        <stp>Market</stp>
        <stp>STOCK</stp>
        <stp>20530.T</stp>
        <stp>現在値</stp>
        <tr r="E51" s="1"/>
      </tp>
      <tp>
        <v>386</v>
        <stp/>
        <stp>Market</stp>
        <stp>STOCK</stp>
        <stp>20550.T</stp>
        <stp>現在値</stp>
        <tr r="E52" s="1"/>
      </tp>
      <tp>
        <v>3545</v>
        <stp/>
        <stp>Market</stp>
        <stp>STOCK</stp>
        <stp>202A0.T</stp>
        <stp>現在値</stp>
        <tr r="E50" s="1"/>
      </tp>
      <tp>
        <v>7130</v>
        <stp/>
        <stp>Market</stp>
        <stp>STOCK</stp>
        <stp>20030.T</stp>
        <stp>現在値</stp>
        <tr r="E47" s="1"/>
      </tp>
      <tp>
        <v>2111.5</v>
        <stp/>
        <stp>Market</stp>
        <stp>STOCK</stp>
        <stp>20020.T</stp>
        <stp>現在値</stp>
        <tr r="E46" s="1"/>
      </tp>
      <tp>
        <v>2779</v>
        <stp/>
        <stp>Market</stp>
        <stp>STOCK</stp>
        <stp>20010.T</stp>
        <stp>現在値</stp>
        <tr r="E45" s="1"/>
      </tp>
      <tp>
        <v>3360</v>
        <stp/>
        <stp>Market</stp>
        <stp>STOCK</stp>
        <stp>20040.T</stp>
        <stp>現在値</stp>
        <tr r="E48" s="1"/>
      </tp>
      <tp>
        <v>1097</v>
        <stp/>
        <stp>Market</stp>
        <stp>STOCK</stp>
        <stp>20090.T</stp>
        <stp>現在値</stp>
        <tr r="E49" s="1"/>
      </tp>
      <tp>
        <v>3090</v>
        <stp/>
        <stp>Market</stp>
        <stp>STOCK</stp>
        <stp>208A0.T</stp>
        <stp>現在値</stp>
        <tr r="E56" s="1"/>
      </tp>
      <tp>
        <v>2010</v>
        <stp/>
        <stp>Market</stp>
        <stp>STOCK</stp>
        <stp>21630.T</stp>
        <stp>現在値</stp>
        <tr r="E86" s="1"/>
      </tp>
      <tp>
        <v>453</v>
        <stp/>
        <stp>Market</stp>
        <stp>STOCK</stp>
        <stp>21620.T</stp>
        <stp>現在値</stp>
        <tr r="E85" s="1"/>
      </tp>
      <tp>
        <v>3150</v>
        <stp/>
        <stp>Market</stp>
        <stp>STOCK</stp>
        <stp>21600.T</stp>
        <stp>現在値</stp>
        <tr r="E84" s="1"/>
      </tp>
      <tp>
        <v>327</v>
        <stp/>
        <stp>Market</stp>
        <stp>STOCK</stp>
        <stp>21640.T</stp>
        <stp>現在値</stp>
        <tr r="E87" s="1"/>
      </tp>
      <tp>
        <v>1834</v>
        <stp/>
        <stp>Market</stp>
        <stp>STOCK</stp>
        <stp>21690.T</stp>
        <stp>現在値</stp>
        <tr r="E89" s="1"/>
      </tp>
      <tp>
        <v>1949</v>
        <stp/>
        <stp>Market</stp>
        <stp>STOCK</stp>
        <stp>21680.T</stp>
        <stp>現在値</stp>
        <tr r="E88" s="1"/>
      </tp>
      <tp>
        <v>986</v>
        <stp/>
        <stp>Market</stp>
        <stp>STOCK</stp>
        <stp>21730.T</stp>
        <stp>現在値</stp>
        <tr r="E91" s="1"/>
      </tp>
      <tp>
        <v>550</v>
        <stp/>
        <stp>Market</stp>
        <stp>STOCK</stp>
        <stp>21700.T</stp>
        <stp>現在値</stp>
        <tr r="E90" s="1"/>
      </tp>
      <tp>
        <v>1721</v>
        <stp/>
        <stp>Market</stp>
        <stp>STOCK</stp>
        <stp>21750.T</stp>
        <stp>現在値</stp>
        <tr r="E92" s="1"/>
      </tp>
      <tp>
        <v>824</v>
        <stp/>
        <stp>Market</stp>
        <stp>STOCK</stp>
        <stp>21790.T</stp>
        <stp>現在値</stp>
        <tr r="E93" s="1"/>
      </tp>
      <tp>
        <v>206</v>
        <stp/>
        <stp>Market</stp>
        <stp>STOCK</stp>
        <stp>21460.T</stp>
        <stp>現在値</stp>
        <tr r="E74" s="1"/>
      </tp>
      <tp>
        <v>1893</v>
        <stp/>
        <stp>Market</stp>
        <stp>STOCK</stp>
        <stp>21480.T</stp>
        <stp>現在値</stp>
        <tr r="E75" s="1"/>
      </tp>
      <tp>
        <v>1181</v>
        <stp/>
        <stp>Market</stp>
        <stp>STOCK</stp>
        <stp>215A0.T</stp>
        <stp>現在値</stp>
        <tr r="E83" s="1"/>
      </tp>
      <tp>
        <v>1855</v>
        <stp/>
        <stp>Market</stp>
        <stp>STOCK</stp>
        <stp>21530.T</stp>
        <stp>現在値</stp>
        <tr r="E78" s="1"/>
      </tp>
      <tp>
        <v>1448</v>
        <stp/>
        <stp>Market</stp>
        <stp>STOCK</stp>
        <stp>21520.T</stp>
        <stp>現在値</stp>
        <tr r="E77" s="1"/>
      </tp>
      <tp t="s">
        <v/>
        <stp/>
        <stp>Market</stp>
        <stp>STOCK</stp>
        <stp>21500.T</stp>
        <stp>現在値</stp>
        <tr r="E76" s="1"/>
      </tp>
      <tp>
        <v>1084</v>
        <stp/>
        <stp>Market</stp>
        <stp>STOCK</stp>
        <stp>21570.T</stp>
        <stp>現在値</stp>
        <tr r="E81" s="1"/>
      </tp>
      <tp>
        <v>306</v>
        <stp/>
        <stp>Market</stp>
        <stp>STOCK</stp>
        <stp>21560.T</stp>
        <stp>現在値</stp>
        <tr r="E80" s="1"/>
      </tp>
      <tp>
        <v>1827</v>
        <stp/>
        <stp>Market</stp>
        <stp>STOCK</stp>
        <stp>21540.T</stp>
        <stp>現在値</stp>
        <tr r="E79" s="1"/>
      </tp>
      <tp>
        <v>893</v>
        <stp/>
        <stp>Market</stp>
        <stp>STOCK</stp>
        <stp>21580.T</stp>
        <stp>現在値</stp>
        <tr r="E82" s="1"/>
      </tp>
      <tp>
        <v>2500</v>
        <stp/>
        <stp>Market</stp>
        <stp>STOCK</stp>
        <stp>212A0.T</stp>
        <stp>現在値</stp>
        <tr r="E68" s="1"/>
      </tp>
      <tp>
        <v>1305</v>
        <stp/>
        <stp>Market</stp>
        <stp>STOCK</stp>
        <stp>21220.T</stp>
        <stp>現在値</stp>
        <tr r="E65" s="1"/>
      </tp>
      <tp>
        <v>2595</v>
        <stp/>
        <stp>Market</stp>
        <stp>STOCK</stp>
        <stp>21210.T</stp>
        <stp>現在値</stp>
        <tr r="E64" s="1"/>
      </tp>
      <tp>
        <v>210</v>
        <stp/>
        <stp>Market</stp>
        <stp>STOCK</stp>
        <stp>21200.T</stp>
        <stp>現在値</stp>
        <tr r="E63" s="1"/>
      </tp>
      <tp>
        <v>644.4</v>
        <stp/>
        <stp>Market</stp>
        <stp>STOCK</stp>
        <stp>21270.T</stp>
        <stp>現在値</stp>
        <tr r="E67" s="1"/>
      </tp>
      <tp>
        <v>874</v>
        <stp/>
        <stp>Market</stp>
        <stp>STOCK</stp>
        <stp>21240.T</stp>
        <stp>現在値</stp>
        <tr r="E66" s="1"/>
      </tp>
      <tp>
        <v>1131</v>
        <stp/>
        <stp>Market</stp>
        <stp>STOCK</stp>
        <stp>21300.T</stp>
        <stp>現在値</stp>
        <tr r="E69" s="1"/>
      </tp>
      <tp>
        <v>1554</v>
        <stp/>
        <stp>Market</stp>
        <stp>STOCK</stp>
        <stp>21360.T</stp>
        <stp>現在値</stp>
        <tr r="E71" s="1"/>
      </tp>
      <tp>
        <v>34</v>
        <stp/>
        <stp>Market</stp>
        <stp>STOCK</stp>
        <stp>21340.T</stp>
        <stp>現在値</stp>
        <tr r="E70" s="1"/>
      </tp>
      <tp>
        <v>543</v>
        <stp/>
        <stp>Market</stp>
        <stp>STOCK</stp>
        <stp>21390.T</stp>
        <stp>現在値</stp>
        <tr r="E73" s="1"/>
      </tp>
      <tp>
        <v>567</v>
        <stp/>
        <stp>Market</stp>
        <stp>STOCK</stp>
        <stp>21380.T</stp>
        <stp>現在値</stp>
        <tr r="E72" s="1"/>
      </tp>
      <tp>
        <v>3455</v>
        <stp/>
        <stp>Market</stp>
        <stp>STOCK</stp>
        <stp>21090.T</stp>
        <stp>現在値</stp>
        <tr r="E58" s="1"/>
      </tp>
      <tp>
        <v>4300</v>
        <stp/>
        <stp>Market</stp>
        <stp>STOCK</stp>
        <stp>21080.T</stp>
        <stp>現在値</stp>
        <tr r="E57" s="1"/>
      </tp>
      <tp>
        <v>4520</v>
        <stp/>
        <stp>Market</stp>
        <stp>STOCK</stp>
        <stp>211A0.T</stp>
        <stp>現在値</stp>
        <tr r="E62" s="1"/>
      </tp>
      <tp>
        <v>574</v>
        <stp/>
        <stp>Market</stp>
        <stp>STOCK</stp>
        <stp>21120.T</stp>
        <stp>現在値</stp>
        <tr r="E59" s="1"/>
      </tp>
      <tp>
        <v>2944</v>
        <stp/>
        <stp>Market</stp>
        <stp>STOCK</stp>
        <stp>21170.T</stp>
        <stp>現在値</stp>
        <tr r="E61" s="1"/>
      </tp>
      <tp>
        <v>665</v>
        <stp/>
        <stp>Market</stp>
        <stp>STOCK</stp>
        <stp>21140.T</stp>
        <stp>現在値</stp>
        <tr r="E60" s="1"/>
      </tp>
      <tp>
        <v>1403</v>
        <stp/>
        <stp>Market</stp>
        <stp>STOCK</stp>
        <stp>218A0.T</stp>
        <stp>現在値</stp>
        <tr r="E99" s="1"/>
      </tp>
      <tp>
        <v>312</v>
        <stp/>
        <stp>Market</stp>
        <stp>STOCK</stp>
        <stp>21830.T</stp>
        <stp>現在値</stp>
        <tr r="E96" s="1"/>
      </tp>
      <tp>
        <v>242.9</v>
        <stp/>
        <stp>Market</stp>
        <stp>STOCK</stp>
        <stp>21810.T</stp>
        <stp>現在値</stp>
        <tr r="E95" s="1"/>
      </tp>
      <tp>
        <v>994</v>
        <stp/>
        <stp>Market</stp>
        <stp>STOCK</stp>
        <stp>21800.T</stp>
        <stp>現在値</stp>
        <tr r="E94" s="1"/>
      </tp>
      <tp>
        <v>903</v>
        <stp/>
        <stp>Market</stp>
        <stp>STOCK</stp>
        <stp>21860.T</stp>
        <stp>現在値</stp>
        <tr r="E98" s="1"/>
      </tp>
      <tp>
        <v>1915</v>
        <stp/>
        <stp>Market</stp>
        <stp>STOCK</stp>
        <stp>21850.T</stp>
        <stp>現在値</stp>
        <tr r="E97" s="1"/>
      </tp>
      <tp>
        <v>1921</v>
        <stp/>
        <stp>Market</stp>
        <stp>STOCK</stp>
        <stp>219A0.T</stp>
        <stp>現在値</stp>
        <tr r="E104" s="1"/>
      </tp>
      <tp>
        <v>149</v>
        <stp/>
        <stp>Market</stp>
        <stp>STOCK</stp>
        <stp>21930.T</stp>
        <stp>現在値</stp>
        <tr r="E100" s="1"/>
      </tp>
      <tp>
        <v>163</v>
        <stp/>
        <stp>Market</stp>
        <stp>STOCK</stp>
        <stp>21960.T</stp>
        <stp>現在値</stp>
        <tr r="E102" s="1"/>
      </tp>
      <tp>
        <v>318</v>
        <stp/>
        <stp>Market</stp>
        <stp>STOCK</stp>
        <stp>21950.T</stp>
        <stp>現在値</stp>
        <tr r="E101" s="1"/>
      </tp>
      <tp>
        <v>818</v>
        <stp/>
        <stp>Market</stp>
        <stp>STOCK</stp>
        <stp>21980.T</stp>
        <stp>現在値</stp>
        <tr r="E103" s="1"/>
      </tp>
      <tp>
        <v>2626</v>
        <stp/>
        <stp>Market</stp>
        <stp>STOCK</stp>
        <stp>22670.T</stp>
        <stp>現在値</stp>
        <tr r="E125" s="1"/>
      </tp>
      <tp>
        <v>1172</v>
        <stp/>
        <stp>Market</stp>
        <stp>STOCK</stp>
        <stp>22660.T</stp>
        <stp>現在値</stp>
        <tr r="E124" s="1"/>
      </tp>
      <tp>
        <v>4828</v>
        <stp/>
        <stp>Market</stp>
        <stp>STOCK</stp>
        <stp>22640.T</stp>
        <stp>現在値</stp>
        <tr r="E123" s="1"/>
      </tp>
      <tp>
        <v>3841</v>
        <stp/>
        <stp>Market</stp>
        <stp>STOCK</stp>
        <stp>22690.T</stp>
        <stp>現在値</stp>
        <tr r="E127" s="1"/>
      </tp>
      <tp>
        <v>4015</v>
        <stp/>
        <stp>Market</stp>
        <stp>STOCK</stp>
        <stp>22680.T</stp>
        <stp>現在値</stp>
        <tr r="E126" s="1"/>
      </tp>
      <tp>
        <v>3340</v>
        <stp/>
        <stp>Market</stp>
        <stp>STOCK</stp>
        <stp>22700.T</stp>
        <stp>現在値</stp>
        <tr r="E128" s="1"/>
      </tp>
      <tp>
        <v>1879</v>
        <stp/>
        <stp>Market</stp>
        <stp>STOCK</stp>
        <stp>22220.T</stp>
        <stp>現在値</stp>
        <tr r="E119" s="1"/>
      </tp>
      <tp>
        <v>3280</v>
        <stp/>
        <stp>Market</stp>
        <stp>STOCK</stp>
        <stp>22210.T</stp>
        <stp>現在値</stp>
        <tr r="E118" s="1"/>
      </tp>
      <tp>
        <v>4340</v>
        <stp/>
        <stp>Market</stp>
        <stp>STOCK</stp>
        <stp>22200.T</stp>
        <stp>現在値</stp>
        <tr r="E117" s="1"/>
      </tp>
      <tp>
        <v>4665</v>
        <stp/>
        <stp>Market</stp>
        <stp>STOCK</stp>
        <stp>22260.T</stp>
        <stp>現在値</stp>
        <tr r="E121" s="1"/>
      </tp>
      <tp>
        <v>3910</v>
        <stp/>
        <stp>Market</stp>
        <stp>STOCK</stp>
        <stp>22240.T</stp>
        <stp>現在値</stp>
        <tr r="E120" s="1"/>
      </tp>
      <tp>
        <v>3140</v>
        <stp/>
        <stp>Market</stp>
        <stp>STOCK</stp>
        <stp>22290.T</stp>
        <stp>現在値</stp>
        <tr r="E122" s="1"/>
      </tp>
      <tp>
        <v>1075</v>
        <stp/>
        <stp>Market</stp>
        <stp>STOCK</stp>
        <stp>220A0.T</stp>
        <stp>現在値</stp>
        <tr r="E111" s="1"/>
      </tp>
      <tp>
        <v>2788</v>
        <stp/>
        <stp>Market</stp>
        <stp>STOCK</stp>
        <stp>22010.T</stp>
        <stp>現在値</stp>
        <tr r="E105" s="1"/>
      </tp>
      <tp>
        <v>2821</v>
        <stp/>
        <stp>Market</stp>
        <stp>STOCK</stp>
        <stp>22070.T</stp>
        <stp>現在値</stp>
        <tr r="E108" s="1"/>
      </tp>
      <tp>
        <v>6061</v>
        <stp/>
        <stp>Market</stp>
        <stp>STOCK</stp>
        <stp>22060.T</stp>
        <stp>現在値</stp>
        <tr r="E107" s="1"/>
      </tp>
      <tp>
        <v>3295</v>
        <stp/>
        <stp>Market</stp>
        <stp>STOCK</stp>
        <stp>22040.T</stp>
        <stp>現在値</stp>
        <tr r="E106" s="1"/>
      </tp>
      <tp>
        <v>2490</v>
        <stp/>
        <stp>Market</stp>
        <stp>STOCK</stp>
        <stp>22090.T</stp>
        <stp>現在値</stp>
        <tr r="E110" s="1"/>
      </tp>
      <tp>
        <v>3275</v>
        <stp/>
        <stp>Market</stp>
        <stp>STOCK</stp>
        <stp>22080.T</stp>
        <stp>現在値</stp>
        <tr r="E109" s="1"/>
      </tp>
      <tp>
        <v>3400</v>
        <stp/>
        <stp>Market</stp>
        <stp>STOCK</stp>
        <stp>22120.T</stp>
        <stp>現在値</stp>
        <tr r="E113" s="1"/>
      </tp>
      <tp>
        <v>2456</v>
        <stp/>
        <stp>Market</stp>
        <stp>STOCK</stp>
        <stp>22110.T</stp>
        <stp>現在値</stp>
        <tr r="E112" s="1"/>
      </tp>
      <tp>
        <v>1501</v>
        <stp/>
        <stp>Market</stp>
        <stp>STOCK</stp>
        <stp>22170.T</stp>
        <stp>現在値</stp>
        <tr r="E116" s="1"/>
      </tp>
      <tp>
        <v>1315</v>
        <stp/>
        <stp>Market</stp>
        <stp>STOCK</stp>
        <stp>22160.T</stp>
        <stp>現在値</stp>
        <tr r="E115" s="1"/>
      </tp>
      <tp>
        <v>617</v>
        <stp/>
        <stp>Market</stp>
        <stp>STOCK</stp>
        <stp>22150.T</stp>
        <stp>現在値</stp>
        <tr r="E114" s="1"/>
      </tp>
      <tp>
        <v>1426</v>
        <stp/>
        <stp>Market</stp>
        <stp>STOCK</stp>
        <stp>228A0.T</stp>
        <stp>現在値</stp>
        <tr r="E133" s="1"/>
      </tp>
      <tp>
        <v>6936</v>
        <stp/>
        <stp>Market</stp>
        <stp>STOCK</stp>
        <stp>22820.T</stp>
        <stp>現在値</stp>
        <tr r="E130" s="1"/>
      </tp>
      <tp>
        <v>2809</v>
        <stp/>
        <stp>Market</stp>
        <stp>STOCK</stp>
        <stp>22810.T</stp>
        <stp>現在値</stp>
        <tr r="E129" s="1"/>
      </tp>
      <tp>
        <v>893</v>
        <stp/>
        <stp>Market</stp>
        <stp>STOCK</stp>
        <stp>22860.T</stp>
        <stp>現在値</stp>
        <tr r="E131" s="1"/>
      </tp>
      <tp>
        <v>2225</v>
        <stp/>
        <stp>Market</stp>
        <stp>STOCK</stp>
        <stp>22880.T</stp>
        <stp>現在値</stp>
        <tr r="E132" s="1"/>
      </tp>
      <tp>
        <v>2971</v>
        <stp/>
        <stp>Market</stp>
        <stp>STOCK</stp>
        <stp>22930.T</stp>
        <stp>現在値</stp>
        <tr r="E136" s="1"/>
      </tp>
      <tp>
        <v>3035</v>
        <stp/>
        <stp>Market</stp>
        <stp>STOCK</stp>
        <stp>22920.T</stp>
        <stp>現在値</stp>
        <tr r="E135" s="1"/>
      </tp>
      <tp>
        <v>619</v>
        <stp/>
        <stp>Market</stp>
        <stp>STOCK</stp>
        <stp>22910.T</stp>
        <stp>現在値</stp>
        <tr r="E134" s="1"/>
      </tp>
      <tp>
        <v>6190</v>
        <stp/>
        <stp>Market</stp>
        <stp>STOCK</stp>
        <stp>22960.T</stp>
        <stp>現在値</stp>
        <tr r="E138" s="1"/>
      </tp>
      <tp>
        <v>2861</v>
        <stp/>
        <stp>Market</stp>
        <stp>STOCK</stp>
        <stp>22940.T</stp>
        <stp>現在値</stp>
        <tr r="E137" s="1"/>
      </tp>
      <tp>
        <v>345</v>
        <stp/>
        <stp>Market</stp>
        <stp>STOCK</stp>
        <stp>23230.T</stp>
        <stp>現在値</stp>
        <tr r="E149" s="1"/>
      </tp>
      <tp>
        <v>337</v>
        <stp/>
        <stp>Market</stp>
        <stp>STOCK</stp>
        <stp>23210.T</stp>
        <stp>現在値</stp>
        <tr r="E148" s="1"/>
      </tp>
      <tp>
        <v>5180</v>
        <stp/>
        <stp>Market</stp>
        <stp>STOCK</stp>
        <stp>23260.T</stp>
        <stp>現在値</stp>
        <tr r="E151" s="1"/>
      </tp>
      <tp>
        <v>4585</v>
        <stp/>
        <stp>Market</stp>
        <stp>STOCK</stp>
        <stp>23250.T</stp>
        <stp>現在値</stp>
        <tr r="E150" s="1"/>
      </tp>
      <tp>
        <v>2632</v>
        <stp/>
        <stp>Market</stp>
        <stp>STOCK</stp>
        <stp>23030.T</stp>
        <stp>現在値</stp>
        <tr r="E141" s="1"/>
      </tp>
      <tp>
        <v>1866</v>
        <stp/>
        <stp>Market</stp>
        <stp>STOCK</stp>
        <stp>23010.T</stp>
        <stp>現在値</stp>
        <tr r="E140" s="1"/>
      </tp>
      <tp>
        <v>496</v>
        <stp/>
        <stp>Market</stp>
        <stp>STOCK</stp>
        <stp>23000.T</stp>
        <stp>現在値</stp>
        <tr r="E139" s="1"/>
      </tp>
      <tp>
        <v>1007</v>
        <stp/>
        <stp>Market</stp>
        <stp>STOCK</stp>
        <stp>23070.T</stp>
        <stp>現在値</stp>
        <tr r="E144" s="1"/>
      </tp>
      <tp>
        <v>1987</v>
        <stp/>
        <stp>Market</stp>
        <stp>STOCK</stp>
        <stp>23050.T</stp>
        <stp>現在値</stp>
        <tr r="E143" s="1"/>
      </tp>
      <tp>
        <v>971</v>
        <stp/>
        <stp>Market</stp>
        <stp>STOCK</stp>
        <stp>23040.T</stp>
        <stp>現在値</stp>
        <tr r="E142" s="1"/>
      </tp>
      <tp>
        <v>811</v>
        <stp/>
        <stp>Market</stp>
        <stp>STOCK</stp>
        <stp>23110.T</stp>
        <stp>現在値</stp>
        <tr r="E145" s="1"/>
      </tp>
      <tp>
        <v>418</v>
        <stp/>
        <stp>Market</stp>
        <stp>STOCK</stp>
        <stp>23170.T</stp>
        <stp>現在値</stp>
        <tr r="E147" s="1"/>
      </tp>
      <tp>
        <v>87</v>
        <stp/>
        <stp>Market</stp>
        <stp>STOCK</stp>
        <stp>23150.T</stp>
        <stp>現在値</stp>
        <tr r="E146" s="1"/>
      </tp>
      <tp t="s">
        <v>2026/02/13</v>
        <stp/>
        <stp>Market</stp>
        <stp>STOCK</stp>
        <stp>196A0.T</stp>
        <stp>決算発表日</stp>
        <tr r="S32" s="1"/>
      </tp>
      <tp t="s">
        <v>2026/02/13</v>
        <stp/>
        <stp>Market</stp>
        <stp>STOCK</stp>
        <stp>206A0.T</stp>
        <stp>決算発表日</stp>
        <tr r="S55" s="1"/>
      </tp>
    </main>
    <main first="rtdsrv.b2353dc584914e4193ea525a6339afd4">
      <tp t="s">
        <v>-</v>
        <stp/>
        <stp>Market</stp>
        <stp>STOCK</stp>
        <stp>19670.T</stp>
        <stp>決算発表日</stp>
        <tr r="S29" s="1"/>
      </tp>
      <tp t="s">
        <v>2026/02/10</v>
        <stp/>
        <stp>Market</stp>
        <stp>STOCK</stp>
        <stp>22670.T</stp>
        <stp>決算発表日</stp>
        <tr r="S125" s="1"/>
      </tp>
    </main>
    <main first="rtdsrv.b2353dc584914e4193ea525a6339afd4">
      <tp t="s">
        <v>2026/02/06</v>
        <stp/>
        <stp>Market</stp>
        <stp>STOCK</stp>
        <stp>19660.T</stp>
        <stp>決算発表日</stp>
        <tr r="S28" s="1"/>
      </tp>
      <tp t="s">
        <v>2026/02/13</v>
        <stp/>
        <stp>Market</stp>
        <stp>STOCK</stp>
        <stp>22660.T</stp>
        <stp>決算発表日</stp>
        <tr r="S124" s="1"/>
      </tp>
      <tp t="s">
        <v>2026/02/06</v>
        <stp/>
        <stp>Market</stp>
        <stp>STOCK</stp>
        <stp>19650.T</stp>
        <stp>決算発表日</stp>
        <tr r="S27" s="1"/>
      </tp>
      <tp t="s">
        <v>-</v>
        <stp/>
        <stp>Market</stp>
        <stp>STOCK</stp>
        <stp>19640.T</stp>
        <stp>決算発表日</stp>
        <tr r="S26" s="1"/>
      </tp>
      <tp t="s">
        <v>-</v>
        <stp/>
        <stp>Market</stp>
        <stp>STOCK</stp>
        <stp>21640.T</stp>
        <stp>決算発表日</stp>
        <tr r="S87" s="1"/>
      </tp>
      <tp t="s">
        <v>2026/02/12</v>
        <stp/>
        <stp>Market</stp>
        <stp>STOCK</stp>
        <stp>22640.T</stp>
        <stp>決算発表日</stp>
        <tr r="S123" s="1"/>
      </tp>
      <tp t="s">
        <v>2026/02/10</v>
        <stp/>
        <stp>Market</stp>
        <stp>STOCK</stp>
        <stp>19630.T</stp>
        <stp>決算発表日</stp>
        <tr r="S25" s="1"/>
      </tp>
      <tp t="s">
        <v>2026/03/13</v>
        <stp/>
        <stp>Market</stp>
        <stp>STOCK</stp>
        <stp>21630.T</stp>
        <stp>決算発表日</stp>
        <tr r="S86" s="1"/>
      </tp>
      <tp t="s">
        <v>-</v>
        <stp/>
        <stp>Market</stp>
        <stp>STOCK</stp>
        <stp>21620.T</stp>
        <stp>決算発表日</stp>
        <tr r="S85" s="1"/>
      </tp>
      <tp t="s">
        <v>2026/02/13</v>
        <stp/>
        <stp>Market</stp>
        <stp>STOCK</stp>
        <stp>19610.T</stp>
        <stp>決算発表日</stp>
        <tr r="S24" s="1"/>
      </tp>
      <tp t="s">
        <v>2026/02/10</v>
        <stp/>
        <stp>Market</stp>
        <stp>STOCK</stp>
        <stp>19600.T</stp>
        <stp>決算発表日</stp>
        <tr r="S23" s="1"/>
      </tp>
      <tp t="s">
        <v>2026/02/13</v>
        <stp/>
        <stp>Market</stp>
        <stp>STOCK</stp>
        <stp>21600.T</stp>
        <stp>決算発表日</stp>
        <tr r="S84" s="1"/>
      </tp>
      <tp t="s">
        <v>-</v>
        <stp/>
        <stp>Market</stp>
        <stp>STOCK</stp>
        <stp>20600.T</stp>
        <stp>決算発表日</stp>
        <tr r="S54" s="1"/>
      </tp>
    </main>
    <main first="rtdsrv.b2353dc584914e4193ea525a6339afd4">
      <tp t="s">
        <v>2026/02/13</v>
        <stp/>
        <stp>Market</stp>
        <stp>STOCK</stp>
        <stp>19690.T</stp>
        <stp>決算発表日</stp>
        <tr r="S31" s="1"/>
      </tp>
      <tp t="s">
        <v>2026/02/13</v>
        <stp/>
        <stp>Market</stp>
        <stp>STOCK</stp>
        <stp>21690.T</stp>
        <stp>決算発表日</stp>
        <tr r="S89" s="1"/>
      </tp>
      <tp t="s">
        <v>2026/02/12</v>
        <stp/>
        <stp>Market</stp>
        <stp>STOCK</stp>
        <stp>22690.T</stp>
        <stp>決算発表日</stp>
        <tr r="S127" s="1"/>
      </tp>
      <tp t="s">
        <v>2026/02/06</v>
        <stp/>
        <stp>Market</stp>
        <stp>STOCK</stp>
        <stp>19680.T</stp>
        <stp>決算発表日</stp>
        <tr r="S30" s="1"/>
      </tp>
      <tp t="s">
        <v>-</v>
        <stp/>
        <stp>Market</stp>
        <stp>STOCK</stp>
        <stp>21680.T</stp>
        <stp>決算発表日</stp>
        <tr r="S88" s="1"/>
      </tp>
      <tp t="s">
        <v>2026/02/09</v>
        <stp/>
        <stp>Market</stp>
        <stp>STOCK</stp>
        <stp>22680.T</stp>
        <stp>決算発表日</stp>
        <tr r="S126" s="1"/>
      </tp>
      <tp t="s">
        <v>2026/02/13</v>
        <stp/>
        <stp>Market</stp>
        <stp>STOCK</stp>
        <stp>197A0.T</stp>
        <stp>決算発表日</stp>
        <tr r="S37" s="1"/>
      </tp>
    </main>
    <main first="rtdsrv.b2353dc584914e4193ea525a6339afd4">
      <tp t="s">
        <v>-</v>
        <stp/>
        <stp>Market</stp>
        <stp>STOCK</stp>
        <stp>19760.T</stp>
        <stp>決算発表日</stp>
        <tr r="S35" s="1"/>
      </tp>
      <tp t="s">
        <v>2026/02/12</v>
        <stp/>
        <stp>Market</stp>
        <stp>STOCK</stp>
        <stp>19750.T</stp>
        <stp>決算発表日</stp>
        <tr r="S34" s="1"/>
      </tp>
      <tp t="s">
        <v>-</v>
        <stp/>
        <stp>Market</stp>
        <stp>STOCK</stp>
        <stp>21750.T</stp>
        <stp>決算発表日</stp>
        <tr r="S92" s="1"/>
      </tp>
      <tp t="s">
        <v>2026/02/16</v>
        <stp/>
        <stp>Market</stp>
        <stp>STOCK</stp>
        <stp>21730.T</stp>
        <stp>決算発表日</stp>
        <tr r="S91" s="1"/>
      </tp>
      <tp t="s">
        <v>-</v>
        <stp/>
        <stp>Market</stp>
        <stp>STOCK</stp>
        <stp>19720.T</stp>
        <stp>決算発表日</stp>
        <tr r="S33" s="1"/>
      </tp>
      <tp t="s">
        <v>2026/02/12</v>
        <stp/>
        <stp>Market</stp>
        <stp>STOCK</stp>
        <stp>21700.T</stp>
        <stp>決算発表日</stp>
        <tr r="S90" s="1"/>
      </tp>
      <tp t="s">
        <v>2026/02/13</v>
        <stp/>
        <stp>Market</stp>
        <stp>STOCK</stp>
        <stp>22700.T</stp>
        <stp>決算発表日</stp>
        <tr r="S128" s="1"/>
      </tp>
    </main>
    <main first="rtdsrv.b2353dc584914e4193ea525a6339afd4">
      <tp t="s">
        <v>2026/02/10</v>
        <stp/>
        <stp>Market</stp>
        <stp>STOCK</stp>
        <stp>19790.T</stp>
        <stp>決算発表日</stp>
        <tr r="S36" s="1"/>
      </tp>
      <tp t="s">
        <v>2026/02/06</v>
        <stp/>
        <stp>Market</stp>
        <stp>STOCK</stp>
        <stp>21790.T</stp>
        <stp>決算発表日</stp>
        <tr r="S93" s="1"/>
      </tp>
    </main>
    <main first="rtdsrv.b2353dc584914e4193ea525a6339afd4">
      <tp t="s">
        <v>-</v>
        <stp/>
        <stp>Market</stp>
        <stp>STOCK</stp>
        <stp>198A0.T</stp>
        <stp>決算発表日</stp>
        <tr r="S41" s="1"/>
      </tp>
      <tp t="s">
        <v>2026/03/13</v>
        <stp/>
        <stp>Market</stp>
        <stp>STOCK</stp>
        <stp>218A0.T</stp>
        <stp>決算発表日</stp>
        <tr r="S99" s="1"/>
      </tp>
      <tp t="s">
        <v>2026/02/13</v>
        <stp/>
        <stp>Market</stp>
        <stp>STOCK</stp>
        <stp>208A0.T</stp>
        <stp>決算発表日</stp>
        <tr r="S56" s="1"/>
      </tp>
      <tp t="s">
        <v>-</v>
        <stp/>
        <stp>Market</stp>
        <stp>STOCK</stp>
        <stp>228A0.T</stp>
        <stp>決算発表日</stp>
        <tr r="S133" s="1"/>
      </tp>
      <tp t="s">
        <v>2026/09/29</v>
        <stp/>
        <stp>Market</stp>
        <stp>STOCK</stp>
        <stp>19800.T</stp>
        <stp>中配落日</stp>
        <tr r="Q38" s="1"/>
      </tp>
      <tp t="s">
        <v/>
        <stp/>
        <stp>Market</stp>
        <stp>STOCK</stp>
        <stp>19810.T</stp>
        <stp>中配落日</stp>
        <tr r="Q39" s="1"/>
      </tp>
      <tp t="s">
        <v>2026/09/29</v>
        <stp/>
        <stp>Market</stp>
        <stp>STOCK</stp>
        <stp>19820.T</stp>
        <stp>中配落日</stp>
        <tr r="Q40" s="1"/>
      </tp>
      <tp t="s">
        <v>2026/11/27</v>
        <stp/>
        <stp>Market</stp>
        <stp>STOCK</stp>
        <stp>198A0.T</stp>
        <stp>中配落日</stp>
        <tr r="Q41" s="1"/>
      </tp>
      <tp t="s">
        <v>2026/06/29</v>
        <stp/>
        <stp>Market</stp>
        <stp>STOCK</stp>
        <stp>19940.T</stp>
        <stp>中配落日</stp>
        <tr r="Q43" s="1"/>
      </tp>
      <tp t="s">
        <v>2027/02/25</v>
        <stp/>
        <stp>Market</stp>
        <stp>STOCK</stp>
        <stp>19970.T</stp>
        <stp>中配落日</stp>
        <tr r="Q44" s="1"/>
      </tp>
      <tp t="s">
        <v>2026/09/29</v>
        <stp/>
        <stp>Market</stp>
        <stp>STOCK</stp>
        <stp>19920.T</stp>
        <stp>中配落日</stp>
        <tr r="Q42" s="1"/>
      </tp>
      <tp t="s">
        <v>2026/07/30</v>
        <stp/>
        <stp>Market</stp>
        <stp>STOCK</stp>
        <stp>19280.T</stp>
        <stp>中配落日</stp>
        <tr r="Q3" s="1"/>
      </tp>
      <tp t="s">
        <v>2026/09/29</v>
        <stp/>
        <stp>Market</stp>
        <stp>STOCK</stp>
        <stp>19290.T</stp>
        <stp>中配落日</stp>
        <tr r="Q4" s="1"/>
      </tp>
      <tp t="s">
        <v>2026/09/29</v>
        <stp/>
        <stp>Market</stp>
        <stp>STOCK</stp>
        <stp>19260.T</stp>
        <stp>中配落日</stp>
        <tr r="Q2" s="1"/>
      </tp>
      <tp t="s">
        <v>2026/11/27</v>
        <stp/>
        <stp>Market</stp>
        <stp>STOCK</stp>
        <stp>192A0.T</stp>
        <stp>中配落日</stp>
        <tr r="Q5" s="1"/>
      </tp>
      <tp t="s">
        <v/>
        <stp/>
        <stp>Market</stp>
        <stp>STOCK</stp>
        <stp>19380.T</stp>
        <stp>中配落日</stp>
        <tr r="Q8" s="1"/>
      </tp>
      <tp t="s">
        <v>2026/09/29</v>
        <stp/>
        <stp>Market</stp>
        <stp>STOCK</stp>
        <stp>19390.T</stp>
        <stp>中配落日</stp>
        <tr r="Q9" s="1"/>
      </tp>
      <tp t="s">
        <v>2026/09/29</v>
        <stp/>
        <stp>Market</stp>
        <stp>STOCK</stp>
        <stp>19340.T</stp>
        <stp>中配落日</stp>
        <tr r="Q7" s="1"/>
      </tp>
      <tp t="s">
        <v>2026/09/29</v>
        <stp/>
        <stp>Market</stp>
        <stp>STOCK</stp>
        <stp>19300.T</stp>
        <stp>中配落日</stp>
        <tr r="Q6" s="1"/>
      </tp>
      <tp t="s">
        <v/>
        <stp/>
        <stp>Market</stp>
        <stp>STOCK</stp>
        <stp>19680.T</stp>
        <stp>中配落日</stp>
        <tr r="Q30" s="1"/>
      </tp>
      <tp t="s">
        <v>2026/09/29</v>
        <stp/>
        <stp>Market</stp>
        <stp>STOCK</stp>
        <stp>19690.T</stp>
        <stp>中配落日</stp>
        <tr r="Q31" s="1"/>
      </tp>
      <tp t="s">
        <v/>
        <stp/>
        <stp>Market</stp>
        <stp>STOCK</stp>
        <stp>19640.T</stp>
        <stp>中配落日</stp>
        <tr r="Q26" s="1"/>
      </tp>
      <tp t="s">
        <v>2026/09/29</v>
        <stp/>
        <stp>Market</stp>
        <stp>STOCK</stp>
        <stp>19650.T</stp>
        <stp>中配落日</stp>
        <tr r="Q27" s="1"/>
      </tp>
      <tp t="s">
        <v>2026/09/29</v>
        <stp/>
        <stp>Market</stp>
        <stp>STOCK</stp>
        <stp>19660.T</stp>
        <stp>中配落日</stp>
        <tr r="Q28" s="1"/>
      </tp>
      <tp t="s">
        <v>2026/09/17</v>
        <stp/>
        <stp>Market</stp>
        <stp>STOCK</stp>
        <stp>19670.T</stp>
        <stp>中配落日</stp>
        <tr r="Q29" s="1"/>
      </tp>
      <tp t="s">
        <v/>
        <stp/>
        <stp>Market</stp>
        <stp>STOCK</stp>
        <stp>19600.T</stp>
        <stp>中配落日</stp>
        <tr r="Q23" s="1"/>
      </tp>
      <tp t="s">
        <v>2026/09/29</v>
        <stp/>
        <stp>Market</stp>
        <stp>STOCK</stp>
        <stp>19610.T</stp>
        <stp>中配落日</stp>
        <tr r="Q24" s="1"/>
      </tp>
      <tp t="s">
        <v/>
        <stp/>
        <stp>Market</stp>
        <stp>STOCK</stp>
        <stp>19630.T</stp>
        <stp>中配落日</stp>
        <tr r="Q25" s="1"/>
      </tp>
      <tp t="s">
        <v>2026/12/29</v>
        <stp/>
        <stp>Market</stp>
        <stp>STOCK</stp>
        <stp>196A0.T</stp>
        <stp>中配落日</stp>
        <tr r="Q32" s="1"/>
      </tp>
      <tp t="s">
        <v>2026/09/29</v>
        <stp/>
        <stp>Market</stp>
        <stp>STOCK</stp>
        <stp>19790.T</stp>
        <stp>中配落日</stp>
        <tr r="Q36" s="1"/>
      </tp>
      <tp t="s">
        <v>2026/09/29</v>
        <stp/>
        <stp>Market</stp>
        <stp>STOCK</stp>
        <stp>19750.T</stp>
        <stp>中配落日</stp>
        <tr r="Q34" s="1"/>
      </tp>
      <tp t="s">
        <v>2026/09/29</v>
        <stp/>
        <stp>Market</stp>
        <stp>STOCK</stp>
        <stp>19760.T</stp>
        <stp>中配落日</stp>
        <tr r="Q35" s="1"/>
      </tp>
      <tp t="s">
        <v>2026/09/29</v>
        <stp/>
        <stp>Market</stp>
        <stp>STOCK</stp>
        <stp>19720.T</stp>
        <stp>中配落日</stp>
        <tr r="Q33" s="1"/>
      </tp>
      <tp t="s">
        <v>2026/12/29</v>
        <stp/>
        <stp>Market</stp>
        <stp>STOCK</stp>
        <stp>197A0.T</stp>
        <stp>中配落日</stp>
        <tr r="Q37" s="1"/>
      </tp>
      <tp t="s">
        <v>2026/09/29</v>
        <stp/>
        <stp>Market</stp>
        <stp>STOCK</stp>
        <stp>19480.T</stp>
        <stp>中配落日</stp>
        <tr r="Q15" s="1"/>
      </tp>
      <tp t="s">
        <v/>
        <stp/>
        <stp>Market</stp>
        <stp>STOCK</stp>
        <stp>19490.T</stp>
        <stp>中配落日</stp>
        <tr r="Q16" s="1"/>
      </tp>
      <tp t="s">
        <v>2026/09/29</v>
        <stp/>
        <stp>Market</stp>
        <stp>STOCK</stp>
        <stp>19440.T</stp>
        <stp>中配落日</stp>
        <tr r="Q12" s="1"/>
      </tp>
      <tp t="s">
        <v>2026/09/29</v>
        <stp/>
        <stp>Market</stp>
        <stp>STOCK</stp>
        <stp>19450.T</stp>
        <stp>中配落日</stp>
        <tr r="Q13" s="1"/>
      </tp>
      <tp t="s">
        <v>2026/09/29</v>
        <stp/>
        <stp>Market</stp>
        <stp>STOCK</stp>
        <stp>19460.T</stp>
        <stp>中配落日</stp>
        <tr r="Q14" s="1"/>
      </tp>
      <tp t="s">
        <v>2026/09/29</v>
        <stp/>
        <stp>Market</stp>
        <stp>STOCK</stp>
        <stp>19410.T</stp>
        <stp>中配落日</stp>
        <tr r="Q10" s="1"/>
      </tp>
      <tp t="s">
        <v>2026/09/29</v>
        <stp/>
        <stp>Market</stp>
        <stp>STOCK</stp>
        <stp>19420.T</stp>
        <stp>中配落日</stp>
        <tr r="Q11" s="1"/>
      </tp>
      <tp t="s">
        <v>2026/12/29</v>
        <stp/>
        <stp>Market</stp>
        <stp>STOCK</stp>
        <stp>194A0.T</stp>
        <stp>中配落日</stp>
        <tr r="Q17" s="1"/>
      </tp>
      <tp t="s">
        <v>2026/09/29</v>
        <stp/>
        <stp>Market</stp>
        <stp>STOCK</stp>
        <stp>19590.T</stp>
        <stp>中配落日</stp>
        <tr r="Q21" s="1"/>
      </tp>
      <tp t="s">
        <v/>
        <stp/>
        <stp>Market</stp>
        <stp>STOCK</stp>
        <stp>19500.T</stp>
        <stp>中配落日</stp>
        <tr r="Q18" s="1"/>
      </tp>
      <tp t="s">
        <v>2026/09/29</v>
        <stp/>
        <stp>Market</stp>
        <stp>STOCK</stp>
        <stp>19510.T</stp>
        <stp>中配落日</stp>
        <tr r="Q19" s="1"/>
      </tp>
      <tp t="s">
        <v>2026/09/29</v>
        <stp/>
        <stp>Market</stp>
        <stp>STOCK</stp>
        <stp>19520.T</stp>
        <stp>中配落日</stp>
        <tr r="Q20" s="1"/>
      </tp>
      <tp t="s">
        <v>2026/09/29</v>
        <stp/>
        <stp>Market</stp>
        <stp>STOCK</stp>
        <stp>195A0.T</stp>
        <stp>中配落日</stp>
        <tr r="Q22" s="1"/>
      </tp>
    </main>
    <main first="rtdsrv.b2353dc584914e4193ea525a6339afd4">
      <tp t="s">
        <v>-</v>
        <stp/>
        <stp>Market</stp>
        <stp>STOCK</stp>
        <stp>21860.T</stp>
        <stp>決算発表日</stp>
        <tr r="S98" s="1"/>
      </tp>
      <tp t="s">
        <v>2026/02/13</v>
        <stp/>
        <stp>Market</stp>
        <stp>STOCK</stp>
        <stp>22860.T</stp>
        <stp>決算発表日</stp>
        <tr r="S131" s="1"/>
      </tp>
      <tp t="s">
        <v>-</v>
        <stp/>
        <stp>Market</stp>
        <stp>STOCK</stp>
        <stp>21850.T</stp>
        <stp>決算発表日</stp>
        <tr r="S97" s="1"/>
      </tp>
      <tp t="s">
        <v>2026/02/13</v>
        <stp/>
        <stp>Market</stp>
        <stp>STOCK</stp>
        <stp>21830.T</stp>
        <stp>決算発表日</stp>
        <tr r="S96" s="1"/>
      </tp>
      <tp t="s">
        <v>2026/02/10</v>
        <stp/>
        <stp>Market</stp>
        <stp>STOCK</stp>
        <stp>19820.T</stp>
        <stp>決算発表日</stp>
        <tr r="S40" s="1"/>
      </tp>
      <tp t="s">
        <v>-</v>
        <stp/>
        <stp>Market</stp>
        <stp>STOCK</stp>
        <stp>22820.T</stp>
        <stp>決算発表日</stp>
        <tr r="S130" s="1"/>
      </tp>
      <tp t="s">
        <v>2026/02/12</v>
        <stp/>
        <stp>Market</stp>
        <stp>STOCK</stp>
        <stp>19810.T</stp>
        <stp>決算発表日</stp>
        <tr r="S39" s="1"/>
      </tp>
      <tp t="s">
        <v>2026/02/13</v>
        <stp/>
        <stp>Market</stp>
        <stp>STOCK</stp>
        <stp>21810.T</stp>
        <stp>決算発表日</stp>
        <tr r="S95" s="1"/>
      </tp>
      <tp t="s">
        <v>-</v>
        <stp/>
        <stp>Market</stp>
        <stp>STOCK</stp>
        <stp>22810.T</stp>
        <stp>決算発表日</stp>
        <tr r="S129" s="1"/>
      </tp>
      <tp t="s">
        <v>2026/02/06</v>
        <stp/>
        <stp>Market</stp>
        <stp>STOCK</stp>
        <stp>19800.T</stp>
        <stp>決算発表日</stp>
        <tr r="S38" s="1"/>
      </tp>
      <tp t="s">
        <v>2026/02/13</v>
        <stp/>
        <stp>Market</stp>
        <stp>STOCK</stp>
        <stp>21800.T</stp>
        <stp>決算発表日</stp>
        <tr r="S94" s="1"/>
      </tp>
      <tp t="s">
        <v>2026/02/05</v>
        <stp/>
        <stp>Market</stp>
        <stp>STOCK</stp>
        <stp>22880.T</stp>
        <stp>決算発表日</stp>
        <tr r="S132" s="1"/>
      </tp>
      <tp>
        <v>2502</v>
        <stp/>
        <stp>Market</stp>
        <stp>STOCK</stp>
        <stp>215A0.T</stp>
        <stp>上場来高値</stp>
        <tr r="V83" s="1"/>
      </tp>
      <tp>
        <v>3400</v>
        <stp/>
        <stp>Market</stp>
        <stp>STOCK</stp>
        <stp>205A0.T</stp>
        <stp>上場来高値</stp>
        <tr r="V53" s="1"/>
      </tp>
      <tp>
        <v>1608</v>
        <stp/>
        <stp>Market</stp>
        <stp>STOCK</stp>
        <stp>195A0.T</stp>
        <stp>上場来高値</stp>
        <tr r="V22" s="1"/>
      </tp>
    </main>
    <main first="rtdsrv.b2353dc584914e4193ea525a6339afd4">
      <tp>
        <v>2439</v>
        <stp/>
        <stp>Market</stp>
        <stp>STOCK</stp>
        <stp>205A0.T</stp>
        <stp>年初来高値</stp>
        <tr r="T53" s="1"/>
      </tp>
      <tp>
        <v>2502</v>
        <stp/>
        <stp>Market</stp>
        <stp>STOCK</stp>
        <stp>215A0.T</stp>
        <stp>年初来高値</stp>
        <tr r="T83" s="1"/>
      </tp>
      <tp>
        <v>1459</v>
        <stp/>
        <stp>Market</stp>
        <stp>STOCK</stp>
        <stp>195A0.T</stp>
        <stp>年初来高値</stp>
        <tr r="T22" s="1"/>
      </tp>
    </main>
    <main first="rtdsrv.b2353dc584914e4193ea525a6339afd4">
      <tp t="s">
        <v/>
        <stp/>
        <stp>Market</stp>
        <stp>STOCK</stp>
        <stp>21500.T</stp>
        <stp>年初来高値</stp>
        <tr r="T76" s="1"/>
      </tp>
      <tp>
        <v>5380</v>
        <stp/>
        <stp>Market</stp>
        <stp>STOCK</stp>
        <stp>19500.T</stp>
        <stp>年初来高値</stp>
        <tr r="T18" s="1"/>
      </tp>
      <tp>
        <v>3003</v>
        <stp/>
        <stp>Market</stp>
        <stp>STOCK</stp>
        <stp>19510.T</stp>
        <stp>年初来高値</stp>
        <tr r="T19" s="1"/>
      </tp>
      <tp>
        <v>1685</v>
        <stp/>
        <stp>Market</stp>
        <stp>STOCK</stp>
        <stp>21520.T</stp>
        <stp>年初来高値</stp>
        <tr r="T77" s="1"/>
      </tp>
      <tp>
        <v>4400</v>
        <stp/>
        <stp>Market</stp>
        <stp>STOCK</stp>
        <stp>19520.T</stp>
        <stp>年初来高値</stp>
        <tr r="T20" s="1"/>
      </tp>
      <tp>
        <v>1998</v>
        <stp/>
        <stp>Market</stp>
        <stp>STOCK</stp>
        <stp>20530.T</stp>
        <stp>年初来高値</stp>
        <tr r="T51" s="1"/>
      </tp>
      <tp>
        <v>1937</v>
        <stp/>
        <stp>Market</stp>
        <stp>STOCK</stp>
        <stp>21530.T</stp>
        <stp>年初来高値</stp>
        <tr r="T78" s="1"/>
      </tp>
      <tp>
        <v>1979</v>
        <stp/>
        <stp>Market</stp>
        <stp>STOCK</stp>
        <stp>21540.T</stp>
        <stp>年初来高値</stp>
        <tr r="T79" s="1"/>
      </tp>
      <tp>
        <v>415</v>
        <stp/>
        <stp>Market</stp>
        <stp>STOCK</stp>
        <stp>20550.T</stp>
        <stp>年初来高値</stp>
        <tr r="T52" s="1"/>
      </tp>
      <tp>
        <v>506</v>
        <stp/>
        <stp>Market</stp>
        <stp>STOCK</stp>
        <stp>21560.T</stp>
        <stp>年初来高値</stp>
        <tr r="T80" s="1"/>
      </tp>
    </main>
    <main first="rtdsrv.b2353dc584914e4193ea525a6339afd4">
      <tp>
        <v>1484</v>
        <stp/>
        <stp>Market</stp>
        <stp>STOCK</stp>
        <stp>21570.T</stp>
        <stp>年初来高値</stp>
        <tr r="T81" s="1"/>
      </tp>
    </main>
    <main first="rtdsrv.b2353dc584914e4193ea525a6339afd4">
      <tp>
        <v>1233</v>
        <stp/>
        <stp>Market</stp>
        <stp>STOCK</stp>
        <stp>21580.T</stp>
        <stp>年初来高値</stp>
        <tr r="T82" s="1"/>
      </tp>
    </main>
    <main first="rtdsrv.b2353dc584914e4193ea525a6339afd4">
      <tp>
        <v>10580</v>
        <stp/>
        <stp>Market</stp>
        <stp>STOCK</stp>
        <stp>19590.T</stp>
        <stp>年初来高値</stp>
        <tr r="T21" s="1"/>
      </tp>
    </main>
    <main first="rtdsrv.b2353dc584914e4193ea525a6339afd4">
      <tp t="s">
        <v/>
        <stp/>
        <stp>Market</stp>
        <stp>STOCK</stp>
        <stp>21500.T</stp>
        <stp>上場来高値</stp>
        <tr r="V76" s="1"/>
      </tp>
      <tp>
        <v>5380</v>
        <stp/>
        <stp>Market</stp>
        <stp>STOCK</stp>
        <stp>19500.T</stp>
        <stp>上場来高値</stp>
        <tr r="V18" s="1"/>
      </tp>
      <tp>
        <v>3410</v>
        <stp/>
        <stp>Market</stp>
        <stp>STOCK</stp>
        <stp>19510.T</stp>
        <stp>上場来高値</stp>
        <tr r="V19" s="1"/>
      </tp>
      <tp>
        <v>7430</v>
        <stp/>
        <stp>Market</stp>
        <stp>STOCK</stp>
        <stp>21520.T</stp>
        <stp>上場来高値</stp>
        <tr r="V77" s="1"/>
      </tp>
      <tp>
        <v>5190</v>
        <stp/>
        <stp>Market</stp>
        <stp>STOCK</stp>
        <stp>19520.T</stp>
        <stp>上場来高値</stp>
        <tr r="V20" s="1"/>
      </tp>
      <tp>
        <v>30350</v>
        <stp/>
        <stp>Market</stp>
        <stp>STOCK</stp>
        <stp>21530.T</stp>
        <stp>上場来高値</stp>
        <tr r="V78" s="1"/>
      </tp>
      <tp>
        <v>2569</v>
        <stp/>
        <stp>Market</stp>
        <stp>STOCK</stp>
        <stp>20530.T</stp>
        <stp>上場来高値</stp>
        <tr r="V51" s="1"/>
      </tp>
      <tp>
        <v>515000</v>
        <stp/>
        <stp>Market</stp>
        <stp>STOCK</stp>
        <stp>21540.T</stp>
        <stp>上場来高値</stp>
        <tr r="V79" s="1"/>
      </tp>
      <tp>
        <v>2900</v>
        <stp/>
        <stp>Market</stp>
        <stp>STOCK</stp>
        <stp>20550.T</stp>
        <stp>上場来高値</stp>
        <tr r="V52" s="1"/>
      </tp>
    </main>
    <main first="rtdsrv.b2353dc584914e4193ea525a6339afd4">
      <tp>
        <v>922</v>
        <stp/>
        <stp>Market</stp>
        <stp>STOCK</stp>
        <stp>21560.T</stp>
        <stp>上場来高値</stp>
        <tr r="V80" s="1"/>
      </tp>
    </main>
    <main first="rtdsrv.b2353dc584914e4193ea525a6339afd4">
      <tp>
        <v>1050000</v>
        <stp/>
        <stp>Market</stp>
        <stp>STOCK</stp>
        <stp>21570.T</stp>
        <stp>上場来高値</stp>
        <tr r="V81" s="1"/>
      </tp>
    </main>
    <main first="rtdsrv.b2353dc584914e4193ea525a6339afd4">
      <tp>
        <v>33850</v>
        <stp/>
        <stp>Market</stp>
        <stp>STOCK</stp>
        <stp>21580.T</stp>
        <stp>上場来高値</stp>
        <tr r="V82" s="1"/>
      </tp>
    </main>
    <main first="rtdsrv.b2353dc584914e4193ea525a6339afd4">
      <tp>
        <v>10580</v>
        <stp/>
        <stp>Market</stp>
        <stp>STOCK</stp>
        <stp>19590.T</stp>
        <stp>上場来高値</stp>
        <tr r="V21" s="1"/>
      </tp>
    </main>
    <main first="rtdsrv.b2353dc584914e4193ea525a6339afd4">
      <tp t="s">
        <v>2026/02/13</v>
        <stp/>
        <stp>Market</stp>
        <stp>STOCK</stp>
        <stp>219A0.T</stp>
        <stp>決算発表日</stp>
        <tr r="S104" s="1"/>
      </tp>
    </main>
    <main first="rtdsrv.b2353dc584914e4193ea525a6339afd4">
      <tp t="s">
        <v>-</v>
        <stp/>
        <stp>Market</stp>
        <stp>STOCK</stp>
        <stp>19970.T</stp>
        <stp>決算発表日</stp>
        <tr r="S44" s="1"/>
      </tp>
      <tp t="s">
        <v>2026/02/13</v>
        <stp/>
        <stp>Market</stp>
        <stp>STOCK</stp>
        <stp>21960.T</stp>
        <stp>決算発表日</stp>
        <tr r="S102" s="1"/>
      </tp>
      <tp t="s">
        <v>2026/02/05</v>
        <stp/>
        <stp>Market</stp>
        <stp>STOCK</stp>
        <stp>22960.T</stp>
        <stp>決算発表日</stp>
        <tr r="S138" s="1"/>
      </tp>
      <tp t="s">
        <v>2026/02/12</v>
        <stp/>
        <stp>Market</stp>
        <stp>STOCK</stp>
        <stp>21950.T</stp>
        <stp>決算発表日</stp>
        <tr r="S101" s="1"/>
      </tp>
      <tp t="s">
        <v>2026/02/10</v>
        <stp/>
        <stp>Market</stp>
        <stp>STOCK</stp>
        <stp>19940.T</stp>
        <stp>決算発表日</stp>
        <tr r="S43" s="1"/>
      </tp>
      <tp t="s">
        <v>2026/03/12</v>
        <stp/>
        <stp>Market</stp>
        <stp>STOCK</stp>
        <stp>22940.T</stp>
        <stp>決算発表日</stp>
        <tr r="S137" s="1"/>
      </tp>
      <tp t="s">
        <v>2026/02/06</v>
        <stp/>
        <stp>Market</stp>
        <stp>STOCK</stp>
        <stp>21930.T</stp>
        <stp>決算発表日</stp>
        <tr r="S100" s="1"/>
      </tp>
      <tp t="s">
        <v>2026/02/10</v>
        <stp/>
        <stp>Market</stp>
        <stp>STOCK</stp>
        <stp>22930.T</stp>
        <stp>決算発表日</stp>
        <tr r="S136" s="1"/>
      </tp>
      <tp t="s">
        <v>2026/02/09</v>
        <stp/>
        <stp>Market</stp>
        <stp>STOCK</stp>
        <stp>19920.T</stp>
        <stp>決算発表日</stp>
        <tr r="S42" s="1"/>
      </tp>
      <tp t="s">
        <v>-</v>
        <stp/>
        <stp>Market</stp>
        <stp>STOCK</stp>
        <stp>22920.T</stp>
        <stp>決算発表日</stp>
        <tr r="S135" s="1"/>
      </tp>
      <tp t="s">
        <v>2026/02/12</v>
        <stp/>
        <stp>Market</stp>
        <stp>STOCK</stp>
        <stp>22910.T</stp>
        <stp>決算発表日</stp>
        <tr r="S134" s="1"/>
      </tp>
      <tp t="s">
        <v>2026/03/12</v>
        <stp/>
        <stp>Market</stp>
        <stp>STOCK</stp>
        <stp>21980.T</stp>
        <stp>決算発表日</stp>
        <tr r="S103" s="1"/>
      </tp>
      <tp>
        <v>2900</v>
        <stp/>
        <stp>Market</stp>
        <stp>STOCK</stp>
        <stp>194A0.T</stp>
        <stp>上場来高値</stp>
        <tr r="V17" s="1"/>
      </tp>
    </main>
    <main first="rtdsrv.b2353dc584914e4193ea525a6339afd4">
      <tp>
        <v>2900</v>
        <stp/>
        <stp>Market</stp>
        <stp>STOCK</stp>
        <stp>194A0.T</stp>
        <stp>年初来高値</stp>
        <tr r="T17" s="1"/>
      </tp>
    </main>
    <main first="rtdsrv.b2353dc584914e4193ea525a6339afd4">
      <tp>
        <v>5140</v>
        <stp/>
        <stp>Market</stp>
        <stp>STOCK</stp>
        <stp>19410.T</stp>
        <stp>年初来高値</stp>
        <tr r="T10" s="1"/>
      </tp>
      <tp>
        <v>6986</v>
        <stp/>
        <stp>Market</stp>
        <stp>STOCK</stp>
        <stp>19420.T</stp>
        <stp>年初来高値</stp>
        <tr r="T11" s="1"/>
      </tp>
      <tp>
        <v>8580</v>
        <stp/>
        <stp>Market</stp>
        <stp>STOCK</stp>
        <stp>19440.T</stp>
        <stp>年初来高値</stp>
        <tr r="T12" s="1"/>
      </tp>
      <tp>
        <v>2074</v>
        <stp/>
        <stp>Market</stp>
        <stp>STOCK</stp>
        <stp>19450.T</stp>
        <stp>年初来高値</stp>
        <tr r="T13" s="1"/>
      </tp>
      <tp>
        <v>221</v>
        <stp/>
        <stp>Market</stp>
        <stp>STOCK</stp>
        <stp>21460.T</stp>
        <stp>年初来高値</stp>
        <tr r="T74" s="1"/>
      </tp>
      <tp>
        <v>2397</v>
        <stp/>
        <stp>Market</stp>
        <stp>STOCK</stp>
        <stp>19460.T</stp>
        <stp>年初来高値</stp>
        <tr r="T14" s="1"/>
      </tp>
      <tp>
        <v>1910</v>
        <stp/>
        <stp>Market</stp>
        <stp>STOCK</stp>
        <stp>21480.T</stp>
        <stp>年初来高値</stp>
        <tr r="T75" s="1"/>
      </tp>
      <tp>
        <v>7150</v>
        <stp/>
        <stp>Market</stp>
        <stp>STOCK</stp>
        <stp>19480.T</stp>
        <stp>年初来高値</stp>
        <tr r="T15" s="1"/>
      </tp>
    </main>
    <main first="rtdsrv.b2353dc584914e4193ea525a6339afd4">
      <tp>
        <v>9940</v>
        <stp/>
        <stp>Market</stp>
        <stp>STOCK</stp>
        <stp>19490.T</stp>
        <stp>年初来高値</stp>
        <tr r="T16" s="1"/>
      </tp>
    </main>
    <main first="rtdsrv.b2353dc584914e4193ea525a6339afd4">
      <tp>
        <v>5160</v>
        <stp/>
        <stp>Market</stp>
        <stp>STOCK</stp>
        <stp>19410.T</stp>
        <stp>上場来高値</stp>
        <tr r="V10" s="1"/>
      </tp>
      <tp>
        <v>6986</v>
        <stp/>
        <stp>Market</stp>
        <stp>STOCK</stp>
        <stp>19420.T</stp>
        <stp>上場来高値</stp>
        <tr r="V11" s="1"/>
      </tp>
      <tp>
        <v>8580</v>
        <stp/>
        <stp>Market</stp>
        <stp>STOCK</stp>
        <stp>19440.T</stp>
        <stp>上場来高値</stp>
        <tr r="V12" s="1"/>
      </tp>
      <tp>
        <v>2380</v>
        <stp/>
        <stp>Market</stp>
        <stp>STOCK</stp>
        <stp>19450.T</stp>
        <stp>上場来高値</stp>
        <tr r="V13" s="1"/>
      </tp>
      <tp>
        <v>242000</v>
        <stp/>
        <stp>Market</stp>
        <stp>STOCK</stp>
        <stp>21460.T</stp>
        <stp>上場来高値</stp>
        <tr r="V74" s="1"/>
      </tp>
      <tp>
        <v>6450</v>
        <stp/>
        <stp>Market</stp>
        <stp>STOCK</stp>
        <stp>19460.T</stp>
        <stp>上場来高値</stp>
        <tr r="V14" s="1"/>
      </tp>
    </main>
    <main first="rtdsrv.b2353dc584914e4193ea525a6339afd4">
      <tp>
        <v>735000</v>
        <stp/>
        <stp>Market</stp>
        <stp>STOCK</stp>
        <stp>21480.T</stp>
        <stp>上場来高値</stp>
        <tr r="V75" s="1"/>
      </tp>
      <tp>
        <v>7150</v>
        <stp/>
        <stp>Market</stp>
        <stp>STOCK</stp>
        <stp>19480.T</stp>
        <stp>上場来高値</stp>
        <tr r="V15" s="1"/>
      </tp>
    </main>
    <main first="rtdsrv.b2353dc584914e4193ea525a6339afd4">
      <tp>
        <v>9940</v>
        <stp/>
        <stp>Market</stp>
        <stp>STOCK</stp>
        <stp>19490.T</stp>
        <stp>上場来高値</stp>
        <tr r="V16" s="1"/>
      </tp>
    </main>
    <main first="rtdsrv.b2353dc584914e4193ea525a6339afd4">
      <tp>
        <v>733</v>
        <stp/>
        <stp>Market</stp>
        <stp>STOCK</stp>
        <stp>197A0.T</stp>
        <stp>上場来高値</stp>
        <tr r="V37" s="1"/>
      </tp>
    </main>
    <main first="rtdsrv.b2353dc584914e4193ea525a6339afd4">
      <tp>
        <v>733</v>
        <stp/>
        <stp>Market</stp>
        <stp>STOCK</stp>
        <stp>197A0.T</stp>
        <stp>年初来高値</stp>
        <tr r="T37" s="1"/>
      </tp>
    </main>
    <main first="rtdsrv.b2353dc584914e4193ea525a6339afd4">
      <tp>
        <v>3600</v>
        <stp/>
        <stp>Market</stp>
        <stp>STOCK</stp>
        <stp>22700.T</stp>
        <stp>年初来高値</stp>
        <tr r="T128" s="1"/>
      </tp>
      <tp>
        <v>626</v>
        <stp/>
        <stp>Market</stp>
        <stp>STOCK</stp>
        <stp>21700.T</stp>
        <stp>年初来高値</stp>
        <tr r="T90" s="1"/>
      </tp>
      <tp>
        <v>1583</v>
        <stp/>
        <stp>Market</stp>
        <stp>STOCK</stp>
        <stp>19720.T</stp>
        <stp>年初来高値</stp>
        <tr r="T33" s="1"/>
      </tp>
      <tp>
        <v>1088</v>
        <stp/>
        <stp>Market</stp>
        <stp>STOCK</stp>
        <stp>21730.T</stp>
        <stp>年初来高値</stp>
        <tr r="T91" s="1"/>
      </tp>
      <tp>
        <v>1851</v>
        <stp/>
        <stp>Market</stp>
        <stp>STOCK</stp>
        <stp>21750.T</stp>
        <stp>年初来高値</stp>
        <tr r="T92" s="1"/>
      </tp>
      <tp>
        <v>4825</v>
        <stp/>
        <stp>Market</stp>
        <stp>STOCK</stp>
        <stp>19750.T</stp>
        <stp>年初来高値</stp>
        <tr r="T34" s="1"/>
      </tp>
      <tp>
        <v>2049</v>
        <stp/>
        <stp>Market</stp>
        <stp>STOCK</stp>
        <stp>19760.T</stp>
        <stp>年初来高値</stp>
        <tr r="T35" s="1"/>
      </tp>
    </main>
    <main first="rtdsrv.b2353dc584914e4193ea525a6339afd4">
      <tp>
        <v>830</v>
        <stp/>
        <stp>Market</stp>
        <stp>STOCK</stp>
        <stp>21790.T</stp>
        <stp>年初来高値</stp>
        <tr r="T93" s="1"/>
      </tp>
      <tp>
        <v>3980</v>
        <stp/>
        <stp>Market</stp>
        <stp>STOCK</stp>
        <stp>19790.T</stp>
        <stp>年初来高値</stp>
        <tr r="T36" s="1"/>
      </tp>
    </main>
    <main first="rtdsrv.b2353dc584914e4193ea525a6339afd4">
      <tp>
        <v>3835</v>
        <stp/>
        <stp>Market</stp>
        <stp>STOCK</stp>
        <stp>22700.T</stp>
        <stp>上場来高値</stp>
        <tr r="V128" s="1"/>
      </tp>
      <tp>
        <v>277000</v>
        <stp/>
        <stp>Market</stp>
        <stp>STOCK</stp>
        <stp>21700.T</stp>
        <stp>上場来高値</stp>
        <tr r="V90" s="1"/>
      </tp>
      <tp>
        <v>8670</v>
        <stp/>
        <stp>Market</stp>
        <stp>STOCK</stp>
        <stp>19720.T</stp>
        <stp>上場来高値</stp>
        <tr r="V33" s="1"/>
      </tp>
      <tp>
        <v>188000</v>
        <stp/>
        <stp>Market</stp>
        <stp>STOCK</stp>
        <stp>21730.T</stp>
        <stp>上場来高値</stp>
        <tr r="V91" s="1"/>
      </tp>
      <tp>
        <v>1478000</v>
        <stp/>
        <stp>Market</stp>
        <stp>STOCK</stp>
        <stp>21750.T</stp>
        <stp>上場来高値</stp>
        <tr r="V92" s="1"/>
      </tp>
      <tp>
        <v>4825</v>
        <stp/>
        <stp>Market</stp>
        <stp>STOCK</stp>
        <stp>19750.T</stp>
        <stp>上場来高値</stp>
        <tr r="V34" s="1"/>
      </tp>
    </main>
    <main first="rtdsrv.b2353dc584914e4193ea525a6339afd4">
      <tp>
        <v>2200</v>
        <stp/>
        <stp>Market</stp>
        <stp>STOCK</stp>
        <stp>19760.T</stp>
        <stp>上場来高値</stp>
        <tr r="V35" s="1"/>
      </tp>
    </main>
    <main first="rtdsrv.b2353dc584914e4193ea525a6339afd4">
      <tp>
        <v>142000</v>
        <stp/>
        <stp>Market</stp>
        <stp>STOCK</stp>
        <stp>21790.T</stp>
        <stp>上場来高値</stp>
        <tr r="V93" s="1"/>
      </tp>
      <tp>
        <v>5440</v>
        <stp/>
        <stp>Market</stp>
        <stp>STOCK</stp>
        <stp>19790.T</stp>
        <stp>上場来高値</stp>
        <tr r="V36" s="1"/>
      </tp>
    </main>
    <main first="rtdsrv.b2353dc584914e4193ea525a6339afd4">
      <tp>
        <v>672</v>
        <stp/>
        <stp>Market</stp>
        <stp>STOCK</stp>
        <stp>206A0.T</stp>
        <stp>上場来高値</stp>
        <tr r="V55" s="1"/>
      </tp>
      <tp>
        <v>578</v>
        <stp/>
        <stp>Market</stp>
        <stp>STOCK</stp>
        <stp>196A0.T</stp>
        <stp>上場来高値</stp>
        <tr r="V32" s="1"/>
      </tp>
      <tp>
        <v>330</v>
        <stp/>
        <stp>Market</stp>
        <stp>STOCK</stp>
        <stp>206A0.T</stp>
        <stp>年初来高値</stp>
        <tr r="T55" s="1"/>
      </tp>
      <tp>
        <v>578</v>
        <stp/>
        <stp>Market</stp>
        <stp>STOCK</stp>
        <stp>196A0.T</stp>
        <stp>年初来高値</stp>
        <tr r="T32" s="1"/>
      </tp>
      <tp>
        <v>1333</v>
        <stp/>
        <stp>Market</stp>
        <stp>STOCK</stp>
        <stp>20600.T</stp>
        <stp>年初来高値</stp>
        <tr r="T54" s="1"/>
      </tp>
      <tp>
        <v>4410</v>
        <stp/>
        <stp>Market</stp>
        <stp>STOCK</stp>
        <stp>21600.T</stp>
        <stp>年初来高値</stp>
        <tr r="T84" s="1"/>
      </tp>
      <tp>
        <v>1674</v>
        <stp/>
        <stp>Market</stp>
        <stp>STOCK</stp>
        <stp>19600.T</stp>
        <stp>年初来高値</stp>
        <tr r="T23" s="1"/>
      </tp>
      <tp>
        <v>7940</v>
        <stp/>
        <stp>Market</stp>
        <stp>STOCK</stp>
        <stp>19610.T</stp>
        <stp>年初来高値</stp>
        <tr r="T24" s="1"/>
      </tp>
      <tp>
        <v>656</v>
        <stp/>
        <stp>Market</stp>
        <stp>STOCK</stp>
        <stp>21620.T</stp>
        <stp>年初来高値</stp>
        <tr r="T85" s="1"/>
      </tp>
      <tp>
        <v>2258</v>
        <stp/>
        <stp>Market</stp>
        <stp>STOCK</stp>
        <stp>21630.T</stp>
        <stp>年初来高値</stp>
        <tr r="T86" s="1"/>
      </tp>
      <tp>
        <v>2571</v>
        <stp/>
        <stp>Market</stp>
        <stp>STOCK</stp>
        <stp>19630.T</stp>
        <stp>年初来高値</stp>
        <tr r="T25" s="1"/>
      </tp>
      <tp>
        <v>5056</v>
        <stp/>
        <stp>Market</stp>
        <stp>STOCK</stp>
        <stp>22640.T</stp>
        <stp>年初来高値</stp>
        <tr r="T123" s="1"/>
      </tp>
      <tp>
        <v>411</v>
        <stp/>
        <stp>Market</stp>
        <stp>STOCK</stp>
        <stp>21640.T</stp>
        <stp>年初来高値</stp>
        <tr r="T87" s="1"/>
      </tp>
      <tp>
        <v>5220</v>
        <stp/>
        <stp>Market</stp>
        <stp>STOCK</stp>
        <stp>19640.T</stp>
        <stp>年初来高値</stp>
        <tr r="T26" s="1"/>
      </tp>
      <tp>
        <v>9340</v>
        <stp/>
        <stp>Market</stp>
        <stp>STOCK</stp>
        <stp>19650.T</stp>
        <stp>年初来高値</stp>
        <tr r="T27" s="1"/>
      </tp>
      <tp>
        <v>1340</v>
        <stp/>
        <stp>Market</stp>
        <stp>STOCK</stp>
        <stp>22660.T</stp>
        <stp>年初来高値</stp>
        <tr r="T124" s="1"/>
      </tp>
      <tp>
        <v>2049</v>
        <stp/>
        <stp>Market</stp>
        <stp>STOCK</stp>
        <stp>19660.T</stp>
        <stp>年初来高値</stp>
        <tr r="T28" s="1"/>
      </tp>
    </main>
    <main first="rtdsrv.b2353dc584914e4193ea525a6339afd4">
      <tp>
        <v>3141</v>
        <stp/>
        <stp>Market</stp>
        <stp>STOCK</stp>
        <stp>22670.T</stp>
        <stp>年初来高値</stp>
        <tr r="T125" s="1"/>
      </tp>
      <tp>
        <v>2529</v>
        <stp/>
        <stp>Market</stp>
        <stp>STOCK</stp>
        <stp>19670.T</stp>
        <stp>年初来高値</stp>
        <tr r="T29" s="1"/>
      </tp>
    </main>
    <main first="rtdsrv.b2353dc584914e4193ea525a6339afd4">
      <tp>
        <v>4350</v>
        <stp/>
        <stp>Market</stp>
        <stp>STOCK</stp>
        <stp>22680.T</stp>
        <stp>年初来高値</stp>
        <tr r="T126" s="1"/>
      </tp>
      <tp>
        <v>2498</v>
        <stp/>
        <stp>Market</stp>
        <stp>STOCK</stp>
        <stp>21680.T</stp>
        <stp>年初来高値</stp>
        <tr r="T88" s="1"/>
      </tp>
      <tp>
        <v>3165</v>
        <stp/>
        <stp>Market</stp>
        <stp>STOCK</stp>
        <stp>19680.T</stp>
        <stp>年初来高値</stp>
        <tr r="T30" s="1"/>
      </tp>
      <tp>
        <v>4065</v>
        <stp/>
        <stp>Market</stp>
        <stp>STOCK</stp>
        <stp>22690.T</stp>
        <stp>年初来高値</stp>
        <tr r="T127" s="1"/>
      </tp>
      <tp>
        <v>1880</v>
        <stp/>
        <stp>Market</stp>
        <stp>STOCK</stp>
        <stp>21690.T</stp>
        <stp>年初来高値</stp>
        <tr r="T89" s="1"/>
      </tp>
      <tp>
        <v>5749</v>
        <stp/>
        <stp>Market</stp>
        <stp>STOCK</stp>
        <stp>19690.T</stp>
        <stp>年初来高値</stp>
        <tr r="T31" s="1"/>
      </tp>
    </main>
    <main first="rtdsrv.b2353dc584914e4193ea525a6339afd4">
      <tp>
        <v>5740</v>
        <stp/>
        <stp>Market</stp>
        <stp>STOCK</stp>
        <stp>21600.T</stp>
        <stp>上場来高値</stp>
        <tr r="V84" s="1"/>
      </tp>
      <tp>
        <v>1333</v>
        <stp/>
        <stp>Market</stp>
        <stp>STOCK</stp>
        <stp>20600.T</stp>
        <stp>上場来高値</stp>
        <tr r="V54" s="1"/>
      </tp>
      <tp>
        <v>1940</v>
        <stp/>
        <stp>Market</stp>
        <stp>STOCK</stp>
        <stp>19600.T</stp>
        <stp>上場来高値</stp>
        <tr r="V23" s="1"/>
      </tp>
      <tp>
        <v>7940</v>
        <stp/>
        <stp>Market</stp>
        <stp>STOCK</stp>
        <stp>19610.T</stp>
        <stp>上場来高値</stp>
        <tr r="V24" s="1"/>
      </tp>
      <tp>
        <v>630000</v>
        <stp/>
        <stp>Market</stp>
        <stp>STOCK</stp>
        <stp>21620.T</stp>
        <stp>上場来高値</stp>
        <tr r="V85" s="1"/>
      </tp>
      <tp>
        <v>4010</v>
        <stp/>
        <stp>Market</stp>
        <stp>STOCK</stp>
        <stp>21630.T</stp>
        <stp>上場来高値</stp>
        <tr r="V86" s="1"/>
      </tp>
      <tp>
        <v>4259</v>
        <stp/>
        <stp>Market</stp>
        <stp>STOCK</stp>
        <stp>19630.T</stp>
        <stp>上場来高値</stp>
        <tr r="V25" s="1"/>
      </tp>
      <tp>
        <v>7380</v>
        <stp/>
        <stp>Market</stp>
        <stp>STOCK</stp>
        <stp>22640.T</stp>
        <stp>上場来高値</stp>
        <tr r="V123" s="1"/>
      </tp>
      <tp>
        <v>235000</v>
        <stp/>
        <stp>Market</stp>
        <stp>STOCK</stp>
        <stp>21640.T</stp>
        <stp>上場来高値</stp>
        <tr r="V87" s="1"/>
      </tp>
      <tp>
        <v>5220</v>
        <stp/>
        <stp>Market</stp>
        <stp>STOCK</stp>
        <stp>19640.T</stp>
        <stp>上場来高値</stp>
        <tr r="V26" s="1"/>
      </tp>
      <tp>
        <v>9340</v>
        <stp/>
        <stp>Market</stp>
        <stp>STOCK</stp>
        <stp>19650.T</stp>
        <stp>上場来高値</stp>
        <tr r="V27" s="1"/>
      </tp>
    </main>
    <main first="rtdsrv.b2353dc584914e4193ea525a6339afd4">
      <tp>
        <v>3100</v>
        <stp/>
        <stp>Market</stp>
        <stp>STOCK</stp>
        <stp>22660.T</stp>
        <stp>上場来高値</stp>
        <tr r="V124" s="1"/>
      </tp>
      <tp>
        <v>3600</v>
        <stp/>
        <stp>Market</stp>
        <stp>STOCK</stp>
        <stp>19660.T</stp>
        <stp>上場来高値</stp>
        <tr r="V28" s="1"/>
      </tp>
    </main>
    <main first="rtdsrv.b2353dc584914e4193ea525a6339afd4">
      <tp>
        <v>10430</v>
        <stp/>
        <stp>Market</stp>
        <stp>STOCK</stp>
        <stp>22670.T</stp>
        <stp>上場来高値</stp>
        <tr r="V125" s="1"/>
      </tp>
      <tp>
        <v>2529</v>
        <stp/>
        <stp>Market</stp>
        <stp>STOCK</stp>
        <stp>19670.T</stp>
        <stp>上場来高値</stp>
        <tr r="V29" s="1"/>
      </tp>
      <tp>
        <v>5900</v>
        <stp/>
        <stp>Market</stp>
        <stp>STOCK</stp>
        <stp>22680.T</stp>
        <stp>上場来高値</stp>
        <tr r="V126" s="1"/>
      </tp>
      <tp>
        <v>142000</v>
        <stp/>
        <stp>Market</stp>
        <stp>STOCK</stp>
        <stp>21680.T</stp>
        <stp>上場来高値</stp>
        <tr r="V88" s="1"/>
      </tp>
      <tp>
        <v>7050</v>
        <stp/>
        <stp>Market</stp>
        <stp>STOCK</stp>
        <stp>19680.T</stp>
        <stp>上場来高値</stp>
        <tr r="V30" s="1"/>
      </tp>
    </main>
    <main first="rtdsrv.b2353dc584914e4193ea525a6339afd4">
      <tp>
        <v>21320</v>
        <stp/>
        <stp>Market</stp>
        <stp>STOCK</stp>
        <stp>22690.T</stp>
        <stp>上場来高値</stp>
        <tr r="V127" s="1"/>
      </tp>
      <tp>
        <v>186000</v>
        <stp/>
        <stp>Market</stp>
        <stp>STOCK</stp>
        <stp>21690.T</stp>
        <stp>上場来高値</stp>
        <tr r="V89" s="1"/>
      </tp>
      <tp>
        <v>9167</v>
        <stp/>
        <stp>Market</stp>
        <stp>STOCK</stp>
        <stp>19690.T</stp>
        <stp>上場来高値</stp>
        <tr r="V31" s="1"/>
      </tp>
    </main>
    <main first="rtdsrv.b2353dc584914e4193ea525a6339afd4">
      <tp>
        <v>5350</v>
        <stp/>
        <stp>Market</stp>
        <stp>STOCK</stp>
        <stp>211A0.T</stp>
        <stp>上場来高値</stp>
        <tr r="V62" s="1"/>
      </tp>
    </main>
    <main first="rtdsrv.b2353dc584914e4193ea525a6339afd4">
      <tp>
        <v>5350</v>
        <stp/>
        <stp>Market</stp>
        <stp>STOCK</stp>
        <stp>211A0.T</stp>
        <stp>年初来高値</stp>
        <tr r="T62" s="1"/>
      </tp>
    </main>
    <main first="rtdsrv.b2353dc584914e4193ea525a6339afd4">
      <tp>
        <v>2685</v>
        <stp/>
        <stp>Market</stp>
        <stp>STOCK</stp>
        <stp>22110.T</stp>
        <stp>年初来高値</stp>
        <tr r="T112" s="1"/>
      </tp>
      <tp>
        <v>935</v>
        <stp/>
        <stp>Market</stp>
        <stp>STOCK</stp>
        <stp>23110.T</stp>
        <stp>年初来高値</stp>
        <tr r="T145" s="1"/>
      </tp>
      <tp>
        <v>3649</v>
        <stp/>
        <stp>Market</stp>
        <stp>STOCK</stp>
        <stp>22120.T</stp>
        <stp>年初来高値</stp>
        <tr r="T113" s="1"/>
      </tp>
      <tp>
        <v>595</v>
        <stp/>
        <stp>Market</stp>
        <stp>STOCK</stp>
        <stp>21120.T</stp>
        <stp>年初来高値</stp>
        <tr r="T59" s="1"/>
      </tp>
      <tp>
        <v>678</v>
        <stp/>
        <stp>Market</stp>
        <stp>STOCK</stp>
        <stp>21140.T</stp>
        <stp>年初来高値</stp>
        <tr r="T60" s="1"/>
      </tp>
      <tp>
        <v>673</v>
        <stp/>
        <stp>Market</stp>
        <stp>STOCK</stp>
        <stp>22150.T</stp>
        <stp>年初来高値</stp>
        <tr r="T114" s="1"/>
      </tp>
      <tp>
        <v>177</v>
        <stp/>
        <stp>Market</stp>
        <stp>STOCK</stp>
        <stp>23150.T</stp>
        <stp>年初来高値</stp>
        <tr r="T146" s="1"/>
      </tp>
      <tp>
        <v>2470</v>
        <stp/>
        <stp>Market</stp>
        <stp>STOCK</stp>
        <stp>22160.T</stp>
        <stp>年初来高値</stp>
        <tr r="T115" s="1"/>
      </tp>
    </main>
    <main first="rtdsrv.b2353dc584914e4193ea525a6339afd4">
      <tp>
        <v>1875</v>
        <stp/>
        <stp>Market</stp>
        <stp>STOCK</stp>
        <stp>22170.T</stp>
        <stp>年初来高値</stp>
        <tr r="T116" s="1"/>
      </tp>
      <tp>
        <v>555</v>
        <stp/>
        <stp>Market</stp>
        <stp>STOCK</stp>
        <stp>23170.T</stp>
        <stp>年初来高値</stp>
        <tr r="T147" s="1"/>
      </tp>
      <tp>
        <v>3050</v>
        <stp/>
        <stp>Market</stp>
        <stp>STOCK</stp>
        <stp>21170.T</stp>
        <stp>年初来高値</stp>
        <tr r="T61" s="1"/>
      </tp>
    </main>
    <main first="rtdsrv.b2353dc584914e4193ea525a6339afd4">
      <tp>
        <v>2600000</v>
        <stp/>
        <stp>Market</stp>
        <stp>STOCK</stp>
        <stp>23110.T</stp>
        <stp>上場来高値</stp>
        <tr r="V145" s="1"/>
      </tp>
      <tp>
        <v>3790</v>
        <stp/>
        <stp>Market</stp>
        <stp>STOCK</stp>
        <stp>22110.T</stp>
        <stp>上場来高値</stp>
        <tr r="V112" s="1"/>
      </tp>
      <tp>
        <v>4133</v>
        <stp/>
        <stp>Market</stp>
        <stp>STOCK</stp>
        <stp>22120.T</stp>
        <stp>上場来高値</stp>
        <tr r="V113" s="1"/>
      </tp>
      <tp>
        <v>2610</v>
        <stp/>
        <stp>Market</stp>
        <stp>STOCK</stp>
        <stp>21120.T</stp>
        <stp>上場来高値</stp>
        <tr r="V59" s="1"/>
      </tp>
      <tp>
        <v>1310</v>
        <stp/>
        <stp>Market</stp>
        <stp>STOCK</stp>
        <stp>21140.T</stp>
        <stp>上場来高値</stp>
        <tr r="V60" s="1"/>
      </tp>
      <tp>
        <v>791000</v>
        <stp/>
        <stp>Market</stp>
        <stp>STOCK</stp>
        <stp>23150.T</stp>
        <stp>上場来高値</stp>
        <tr r="V146" s="1"/>
      </tp>
      <tp>
        <v>1450</v>
        <stp/>
        <stp>Market</stp>
        <stp>STOCK</stp>
        <stp>22150.T</stp>
        <stp>上場来高値</stp>
        <tr r="V114" s="1"/>
      </tp>
    </main>
    <main first="rtdsrv.b2353dc584914e4193ea525a6339afd4">
      <tp>
        <v>6030</v>
        <stp/>
        <stp>Market</stp>
        <stp>STOCK</stp>
        <stp>22160.T</stp>
        <stp>上場来高値</stp>
        <tr r="V115" s="1"/>
      </tp>
    </main>
    <main first="rtdsrv.b2353dc584914e4193ea525a6339afd4">
      <tp>
        <v>328000</v>
        <stp/>
        <stp>Market</stp>
        <stp>STOCK</stp>
        <stp>23170.T</stp>
        <stp>上場来高値</stp>
        <tr r="V147" s="1"/>
      </tp>
      <tp>
        <v>8300</v>
        <stp/>
        <stp>Market</stp>
        <stp>STOCK</stp>
        <stp>22170.T</stp>
        <stp>上場来高値</stp>
        <tr r="V116" s="1"/>
      </tp>
      <tp>
        <v>5490</v>
        <stp/>
        <stp>Market</stp>
        <stp>STOCK</stp>
        <stp>21170.T</stp>
        <stp>上場来高値</stp>
        <tr r="V61" s="1"/>
      </tp>
    </main>
    <main first="rtdsrv.b2353dc584914e4193ea525a6339afd4">
      <tp>
        <v>1414</v>
        <stp/>
        <stp>Market</stp>
        <stp>STOCK</stp>
        <stp>220A0.T</stp>
        <stp>上場来高値</stp>
        <tr r="V111" s="1"/>
      </tp>
    </main>
    <main first="rtdsrv.b2353dc584914e4193ea525a6339afd4">
      <tp>
        <v>1414</v>
        <stp/>
        <stp>Market</stp>
        <stp>STOCK</stp>
        <stp>220A0.T</stp>
        <stp>年初来高値</stp>
        <tr r="T111" s="1"/>
      </tp>
    </main>
    <main first="rtdsrv.b2353dc584914e4193ea525a6339afd4">
      <tp>
        <v>560</v>
        <stp/>
        <stp>Market</stp>
        <stp>STOCK</stp>
        <stp>23000.T</stp>
        <stp>年初来高値</stp>
        <tr r="T139" s="1"/>
      </tp>
      <tp>
        <v>2895</v>
        <stp/>
        <stp>Market</stp>
        <stp>STOCK</stp>
        <stp>22010.T</stp>
        <stp>年初来高値</stp>
        <tr r="T105" s="1"/>
      </tp>
      <tp>
        <v>2298</v>
        <stp/>
        <stp>Market</stp>
        <stp>STOCK</stp>
        <stp>23010.T</stp>
        <stp>年初来高値</stp>
        <tr r="T140" s="1"/>
      </tp>
      <tp>
        <v>2880</v>
        <stp/>
        <stp>Market</stp>
        <stp>STOCK</stp>
        <stp>20010.T</stp>
        <stp>年初来高値</stp>
        <tr r="T45" s="1"/>
      </tp>
      <tp>
        <v>2192</v>
        <stp/>
        <stp>Market</stp>
        <stp>STOCK</stp>
        <stp>20020.T</stp>
        <stp>年初来高値</stp>
        <tr r="T46" s="1"/>
      </tp>
      <tp>
        <v>2891</v>
        <stp/>
        <stp>Market</stp>
        <stp>STOCK</stp>
        <stp>23030.T</stp>
        <stp>年初来高値</stp>
        <tr r="T141" s="1"/>
      </tp>
      <tp>
        <v>7770</v>
        <stp/>
        <stp>Market</stp>
        <stp>STOCK</stp>
        <stp>20030.T</stp>
        <stp>年初来高値</stp>
        <tr r="T47" s="1"/>
      </tp>
      <tp>
        <v>3365</v>
        <stp/>
        <stp>Market</stp>
        <stp>STOCK</stp>
        <stp>22040.T</stp>
        <stp>年初来高値</stp>
        <tr r="T106" s="1"/>
      </tp>
      <tp>
        <v>1097</v>
        <stp/>
        <stp>Market</stp>
        <stp>STOCK</stp>
        <stp>23040.T</stp>
        <stp>年初来高値</stp>
        <tr r="T142" s="1"/>
      </tp>
      <tp>
        <v>3455</v>
        <stp/>
        <stp>Market</stp>
        <stp>STOCK</stp>
        <stp>20040.T</stp>
        <stp>年初来高値</stp>
        <tr r="T48" s="1"/>
      </tp>
      <tp>
        <v>2178</v>
        <stp/>
        <stp>Market</stp>
        <stp>STOCK</stp>
        <stp>23050.T</stp>
        <stp>年初来高値</stp>
        <tr r="T143" s="1"/>
      </tp>
      <tp>
        <v>6173</v>
        <stp/>
        <stp>Market</stp>
        <stp>STOCK</stp>
        <stp>22060.T</stp>
        <stp>年初来高値</stp>
        <tr r="T107" s="1"/>
      </tp>
    </main>
    <main first="rtdsrv.b2353dc584914e4193ea525a6339afd4">
      <tp>
        <v>2819</v>
        <stp/>
        <stp>Market</stp>
        <stp>STOCK</stp>
        <stp>22070.T</stp>
        <stp>年初来高値</stp>
        <tr r="T108" s="1"/>
      </tp>
      <tp>
        <v>1313</v>
        <stp/>
        <stp>Market</stp>
        <stp>STOCK</stp>
        <stp>23070.T</stp>
        <stp>年初来高値</stp>
        <tr r="T144" s="1"/>
      </tp>
    </main>
    <main first="rtdsrv.b2353dc584914e4193ea525a6339afd4">
      <tp>
        <v>3350</v>
        <stp/>
        <stp>Market</stp>
        <stp>STOCK</stp>
        <stp>22080.T</stp>
        <stp>年初来高値</stp>
        <tr r="T109" s="1"/>
      </tp>
      <tp>
        <v>4550</v>
        <stp/>
        <stp>Market</stp>
        <stp>STOCK</stp>
        <stp>21080.T</stp>
        <stp>年初来高値</stp>
        <tr r="T57" s="1"/>
      </tp>
    </main>
    <main first="rtdsrv.b2353dc584914e4193ea525a6339afd4">
      <tp>
        <v>2684</v>
        <stp/>
        <stp>Market</stp>
        <stp>STOCK</stp>
        <stp>22090.T</stp>
        <stp>年初来高値</stp>
        <tr r="T110" s="1"/>
      </tp>
      <tp>
        <v>1166</v>
        <stp/>
        <stp>Market</stp>
        <stp>STOCK</stp>
        <stp>20090.T</stp>
        <stp>年初来高値</stp>
        <tr r="T49" s="1"/>
      </tp>
      <tp>
        <v>3665</v>
        <stp/>
        <stp>Market</stp>
        <stp>STOCK</stp>
        <stp>21090.T</stp>
        <stp>年初来高値</stp>
        <tr r="T58" s="1"/>
      </tp>
    </main>
    <main first="rtdsrv.b2353dc584914e4193ea525a6339afd4">
      <tp>
        <v>759</v>
        <stp/>
        <stp>Market</stp>
        <stp>STOCK</stp>
        <stp>23000.T</stp>
        <stp>上場来高値</stp>
        <tr r="V139" s="1"/>
      </tp>
      <tp>
        <v>7600</v>
        <stp/>
        <stp>Market</stp>
        <stp>STOCK</stp>
        <stp>23010.T</stp>
        <stp>上場来高値</stp>
        <tr r="V140" s="1"/>
      </tp>
      <tp>
        <v>7270</v>
        <stp/>
        <stp>Market</stp>
        <stp>STOCK</stp>
        <stp>22010.T</stp>
        <stp>上場来高値</stp>
        <tr r="V105" s="1"/>
      </tp>
      <tp>
        <v>2880</v>
        <stp/>
        <stp>Market</stp>
        <stp>STOCK</stp>
        <stp>20010.T</stp>
        <stp>上場来高値</stp>
        <tr r="V45" s="1"/>
      </tp>
      <tp>
        <v>2677</v>
        <stp/>
        <stp>Market</stp>
        <stp>STOCK</stp>
        <stp>20020.T</stp>
        <stp>上場来高値</stp>
        <tr r="V46" s="1"/>
      </tp>
      <tp>
        <v>1470000</v>
        <stp/>
        <stp>Market</stp>
        <stp>STOCK</stp>
        <stp>23030.T</stp>
        <stp>上場来高値</stp>
        <tr r="V141" s="1"/>
      </tp>
      <tp>
        <v>8000</v>
        <stp/>
        <stp>Market</stp>
        <stp>STOCK</stp>
        <stp>20030.T</stp>
        <stp>上場来高値</stp>
        <tr r="V47" s="1"/>
      </tp>
      <tp>
        <v>692000</v>
        <stp/>
        <stp>Market</stp>
        <stp>STOCK</stp>
        <stp>23040.T</stp>
        <stp>上場来高値</stp>
        <tr r="V142" s="1"/>
      </tp>
      <tp>
        <v>5340</v>
        <stp/>
        <stp>Market</stp>
        <stp>STOCK</stp>
        <stp>22040.T</stp>
        <stp>上場来高値</stp>
        <tr r="V106" s="1"/>
      </tp>
      <tp>
        <v>3645</v>
        <stp/>
        <stp>Market</stp>
        <stp>STOCK</stp>
        <stp>20040.T</stp>
        <stp>上場来高値</stp>
        <tr r="V48" s="1"/>
      </tp>
      <tp>
        <v>4300</v>
        <stp/>
        <stp>Market</stp>
        <stp>STOCK</stp>
        <stp>23050.T</stp>
        <stp>上場来高値</stp>
        <tr r="V143" s="1"/>
      </tp>
    </main>
    <main first="rtdsrv.b2353dc584914e4193ea525a6339afd4">
      <tp>
        <v>7300</v>
        <stp/>
        <stp>Market</stp>
        <stp>STOCK</stp>
        <stp>22060.T</stp>
        <stp>上場来高値</stp>
        <tr r="V107" s="1"/>
      </tp>
    </main>
    <main first="rtdsrv.b2353dc584914e4193ea525a6339afd4">
      <tp>
        <v>2600</v>
        <stp/>
        <stp>Market</stp>
        <stp>STOCK</stp>
        <stp>23070.T</stp>
        <stp>上場来高値</stp>
        <tr r="V144" s="1"/>
      </tp>
      <tp>
        <v>8020</v>
        <stp/>
        <stp>Market</stp>
        <stp>STOCK</stp>
        <stp>22070.T</stp>
        <stp>上場来高値</stp>
        <tr r="V108" s="1"/>
      </tp>
    </main>
    <main first="rtdsrv.b2353dc584914e4193ea525a6339afd4">
      <tp>
        <v>3970</v>
        <stp/>
        <stp>Market</stp>
        <stp>STOCK</stp>
        <stp>22080.T</stp>
        <stp>上場来高値</stp>
        <tr r="V109" s="1"/>
      </tp>
      <tp>
        <v>4550</v>
        <stp/>
        <stp>Market</stp>
        <stp>STOCK</stp>
        <stp>21080.T</stp>
        <stp>上場来高値</stp>
        <tr r="V57" s="1"/>
      </tp>
    </main>
    <main first="rtdsrv.b2353dc584914e4193ea525a6339afd4">
      <tp>
        <v>4895</v>
        <stp/>
        <stp>Market</stp>
        <stp>STOCK</stp>
        <stp>22090.T</stp>
        <stp>上場来高値</stp>
        <tr r="V110" s="1"/>
      </tp>
      <tp>
        <v>4940</v>
        <stp/>
        <stp>Market</stp>
        <stp>STOCK</stp>
        <stp>21090.T</stp>
        <stp>上場来高値</stp>
        <tr r="V58" s="1"/>
      </tp>
      <tp>
        <v>1290</v>
        <stp/>
        <stp>Market</stp>
        <stp>STOCK</stp>
        <stp>20090.T</stp>
        <stp>上場来高値</stp>
        <tr r="V49" s="1"/>
      </tp>
    </main>
    <main first="rtdsrv.b2353dc584914e4193ea525a6339afd4">
      <tp>
        <v>1478</v>
        <stp/>
        <stp>Market</stp>
        <stp>STOCK</stp>
        <stp>21300.T</stp>
        <stp>年初来高値</stp>
        <tr r="T69" s="1"/>
      </tp>
      <tp>
        <v>1821</v>
        <stp/>
        <stp>Market</stp>
        <stp>STOCK</stp>
        <stp>19300.T</stp>
        <stp>年初来高値</stp>
        <tr r="T6" s="1"/>
      </tp>
      <tp>
        <v>111</v>
        <stp/>
        <stp>Market</stp>
        <stp>STOCK</stp>
        <stp>21340.T</stp>
        <stp>年初来高値</stp>
        <tr r="T70" s="1"/>
      </tp>
      <tp>
        <v>3305</v>
        <stp/>
        <stp>Market</stp>
        <stp>STOCK</stp>
        <stp>19340.T</stp>
        <stp>年初来高値</stp>
        <tr r="T7" s="1"/>
      </tp>
      <tp>
        <v>1661</v>
        <stp/>
        <stp>Market</stp>
        <stp>STOCK</stp>
        <stp>21360.T</stp>
        <stp>年初来高値</stp>
        <tr r="T71" s="1"/>
      </tp>
    </main>
    <main first="rtdsrv.b2353dc584914e4193ea525a6339afd4">
      <tp>
        <v>722</v>
        <stp/>
        <stp>Market</stp>
        <stp>STOCK</stp>
        <stp>21380.T</stp>
        <stp>年初来高値</stp>
        <tr r="T72" s="1"/>
      </tp>
      <tp>
        <v>3245</v>
        <stp/>
        <stp>Market</stp>
        <stp>STOCK</stp>
        <stp>19380.T</stp>
        <stp>年初来高値</stp>
        <tr r="T8" s="1"/>
      </tp>
    </main>
    <main first="rtdsrv.b2353dc584914e4193ea525a6339afd4">
      <tp>
        <v>565</v>
        <stp/>
        <stp>Market</stp>
        <stp>STOCK</stp>
        <stp>21390.T</stp>
        <stp>年初来高値</stp>
        <tr r="T73" s="1"/>
      </tp>
      <tp>
        <v>2116</v>
        <stp/>
        <stp>Market</stp>
        <stp>STOCK</stp>
        <stp>19390.T</stp>
        <stp>年初来高値</stp>
        <tr r="T9" s="1"/>
      </tp>
    </main>
    <main first="rtdsrv.b2353dc584914e4193ea525a6339afd4">
      <tp>
        <v>3655</v>
        <stp/>
        <stp>Market</stp>
        <stp>STOCK</stp>
        <stp>21300.T</stp>
        <stp>上場来高値</stp>
        <tr r="V69" s="1"/>
      </tp>
      <tp>
        <v>1821</v>
        <stp/>
        <stp>Market</stp>
        <stp>STOCK</stp>
        <stp>19300.T</stp>
        <stp>上場来高値</stp>
        <tr r="V6" s="1"/>
      </tp>
      <tp>
        <v>2060000</v>
        <stp/>
        <stp>Market</stp>
        <stp>STOCK</stp>
        <stp>21340.T</stp>
        <stp>上場来高値</stp>
        <tr r="V70" s="1"/>
      </tp>
      <tp>
        <v>4400</v>
        <stp/>
        <stp>Market</stp>
        <stp>STOCK</stp>
        <stp>19340.T</stp>
        <stp>上場来高値</stp>
        <tr r="V7" s="1"/>
      </tp>
    </main>
    <main first="rtdsrv.b2353dc584914e4193ea525a6339afd4">
      <tp>
        <v>595000</v>
        <stp/>
        <stp>Market</stp>
        <stp>STOCK</stp>
        <stp>21360.T</stp>
        <stp>上場来高値</stp>
        <tr r="V71" s="1"/>
      </tp>
    </main>
    <main first="rtdsrv.b2353dc584914e4193ea525a6339afd4">
      <tp>
        <v>624000</v>
        <stp/>
        <stp>Market</stp>
        <stp>STOCK</stp>
        <stp>21380.T</stp>
        <stp>上場来高値</stp>
        <tr r="V72" s="1"/>
      </tp>
      <tp>
        <v>3270</v>
        <stp/>
        <stp>Market</stp>
        <stp>STOCK</stp>
        <stp>19380.T</stp>
        <stp>上場来高値</stp>
        <tr r="V8" s="1"/>
      </tp>
    </main>
    <main first="rtdsrv.b2353dc584914e4193ea525a6339afd4">
      <tp>
        <v>898</v>
        <stp/>
        <stp>Market</stp>
        <stp>STOCK</stp>
        <stp>21390.T</stp>
        <stp>上場来高値</stp>
        <tr r="V73" s="1"/>
      </tp>
      <tp>
        <v>4370</v>
        <stp/>
        <stp>Market</stp>
        <stp>STOCK</stp>
        <stp>19390.T</stp>
        <stp>上場来高値</stp>
        <tr r="V9" s="1"/>
      </tp>
    </main>
    <main first="rtdsrv.b2353dc584914e4193ea525a6339afd4">
      <tp>
        <v>3600</v>
        <stp/>
        <stp>Market</stp>
        <stp>STOCK</stp>
        <stp>212A0.T</stp>
        <stp>上場来高値</stp>
        <tr r="V68" s="1"/>
      </tp>
      <tp>
        <v>5000</v>
        <stp/>
        <stp>Market</stp>
        <stp>STOCK</stp>
        <stp>202A0.T</stp>
        <stp>上場来高値</stp>
        <tr r="V50" s="1"/>
      </tp>
      <tp>
        <v>8550</v>
        <stp/>
        <stp>Market</stp>
        <stp>STOCK</stp>
        <stp>192A0.T</stp>
        <stp>上場来高値</stp>
        <tr r="V5" s="1"/>
      </tp>
    </main>
    <main first="rtdsrv.b2353dc584914e4193ea525a6339afd4">
      <tp>
        <v>5000</v>
        <stp/>
        <stp>Market</stp>
        <stp>STOCK</stp>
        <stp>202A0.T</stp>
        <stp>年初来高値</stp>
        <tr r="T50" s="1"/>
      </tp>
      <tp>
        <v>3600</v>
        <stp/>
        <stp>Market</stp>
        <stp>STOCK</stp>
        <stp>212A0.T</stp>
        <stp>年初来高値</stp>
        <tr r="T68" s="1"/>
      </tp>
      <tp>
        <v>4355</v>
        <stp/>
        <stp>Market</stp>
        <stp>STOCK</stp>
        <stp>192A0.T</stp>
        <stp>年初来高値</stp>
        <tr r="T5" s="1"/>
      </tp>
    </main>
    <main first="rtdsrv.b2353dc584914e4193ea525a6339afd4">
      <tp>
        <v>4605</v>
        <stp/>
        <stp>Market</stp>
        <stp>STOCK</stp>
        <stp>22200.T</stp>
        <stp>年初来高値</stp>
        <tr r="T117" s="1"/>
      </tp>
      <tp>
        <v>240</v>
        <stp/>
        <stp>Market</stp>
        <stp>STOCK</stp>
        <stp>21200.T</stp>
        <stp>年初来高値</stp>
        <tr r="T63" s="1"/>
      </tp>
      <tp>
        <v>3550</v>
        <stp/>
        <stp>Market</stp>
        <stp>STOCK</stp>
        <stp>22210.T</stp>
        <stp>年初来高値</stp>
        <tr r="T118" s="1"/>
      </tp>
      <tp>
        <v>322</v>
        <stp/>
        <stp>Market</stp>
        <stp>STOCK</stp>
        <stp>23210.T</stp>
        <stp>年初来高値</stp>
        <tr r="T148" s="1"/>
      </tp>
      <tp>
        <v>3945</v>
        <stp/>
        <stp>Market</stp>
        <stp>STOCK</stp>
        <stp>21210.T</stp>
        <stp>年初来高値</stp>
        <tr r="T64" s="1"/>
      </tp>
      <tp>
        <v>2591</v>
        <stp/>
        <stp>Market</stp>
        <stp>STOCK</stp>
        <stp>22220.T</stp>
        <stp>年初来高値</stp>
        <tr r="T119" s="1"/>
      </tp>
      <tp>
        <v>1483</v>
        <stp/>
        <stp>Market</stp>
        <stp>STOCK</stp>
        <stp>21220.T</stp>
        <stp>年初来高値</stp>
        <tr r="T65" s="1"/>
      </tp>
      <tp>
        <v>473</v>
        <stp/>
        <stp>Market</stp>
        <stp>STOCK</stp>
        <stp>23230.T</stp>
        <stp>年初来高値</stp>
        <tr r="T149" s="1"/>
      </tp>
      <tp>
        <v>4035</v>
        <stp/>
        <stp>Market</stp>
        <stp>STOCK</stp>
        <stp>22240.T</stp>
        <stp>年初来高値</stp>
        <tr r="T120" s="1"/>
      </tp>
      <tp>
        <v>1179</v>
        <stp/>
        <stp>Market</stp>
        <stp>STOCK</stp>
        <stp>21240.T</stp>
        <stp>年初来高値</stp>
        <tr r="T66" s="1"/>
      </tp>
      <tp>
        <v>6750</v>
        <stp/>
        <stp>Market</stp>
        <stp>STOCK</stp>
        <stp>23250.T</stp>
        <stp>年初来高値</stp>
        <tr r="T150" s="1"/>
      </tp>
      <tp>
        <v>5060</v>
        <stp/>
        <stp>Market</stp>
        <stp>STOCK</stp>
        <stp>22260.T</stp>
        <stp>年初来高値</stp>
        <tr r="T121" s="1"/>
      </tp>
      <tp>
        <v>8280</v>
        <stp/>
        <stp>Market</stp>
        <stp>STOCK</stp>
        <stp>23260.T</stp>
        <stp>年初来高値</stp>
        <tr r="T151" s="1"/>
      </tp>
      <tp>
        <v>4380</v>
        <stp/>
        <stp>Market</stp>
        <stp>STOCK</stp>
        <stp>19260.T</stp>
        <stp>年初来高値</stp>
        <tr r="T2" s="1"/>
      </tp>
    </main>
    <main first="rtdsrv.b2353dc584914e4193ea525a6339afd4">
      <tp>
        <v>813</v>
        <stp/>
        <stp>Market</stp>
        <stp>STOCK</stp>
        <stp>21270.T</stp>
        <stp>年初来高値</stp>
        <tr r="T67" s="1"/>
      </tp>
      <tp>
        <v>3832</v>
        <stp/>
        <stp>Market</stp>
        <stp>STOCK</stp>
        <stp>19280.T</stp>
        <stp>年初来高値</stp>
        <tr r="T3" s="1"/>
      </tp>
      <tp>
        <v>3154</v>
        <stp/>
        <stp>Market</stp>
        <stp>STOCK</stp>
        <stp>22290.T</stp>
        <stp>年初来高値</stp>
        <tr r="T122" s="1"/>
      </tp>
      <tp>
        <v>1465</v>
        <stp/>
        <stp>Market</stp>
        <stp>STOCK</stp>
        <stp>19290.T</stp>
        <stp>年初来高値</stp>
        <tr r="T4" s="1"/>
      </tp>
    </main>
    <main first="rtdsrv.b2353dc584914e4193ea525a6339afd4">
      <tp>
        <v>6350</v>
        <stp/>
        <stp>Market</stp>
        <stp>STOCK</stp>
        <stp>22200.T</stp>
        <stp>上場来高値</stp>
        <tr r="V117" s="1"/>
      </tp>
      <tp>
        <v>410000</v>
        <stp/>
        <stp>Market</stp>
        <stp>STOCK</stp>
        <stp>21200.T</stp>
        <stp>上場来高値</stp>
        <tr r="V63" s="1"/>
      </tp>
      <tp>
        <v>600000</v>
        <stp/>
        <stp>Market</stp>
        <stp>STOCK</stp>
        <stp>23210.T</stp>
        <stp>上場来高値</stp>
        <tr r="V148" s="1"/>
      </tp>
      <tp>
        <v>8580</v>
        <stp/>
        <stp>Market</stp>
        <stp>STOCK</stp>
        <stp>22210.T</stp>
        <stp>上場来高値</stp>
        <tr r="V118" s="1"/>
      </tp>
      <tp>
        <v>3250000</v>
        <stp/>
        <stp>Market</stp>
        <stp>STOCK</stp>
        <stp>21210.T</stp>
        <stp>上場来高値</stp>
        <tr r="V64" s="1"/>
      </tp>
      <tp>
        <v>12350</v>
        <stp/>
        <stp>Market</stp>
        <stp>STOCK</stp>
        <stp>22220.T</stp>
        <stp>上場来高値</stp>
        <tr r="V119" s="1"/>
      </tp>
      <tp>
        <v>1260000</v>
        <stp/>
        <stp>Market</stp>
        <stp>STOCK</stp>
        <stp>21220.T</stp>
        <stp>上場来高値</stp>
        <tr r="V65" s="1"/>
      </tp>
      <tp>
        <v>824000</v>
        <stp/>
        <stp>Market</stp>
        <stp>STOCK</stp>
        <stp>23230.T</stp>
        <stp>上場来高値</stp>
        <tr r="V149" s="1"/>
      </tp>
      <tp>
        <v>4035</v>
        <stp/>
        <stp>Market</stp>
        <stp>STOCK</stp>
        <stp>22240.T</stp>
        <stp>上場来高値</stp>
        <tr r="V120" s="1"/>
      </tp>
      <tp>
        <v>27990</v>
        <stp/>
        <stp>Market</stp>
        <stp>STOCK</stp>
        <stp>21240.T</stp>
        <stp>上場来高値</stp>
        <tr r="V66" s="1"/>
      </tp>
      <tp>
        <v>929000</v>
        <stp/>
        <stp>Market</stp>
        <stp>STOCK</stp>
        <stp>23250.T</stp>
        <stp>上場来高値</stp>
        <tr r="V150" s="1"/>
      </tp>
    </main>
    <main first="rtdsrv.b2353dc584914e4193ea525a6339afd4">
      <tp>
        <v>82200</v>
        <stp/>
        <stp>Market</stp>
        <stp>STOCK</stp>
        <stp>23260.T</stp>
        <stp>上場来高値</stp>
        <tr r="V151" s="1"/>
      </tp>
      <tp>
        <v>9450</v>
        <stp/>
        <stp>Market</stp>
        <stp>STOCK</stp>
        <stp>22260.T</stp>
        <stp>上場来高値</stp>
        <tr r="V121" s="1"/>
      </tp>
      <tp>
        <v>4380</v>
        <stp/>
        <stp>Market</stp>
        <stp>STOCK</stp>
        <stp>19260.T</stp>
        <stp>上場来高値</stp>
        <tr r="V2" s="1"/>
      </tp>
      <tp>
        <v>3390000</v>
        <stp/>
        <stp>Market</stp>
        <stp>STOCK</stp>
        <stp>21270.T</stp>
        <stp>上場来高値</stp>
        <tr r="V67" s="1"/>
      </tp>
      <tp>
        <v>4134</v>
        <stp/>
        <stp>Market</stp>
        <stp>STOCK</stp>
        <stp>19280.T</stp>
        <stp>上場来高値</stp>
        <tr r="V3" s="1"/>
      </tp>
    </main>
    <main first="rtdsrv.b2353dc584914e4193ea525a6339afd4">
      <tp>
        <v>11780</v>
        <stp/>
        <stp>Market</stp>
        <stp>STOCK</stp>
        <stp>22290.T</stp>
        <stp>上場来高値</stp>
        <tr r="V122" s="1"/>
      </tp>
      <tp>
        <v>2060</v>
        <stp/>
        <stp>Market</stp>
        <stp>STOCK</stp>
        <stp>19290.T</stp>
        <stp>上場来高値</stp>
        <tr r="V4" s="1"/>
      </tp>
    </main>
    <main first="rtdsrv.b2353dc584914e4193ea525a6339afd4">
      <tp t="s">
        <v>211A</v>
        <stp/>
        <stp>Market</stp>
        <stp>STOCK</stp>
        <stp>211A0.T</stp>
        <stp>銘柄コード</stp>
        <tr r="B62" s="1"/>
      </tp>
    </main>
    <main first="rtdsrv.b2353dc584914e4193ea525a6339afd4">
      <tp>
        <v>2211</v>
        <stp/>
        <stp>Market</stp>
        <stp>STOCK</stp>
        <stp>22110.T</stp>
        <stp>銘柄コード</stp>
        <tr r="B112" s="1"/>
      </tp>
      <tp>
        <v>2311</v>
        <stp/>
        <stp>Market</stp>
        <stp>STOCK</stp>
        <stp>23110.T</stp>
        <stp>銘柄コード</stp>
        <tr r="B145" s="1"/>
      </tp>
      <tp>
        <v>2112</v>
        <stp/>
        <stp>Market</stp>
        <stp>STOCK</stp>
        <stp>21120.T</stp>
        <stp>銘柄コード</stp>
        <tr r="B59" s="1"/>
      </tp>
      <tp>
        <v>2212</v>
        <stp/>
        <stp>Market</stp>
        <stp>STOCK</stp>
        <stp>22120.T</stp>
        <stp>銘柄コード</stp>
        <tr r="B113" s="1"/>
      </tp>
      <tp>
        <v>2114</v>
        <stp/>
        <stp>Market</stp>
        <stp>STOCK</stp>
        <stp>21140.T</stp>
        <stp>銘柄コード</stp>
        <tr r="B60" s="1"/>
      </tp>
      <tp>
        <v>2215</v>
        <stp/>
        <stp>Market</stp>
        <stp>STOCK</stp>
        <stp>22150.T</stp>
        <stp>銘柄コード</stp>
        <tr r="B114" s="1"/>
      </tp>
      <tp>
        <v>2315</v>
        <stp/>
        <stp>Market</stp>
        <stp>STOCK</stp>
        <stp>23150.T</stp>
        <stp>銘柄コード</stp>
        <tr r="B146" s="1"/>
      </tp>
      <tp>
        <v>2216</v>
        <stp/>
        <stp>Market</stp>
        <stp>STOCK</stp>
        <stp>22160.T</stp>
        <stp>銘柄コード</stp>
        <tr r="B115" s="1"/>
      </tp>
    </main>
    <main first="rtdsrv.b2353dc584914e4193ea525a6339afd4">
      <tp>
        <v>2117</v>
        <stp/>
        <stp>Market</stp>
        <stp>STOCK</stp>
        <stp>21170.T</stp>
        <stp>銘柄コード</stp>
        <tr r="B61" s="1"/>
      </tp>
      <tp>
        <v>2217</v>
        <stp/>
        <stp>Market</stp>
        <stp>STOCK</stp>
        <stp>22170.T</stp>
        <stp>銘柄コード</stp>
        <tr r="B116" s="1"/>
      </tp>
      <tp>
        <v>2317</v>
        <stp/>
        <stp>Market</stp>
        <stp>STOCK</stp>
        <stp>23170.T</stp>
        <stp>銘柄コード</stp>
        <tr r="B147" s="1"/>
      </tp>
    </main>
    <main first="rtdsrv.b2353dc584914e4193ea525a6339afd4">
      <tp t="s">
        <v>220A</v>
        <stp/>
        <stp>Market</stp>
        <stp>STOCK</stp>
        <stp>220A0.T</stp>
        <stp>銘柄コード</stp>
        <tr r="B111" s="1"/>
      </tp>
      <tp>
        <v>2108</v>
        <stp/>
        <stp>Market</stp>
        <stp>STOCK</stp>
        <stp>21080.T</stp>
        <stp>銘柄コード</stp>
        <tr r="B57" s="1"/>
      </tp>
      <tp>
        <v>2208</v>
        <stp/>
        <stp>Market</stp>
        <stp>STOCK</stp>
        <stp>22080.T</stp>
        <stp>銘柄コード</stp>
        <tr r="B109" s="1"/>
      </tp>
    </main>
    <main first="rtdsrv.b2353dc584914e4193ea525a6339afd4">
      <tp>
        <v>2009</v>
        <stp/>
        <stp>Market</stp>
        <stp>STOCK</stp>
        <stp>20090.T</stp>
        <stp>銘柄コード</stp>
        <tr r="B49" s="1"/>
      </tp>
      <tp>
        <v>2109</v>
        <stp/>
        <stp>Market</stp>
        <stp>STOCK</stp>
        <stp>21090.T</stp>
        <stp>銘柄コード</stp>
        <tr r="B58" s="1"/>
      </tp>
      <tp>
        <v>2209</v>
        <stp/>
        <stp>Market</stp>
        <stp>STOCK</stp>
        <stp>22090.T</stp>
        <stp>銘柄コード</stp>
        <tr r="B110" s="1"/>
      </tp>
    </main>
    <main first="rtdsrv.b2353dc584914e4193ea525a6339afd4">
      <tp>
        <v>2300</v>
        <stp/>
        <stp>Market</stp>
        <stp>STOCK</stp>
        <stp>23000.T</stp>
        <stp>銘柄コード</stp>
        <tr r="B139" s="1"/>
      </tp>
      <tp>
        <v>2001</v>
        <stp/>
        <stp>Market</stp>
        <stp>STOCK</stp>
        <stp>20010.T</stp>
        <stp>銘柄コード</stp>
        <tr r="B45" s="1"/>
      </tp>
      <tp>
        <v>2201</v>
        <stp/>
        <stp>Market</stp>
        <stp>STOCK</stp>
        <stp>22010.T</stp>
        <stp>銘柄コード</stp>
        <tr r="B105" s="1"/>
      </tp>
      <tp>
        <v>2301</v>
        <stp/>
        <stp>Market</stp>
        <stp>STOCK</stp>
        <stp>23010.T</stp>
        <stp>銘柄コード</stp>
        <tr r="B140" s="1"/>
      </tp>
      <tp>
        <v>2002</v>
        <stp/>
        <stp>Market</stp>
        <stp>STOCK</stp>
        <stp>20020.T</stp>
        <stp>銘柄コード</stp>
        <tr r="B46" s="1"/>
      </tp>
      <tp>
        <v>2003</v>
        <stp/>
        <stp>Market</stp>
        <stp>STOCK</stp>
        <stp>20030.T</stp>
        <stp>銘柄コード</stp>
        <tr r="B47" s="1"/>
      </tp>
      <tp>
        <v>2303</v>
        <stp/>
        <stp>Market</stp>
        <stp>STOCK</stp>
        <stp>23030.T</stp>
        <stp>銘柄コード</stp>
        <tr r="B141" s="1"/>
      </tp>
      <tp>
        <v>2004</v>
        <stp/>
        <stp>Market</stp>
        <stp>STOCK</stp>
        <stp>20040.T</stp>
        <stp>銘柄コード</stp>
        <tr r="B48" s="1"/>
      </tp>
      <tp>
        <v>2204</v>
        <stp/>
        <stp>Market</stp>
        <stp>STOCK</stp>
        <stp>22040.T</stp>
        <stp>銘柄コード</stp>
        <tr r="B106" s="1"/>
      </tp>
      <tp>
        <v>2304</v>
        <stp/>
        <stp>Market</stp>
        <stp>STOCK</stp>
        <stp>23040.T</stp>
        <stp>銘柄コード</stp>
        <tr r="B142" s="1"/>
      </tp>
      <tp>
        <v>2305</v>
        <stp/>
        <stp>Market</stp>
        <stp>STOCK</stp>
        <stp>23050.T</stp>
        <stp>銘柄コード</stp>
        <tr r="B143" s="1"/>
      </tp>
      <tp>
        <v>2206</v>
        <stp/>
        <stp>Market</stp>
        <stp>STOCK</stp>
        <stp>22060.T</stp>
        <stp>銘柄コード</stp>
        <tr r="B107" s="1"/>
      </tp>
    </main>
    <main first="rtdsrv.b2353dc584914e4193ea525a6339afd4">
      <tp>
        <v>2207</v>
        <stp/>
        <stp>Market</stp>
        <stp>STOCK</stp>
        <stp>22070.T</stp>
        <stp>銘柄コード</stp>
        <tr r="B108" s="1"/>
      </tp>
      <tp>
        <v>2307</v>
        <stp/>
        <stp>Market</stp>
        <stp>STOCK</stp>
        <stp>23070.T</stp>
        <stp>銘柄コード</stp>
        <tr r="B144" s="1"/>
      </tp>
    </main>
    <main first="rtdsrv.b2353dc584914e4193ea525a6339afd4">
      <tp>
        <v>2138</v>
        <stp/>
        <stp>Market</stp>
        <stp>STOCK</stp>
        <stp>21380.T</stp>
        <stp>銘柄コード</stp>
        <tr r="B72" s="1"/>
      </tp>
      <tp>
        <v>1938</v>
        <stp/>
        <stp>Market</stp>
        <stp>STOCK</stp>
        <stp>19380.T</stp>
        <stp>銘柄コード</stp>
        <tr r="B8" s="1"/>
      </tp>
    </main>
    <main first="rtdsrv.b2353dc584914e4193ea525a6339afd4">
      <tp>
        <v>2139</v>
        <stp/>
        <stp>Market</stp>
        <stp>STOCK</stp>
        <stp>21390.T</stp>
        <stp>銘柄コード</stp>
        <tr r="B73" s="1"/>
      </tp>
      <tp>
        <v>1939</v>
        <stp/>
        <stp>Market</stp>
        <stp>STOCK</stp>
        <stp>19390.T</stp>
        <stp>銘柄コード</stp>
        <tr r="B9" s="1"/>
      </tp>
    </main>
    <main first="rtdsrv.b2353dc584914e4193ea525a6339afd4">
      <tp>
        <v>2130</v>
        <stp/>
        <stp>Market</stp>
        <stp>STOCK</stp>
        <stp>21300.T</stp>
        <stp>銘柄コード</stp>
        <tr r="B69" s="1"/>
      </tp>
      <tp>
        <v>1930</v>
        <stp/>
        <stp>Market</stp>
        <stp>STOCK</stp>
        <stp>19300.T</stp>
        <stp>銘柄コード</stp>
        <tr r="B6" s="1"/>
      </tp>
      <tp>
        <v>2134</v>
        <stp/>
        <stp>Market</stp>
        <stp>STOCK</stp>
        <stp>21340.T</stp>
        <stp>銘柄コード</stp>
        <tr r="B70" s="1"/>
      </tp>
      <tp>
        <v>1934</v>
        <stp/>
        <stp>Market</stp>
        <stp>STOCK</stp>
        <stp>19340.T</stp>
        <stp>銘柄コード</stp>
        <tr r="B7" s="1"/>
      </tp>
      <tp>
        <v>2136</v>
        <stp/>
        <stp>Market</stp>
        <stp>STOCK</stp>
        <stp>21360.T</stp>
        <stp>銘柄コード</stp>
        <tr r="B71" s="1"/>
      </tp>
    </main>
    <main first="rtdsrv.b2353dc584914e4193ea525a6339afd4">
      <tp t="s">
        <v>202A</v>
        <stp/>
        <stp>Market</stp>
        <stp>STOCK</stp>
        <stp>202A0.T</stp>
        <stp>銘柄コード</stp>
        <tr r="B50" s="1"/>
      </tp>
      <tp t="s">
        <v>212A</v>
        <stp/>
        <stp>Market</stp>
        <stp>STOCK</stp>
        <stp>212A0.T</stp>
        <stp>銘柄コード</stp>
        <tr r="B68" s="1"/>
      </tp>
      <tp t="s">
        <v>192A</v>
        <stp/>
        <stp>Market</stp>
        <stp>STOCK</stp>
        <stp>192A0.T</stp>
        <stp>銘柄コード</stp>
        <tr r="B5" s="1"/>
      </tp>
      <tp>
        <v>1928</v>
        <stp/>
        <stp>Market</stp>
        <stp>STOCK</stp>
        <stp>19280.T</stp>
        <stp>銘柄コード</stp>
        <tr r="B3" s="1"/>
      </tp>
      <tp>
        <v>2229</v>
        <stp/>
        <stp>Market</stp>
        <stp>STOCK</stp>
        <stp>22290.T</stp>
        <stp>銘柄コード</stp>
        <tr r="B122" s="1"/>
      </tp>
      <tp>
        <v>1929</v>
        <stp/>
        <stp>Market</stp>
        <stp>STOCK</stp>
        <stp>19290.T</stp>
        <stp>銘柄コード</stp>
        <tr r="B4" s="1"/>
      </tp>
    </main>
    <main first="rtdsrv.b2353dc584914e4193ea525a6339afd4">
      <tp>
        <v>2120</v>
        <stp/>
        <stp>Market</stp>
        <stp>STOCK</stp>
        <stp>21200.T</stp>
        <stp>銘柄コード</stp>
        <tr r="B63" s="1"/>
      </tp>
      <tp>
        <v>2220</v>
        <stp/>
        <stp>Market</stp>
        <stp>STOCK</stp>
        <stp>22200.T</stp>
        <stp>銘柄コード</stp>
        <tr r="B117" s="1"/>
      </tp>
      <tp>
        <v>2121</v>
        <stp/>
        <stp>Market</stp>
        <stp>STOCK</stp>
        <stp>21210.T</stp>
        <stp>銘柄コード</stp>
        <tr r="B64" s="1"/>
      </tp>
      <tp>
        <v>2221</v>
        <stp/>
        <stp>Market</stp>
        <stp>STOCK</stp>
        <stp>22210.T</stp>
        <stp>銘柄コード</stp>
        <tr r="B118" s="1"/>
      </tp>
      <tp>
        <v>2321</v>
        <stp/>
        <stp>Market</stp>
        <stp>STOCK</stp>
        <stp>23210.T</stp>
        <stp>銘柄コード</stp>
        <tr r="B148" s="1"/>
      </tp>
      <tp>
        <v>2122</v>
        <stp/>
        <stp>Market</stp>
        <stp>STOCK</stp>
        <stp>21220.T</stp>
        <stp>銘柄コード</stp>
        <tr r="B65" s="1"/>
      </tp>
      <tp>
        <v>2222</v>
        <stp/>
        <stp>Market</stp>
        <stp>STOCK</stp>
        <stp>22220.T</stp>
        <stp>銘柄コード</stp>
        <tr r="B119" s="1"/>
      </tp>
      <tp>
        <v>2323</v>
        <stp/>
        <stp>Market</stp>
        <stp>STOCK</stp>
        <stp>23230.T</stp>
        <stp>銘柄コード</stp>
        <tr r="B149" s="1"/>
      </tp>
      <tp>
        <v>2124</v>
        <stp/>
        <stp>Market</stp>
        <stp>STOCK</stp>
        <stp>21240.T</stp>
        <stp>銘柄コード</stp>
        <tr r="B66" s="1"/>
      </tp>
      <tp>
        <v>2224</v>
        <stp/>
        <stp>Market</stp>
        <stp>STOCK</stp>
        <stp>22240.T</stp>
        <stp>銘柄コード</stp>
        <tr r="B120" s="1"/>
      </tp>
      <tp>
        <v>2325</v>
        <stp/>
        <stp>Market</stp>
        <stp>STOCK</stp>
        <stp>23250.T</stp>
        <stp>銘柄コード</stp>
        <tr r="B150" s="1"/>
      </tp>
      <tp>
        <v>2226</v>
        <stp/>
        <stp>Market</stp>
        <stp>STOCK</stp>
        <stp>22260.T</stp>
        <stp>銘柄コード</stp>
        <tr r="B121" s="1"/>
      </tp>
      <tp>
        <v>2326</v>
        <stp/>
        <stp>Market</stp>
        <stp>STOCK</stp>
        <stp>23260.T</stp>
        <stp>銘柄コード</stp>
        <tr r="B151" s="1"/>
      </tp>
      <tp>
        <v>1926</v>
        <stp/>
        <stp>Market</stp>
        <stp>STOCK</stp>
        <stp>19260.T</stp>
        <stp>銘柄コード</stp>
        <tr r="B2" s="1"/>
      </tp>
    </main>
    <main first="rtdsrv.b2353dc584914e4193ea525a6339afd4">
      <tp>
        <v>2127</v>
        <stp/>
        <stp>Market</stp>
        <stp>STOCK</stp>
        <stp>21270.T</stp>
        <stp>銘柄コード</stp>
        <tr r="B67" s="1"/>
      </tp>
    </main>
    <main first="rtdsrv.b2353dc584914e4193ea525a6339afd4">
      <tp t="s">
        <v>205A</v>
        <stp/>
        <stp>Market</stp>
        <stp>STOCK</stp>
        <stp>205A0.T</stp>
        <stp>銘柄コード</stp>
        <tr r="B53" s="1"/>
      </tp>
      <tp t="s">
        <v>215A</v>
        <stp/>
        <stp>Market</stp>
        <stp>STOCK</stp>
        <stp>215A0.T</stp>
        <stp>銘柄コード</stp>
        <tr r="B83" s="1"/>
      </tp>
      <tp t="s">
        <v>195A</v>
        <stp/>
        <stp>Market</stp>
        <stp>STOCK</stp>
        <stp>195A0.T</stp>
        <stp>銘柄コード</stp>
        <tr r="B22" s="1"/>
      </tp>
      <tp>
        <v>2158</v>
        <stp/>
        <stp>Market</stp>
        <stp>STOCK</stp>
        <stp>21580.T</stp>
        <stp>銘柄コード</stp>
        <tr r="B82" s="1"/>
      </tp>
    </main>
    <main first="rtdsrv.b2353dc584914e4193ea525a6339afd4">
      <tp>
        <v>1959</v>
        <stp/>
        <stp>Market</stp>
        <stp>STOCK</stp>
        <stp>19590.T</stp>
        <stp>銘柄コード</stp>
        <tr r="B21" s="1"/>
      </tp>
    </main>
    <main first="rtdsrv.b2353dc584914e4193ea525a6339afd4">
      <tp t="s">
        <v/>
        <stp/>
        <stp>Market</stp>
        <stp>STOCK</stp>
        <stp>21500.T</stp>
        <stp>銘柄コード</stp>
        <tr r="B76" s="1"/>
      </tp>
      <tp>
        <v>1950</v>
        <stp/>
        <stp>Market</stp>
        <stp>STOCK</stp>
        <stp>19500.T</stp>
        <stp>銘柄コード</stp>
        <tr r="B18" s="1"/>
      </tp>
      <tp>
        <v>1951</v>
        <stp/>
        <stp>Market</stp>
        <stp>STOCK</stp>
        <stp>19510.T</stp>
        <stp>銘柄コード</stp>
        <tr r="B19" s="1"/>
      </tp>
      <tp>
        <v>2152</v>
        <stp/>
        <stp>Market</stp>
        <stp>STOCK</stp>
        <stp>21520.T</stp>
        <stp>銘柄コード</stp>
        <tr r="B77" s="1"/>
      </tp>
      <tp>
        <v>1952</v>
        <stp/>
        <stp>Market</stp>
        <stp>STOCK</stp>
        <stp>19520.T</stp>
        <stp>銘柄コード</stp>
        <tr r="B20" s="1"/>
      </tp>
      <tp>
        <v>2053</v>
        <stp/>
        <stp>Market</stp>
        <stp>STOCK</stp>
        <stp>20530.T</stp>
        <stp>銘柄コード</stp>
        <tr r="B51" s="1"/>
      </tp>
      <tp>
        <v>2153</v>
        <stp/>
        <stp>Market</stp>
        <stp>STOCK</stp>
        <stp>21530.T</stp>
        <stp>銘柄コード</stp>
        <tr r="B78" s="1"/>
      </tp>
      <tp>
        <v>2154</v>
        <stp/>
        <stp>Market</stp>
        <stp>STOCK</stp>
        <stp>21540.T</stp>
        <stp>銘柄コード</stp>
        <tr r="B79" s="1"/>
      </tp>
      <tp>
        <v>2055</v>
        <stp/>
        <stp>Market</stp>
        <stp>STOCK</stp>
        <stp>20550.T</stp>
        <stp>銘柄コード</stp>
        <tr r="B52" s="1"/>
      </tp>
      <tp>
        <v>2156</v>
        <stp/>
        <stp>Market</stp>
        <stp>STOCK</stp>
        <stp>21560.T</stp>
        <stp>銘柄コード</stp>
        <tr r="B80" s="1"/>
      </tp>
    </main>
    <main first="rtdsrv.b2353dc584914e4193ea525a6339afd4">
      <tp>
        <v>2157</v>
        <stp/>
        <stp>Market</stp>
        <stp>STOCK</stp>
        <stp>21570.T</stp>
        <stp>銘柄コード</stp>
        <tr r="B81" s="1"/>
      </tp>
    </main>
    <main first="rtdsrv.b2353dc584914e4193ea525a6339afd4">
      <tp t="s">
        <v>194A</v>
        <stp/>
        <stp>Market</stp>
        <stp>STOCK</stp>
        <stp>194A0.T</stp>
        <stp>銘柄コード</stp>
        <tr r="B17" s="1"/>
      </tp>
      <tp>
        <v>2148</v>
        <stp/>
        <stp>Market</stp>
        <stp>STOCK</stp>
        <stp>21480.T</stp>
        <stp>銘柄コード</stp>
        <tr r="B75" s="1"/>
      </tp>
      <tp>
        <v>1948</v>
        <stp/>
        <stp>Market</stp>
        <stp>STOCK</stp>
        <stp>19480.T</stp>
        <stp>銘柄コード</stp>
        <tr r="B15" s="1"/>
      </tp>
    </main>
    <main first="rtdsrv.b2353dc584914e4193ea525a6339afd4">
      <tp>
        <v>1949</v>
        <stp/>
        <stp>Market</stp>
        <stp>STOCK</stp>
        <stp>19490.T</stp>
        <stp>銘柄コード</stp>
        <tr r="B16" s="1"/>
      </tp>
    </main>
    <main first="rtdsrv.b2353dc584914e4193ea525a6339afd4">
      <tp>
        <v>1941</v>
        <stp/>
        <stp>Market</stp>
        <stp>STOCK</stp>
        <stp>19410.T</stp>
        <stp>銘柄コード</stp>
        <tr r="B10" s="1"/>
      </tp>
      <tp>
        <v>1942</v>
        <stp/>
        <stp>Market</stp>
        <stp>STOCK</stp>
        <stp>19420.T</stp>
        <stp>銘柄コード</stp>
        <tr r="B11" s="1"/>
      </tp>
      <tp>
        <v>1944</v>
        <stp/>
        <stp>Market</stp>
        <stp>STOCK</stp>
        <stp>19440.T</stp>
        <stp>銘柄コード</stp>
        <tr r="B12" s="1"/>
      </tp>
      <tp>
        <v>1945</v>
        <stp/>
        <stp>Market</stp>
        <stp>STOCK</stp>
        <stp>19450.T</stp>
        <stp>銘柄コード</stp>
        <tr r="B13" s="1"/>
      </tp>
      <tp>
        <v>2146</v>
        <stp/>
        <stp>Market</stp>
        <stp>STOCK</stp>
        <stp>21460.T</stp>
        <stp>銘柄コード</stp>
        <tr r="B74" s="1"/>
      </tp>
      <tp>
        <v>1946</v>
        <stp/>
        <stp>Market</stp>
        <stp>STOCK</stp>
        <stp>19460.T</stp>
        <stp>銘柄コード</stp>
        <tr r="B14" s="1"/>
      </tp>
    </main>
    <main first="rtdsrv.b2353dc584914e4193ea525a6339afd4">
      <tp t="s">
        <v>197A</v>
        <stp/>
        <stp>Market</stp>
        <stp>STOCK</stp>
        <stp>197A0.T</stp>
        <stp>銘柄コード</stp>
        <tr r="B37" s="1"/>
      </tp>
    </main>
    <main first="rtdsrv.b2353dc584914e4193ea525a6339afd4">
      <tp>
        <v>2179</v>
        <stp/>
        <stp>Market</stp>
        <stp>STOCK</stp>
        <stp>21790.T</stp>
        <stp>銘柄コード</stp>
        <tr r="B93" s="1"/>
      </tp>
      <tp>
        <v>1979</v>
        <stp/>
        <stp>Market</stp>
        <stp>STOCK</stp>
        <stp>19790.T</stp>
        <stp>銘柄コード</stp>
        <tr r="B36" s="1"/>
      </tp>
    </main>
    <main first="rtdsrv.b2353dc584914e4193ea525a6339afd4">
      <tp>
        <v>2170</v>
        <stp/>
        <stp>Market</stp>
        <stp>STOCK</stp>
        <stp>21700.T</stp>
        <stp>銘柄コード</stp>
        <tr r="B90" s="1"/>
      </tp>
      <tp>
        <v>2270</v>
        <stp/>
        <stp>Market</stp>
        <stp>STOCK</stp>
        <stp>22700.T</stp>
        <stp>銘柄コード</stp>
        <tr r="B128" s="1"/>
      </tp>
      <tp>
        <v>1972</v>
        <stp/>
        <stp>Market</stp>
        <stp>STOCK</stp>
        <stp>19720.T</stp>
        <stp>銘柄コード</stp>
        <tr r="B33" s="1"/>
      </tp>
      <tp>
        <v>2173</v>
        <stp/>
        <stp>Market</stp>
        <stp>STOCK</stp>
        <stp>21730.T</stp>
        <stp>銘柄コード</stp>
        <tr r="B91" s="1"/>
      </tp>
      <tp>
        <v>2175</v>
        <stp/>
        <stp>Market</stp>
        <stp>STOCK</stp>
        <stp>21750.T</stp>
        <stp>銘柄コード</stp>
        <tr r="B92" s="1"/>
      </tp>
      <tp>
        <v>1975</v>
        <stp/>
        <stp>Market</stp>
        <stp>STOCK</stp>
        <stp>19750.T</stp>
        <stp>銘柄コード</stp>
        <tr r="B34" s="1"/>
      </tp>
      <tp>
        <v>1976</v>
        <stp/>
        <stp>Market</stp>
        <stp>STOCK</stp>
        <stp>19760.T</stp>
        <stp>銘柄コード</stp>
        <tr r="B35" s="1"/>
      </tp>
    </main>
    <main first="rtdsrv.b2353dc584914e4193ea525a6339afd4">
      <tp t="s">
        <v>206A</v>
        <stp/>
        <stp>Market</stp>
        <stp>STOCK</stp>
        <stp>206A0.T</stp>
        <stp>銘柄コード</stp>
        <tr r="B55" s="1"/>
      </tp>
      <tp t="s">
        <v>196A</v>
        <stp/>
        <stp>Market</stp>
        <stp>STOCK</stp>
        <stp>196A0.T</stp>
        <stp>銘柄コード</stp>
        <tr r="B32" s="1"/>
      </tp>
      <tp>
        <v>2168</v>
        <stp/>
        <stp>Market</stp>
        <stp>STOCK</stp>
        <stp>21680.T</stp>
        <stp>銘柄コード</stp>
        <tr r="B88" s="1"/>
      </tp>
      <tp>
        <v>2268</v>
        <stp/>
        <stp>Market</stp>
        <stp>STOCK</stp>
        <stp>22680.T</stp>
        <stp>銘柄コード</stp>
        <tr r="B126" s="1"/>
      </tp>
      <tp>
        <v>1968</v>
        <stp/>
        <stp>Market</stp>
        <stp>STOCK</stp>
        <stp>19680.T</stp>
        <stp>銘柄コード</stp>
        <tr r="B30" s="1"/>
      </tp>
      <tp>
        <v>2169</v>
        <stp/>
        <stp>Market</stp>
        <stp>STOCK</stp>
        <stp>21690.T</stp>
        <stp>銘柄コード</stp>
        <tr r="B89" s="1"/>
      </tp>
      <tp>
        <v>2269</v>
        <stp/>
        <stp>Market</stp>
        <stp>STOCK</stp>
        <stp>22690.T</stp>
        <stp>銘柄コード</stp>
        <tr r="B127" s="1"/>
      </tp>
      <tp>
        <v>1969</v>
        <stp/>
        <stp>Market</stp>
        <stp>STOCK</stp>
        <stp>19690.T</stp>
        <stp>銘柄コード</stp>
        <tr r="B31" s="1"/>
      </tp>
    </main>
    <main first="rtdsrv.b2353dc584914e4193ea525a6339afd4">
      <tp>
        <v>2060</v>
        <stp/>
        <stp>Market</stp>
        <stp>STOCK</stp>
        <stp>20600.T</stp>
        <stp>銘柄コード</stp>
        <tr r="B54" s="1"/>
      </tp>
      <tp>
        <v>2160</v>
        <stp/>
        <stp>Market</stp>
        <stp>STOCK</stp>
        <stp>21600.T</stp>
        <stp>銘柄コード</stp>
        <tr r="B84" s="1"/>
      </tp>
      <tp>
        <v>1960</v>
        <stp/>
        <stp>Market</stp>
        <stp>STOCK</stp>
        <stp>19600.T</stp>
        <stp>銘柄コード</stp>
        <tr r="B23" s="1"/>
      </tp>
      <tp>
        <v>1961</v>
        <stp/>
        <stp>Market</stp>
        <stp>STOCK</stp>
        <stp>19610.T</stp>
        <stp>銘柄コード</stp>
        <tr r="B24" s="1"/>
      </tp>
      <tp>
        <v>2162</v>
        <stp/>
        <stp>Market</stp>
        <stp>STOCK</stp>
        <stp>21620.T</stp>
        <stp>銘柄コード</stp>
        <tr r="B85" s="1"/>
      </tp>
      <tp>
        <v>2163</v>
        <stp/>
        <stp>Market</stp>
        <stp>STOCK</stp>
        <stp>21630.T</stp>
        <stp>銘柄コード</stp>
        <tr r="B86" s="1"/>
      </tp>
      <tp>
        <v>1963</v>
        <stp/>
        <stp>Market</stp>
        <stp>STOCK</stp>
        <stp>19630.T</stp>
        <stp>銘柄コード</stp>
        <tr r="B25" s="1"/>
      </tp>
      <tp>
        <v>2164</v>
        <stp/>
        <stp>Market</stp>
        <stp>STOCK</stp>
        <stp>21640.T</stp>
        <stp>銘柄コード</stp>
        <tr r="B87" s="1"/>
      </tp>
      <tp>
        <v>2264</v>
        <stp/>
        <stp>Market</stp>
        <stp>STOCK</stp>
        <stp>22640.T</stp>
        <stp>銘柄コード</stp>
        <tr r="B123" s="1"/>
      </tp>
      <tp>
        <v>1964</v>
        <stp/>
        <stp>Market</stp>
        <stp>STOCK</stp>
        <stp>19640.T</stp>
        <stp>銘柄コード</stp>
        <tr r="B26" s="1"/>
      </tp>
      <tp>
        <v>1965</v>
        <stp/>
        <stp>Market</stp>
        <stp>STOCK</stp>
        <stp>19650.T</stp>
        <stp>銘柄コード</stp>
        <tr r="B27" s="1"/>
      </tp>
      <tp>
        <v>2266</v>
        <stp/>
        <stp>Market</stp>
        <stp>STOCK</stp>
        <stp>22660.T</stp>
        <stp>銘柄コード</stp>
        <tr r="B124" s="1"/>
      </tp>
      <tp>
        <v>1966</v>
        <stp/>
        <stp>Market</stp>
        <stp>STOCK</stp>
        <stp>19660.T</stp>
        <stp>銘柄コード</stp>
        <tr r="B28" s="1"/>
      </tp>
    </main>
    <main first="rtdsrv.b2353dc584914e4193ea525a6339afd4">
      <tp>
        <v>2267</v>
        <stp/>
        <stp>Market</stp>
        <stp>STOCK</stp>
        <stp>22670.T</stp>
        <stp>銘柄コード</stp>
        <tr r="B125" s="1"/>
      </tp>
      <tp>
        <v>1967</v>
        <stp/>
        <stp>Market</stp>
        <stp>STOCK</stp>
        <stp>19670.T</stp>
        <stp>銘柄コード</stp>
        <tr r="B29" s="1"/>
      </tp>
    </main>
    <main first="rtdsrv.b2353dc584914e4193ea525a6339afd4">
      <tp t="s">
        <v>219A</v>
        <stp/>
        <stp>Market</stp>
        <stp>STOCK</stp>
        <stp>219A0.T</stp>
        <stp>銘柄コード</stp>
        <tr r="B104" s="1"/>
      </tp>
      <tp>
        <v>2198</v>
        <stp/>
        <stp>Market</stp>
        <stp>STOCK</stp>
        <stp>21980.T</stp>
        <stp>銘柄コード</stp>
        <tr r="B103" s="1"/>
      </tp>
      <tp>
        <v>2291</v>
        <stp/>
        <stp>Market</stp>
        <stp>STOCK</stp>
        <stp>22910.T</stp>
        <stp>銘柄コード</stp>
        <tr r="B134" s="1"/>
      </tp>
      <tp>
        <v>2292</v>
        <stp/>
        <stp>Market</stp>
        <stp>STOCK</stp>
        <stp>22920.T</stp>
        <stp>銘柄コード</stp>
        <tr r="B135" s="1"/>
      </tp>
      <tp>
        <v>1992</v>
        <stp/>
        <stp>Market</stp>
        <stp>STOCK</stp>
        <stp>19920.T</stp>
        <stp>銘柄コード</stp>
        <tr r="B42" s="1"/>
      </tp>
      <tp>
        <v>2193</v>
        <stp/>
        <stp>Market</stp>
        <stp>STOCK</stp>
        <stp>21930.T</stp>
        <stp>銘柄コード</stp>
        <tr r="B100" s="1"/>
      </tp>
      <tp>
        <v>2293</v>
        <stp/>
        <stp>Market</stp>
        <stp>STOCK</stp>
        <stp>22930.T</stp>
        <stp>銘柄コード</stp>
        <tr r="B136" s="1"/>
      </tp>
      <tp>
        <v>2294</v>
        <stp/>
        <stp>Market</stp>
        <stp>STOCK</stp>
        <stp>22940.T</stp>
        <stp>銘柄コード</stp>
        <tr r="B137" s="1"/>
      </tp>
      <tp>
        <v>1994</v>
        <stp/>
        <stp>Market</stp>
        <stp>STOCK</stp>
        <stp>19940.T</stp>
        <stp>銘柄コード</stp>
        <tr r="B43" s="1"/>
      </tp>
      <tp>
        <v>2195</v>
        <stp/>
        <stp>Market</stp>
        <stp>STOCK</stp>
        <stp>21950.T</stp>
        <stp>銘柄コード</stp>
        <tr r="B101" s="1"/>
      </tp>
      <tp>
        <v>2196</v>
        <stp/>
        <stp>Market</stp>
        <stp>STOCK</stp>
        <stp>21960.T</stp>
        <stp>銘柄コード</stp>
        <tr r="B102" s="1"/>
      </tp>
      <tp>
        <v>2296</v>
        <stp/>
        <stp>Market</stp>
        <stp>STOCK</stp>
        <stp>22960.T</stp>
        <stp>銘柄コード</stp>
        <tr r="B138" s="1"/>
      </tp>
      <tp>
        <v>1997</v>
        <stp/>
        <stp>Market</stp>
        <stp>STOCK</stp>
        <stp>19970.T</stp>
        <stp>銘柄コード</stp>
        <tr r="B44" s="1"/>
      </tp>
      <tp t="s">
        <v>208A</v>
        <stp/>
        <stp>Market</stp>
        <stp>STOCK</stp>
        <stp>208A0.T</stp>
        <stp>銘柄コード</stp>
        <tr r="B56" s="1"/>
      </tp>
      <tp t="s">
        <v>218A</v>
        <stp/>
        <stp>Market</stp>
        <stp>STOCK</stp>
        <stp>218A0.T</stp>
        <stp>銘柄コード</stp>
        <tr r="B99" s="1"/>
      </tp>
      <tp t="s">
        <v>228A</v>
        <stp/>
        <stp>Market</stp>
        <stp>STOCK</stp>
        <stp>228A0.T</stp>
        <stp>銘柄コード</stp>
        <tr r="B133" s="1"/>
      </tp>
      <tp t="s">
        <v>198A</v>
        <stp/>
        <stp>Market</stp>
        <stp>STOCK</stp>
        <stp>198A0.T</stp>
        <stp>銘柄コード</stp>
        <tr r="B41" s="1"/>
      </tp>
      <tp>
        <v>2288</v>
        <stp/>
        <stp>Market</stp>
        <stp>STOCK</stp>
        <stp>22880.T</stp>
        <stp>銘柄コード</stp>
        <tr r="B132" s="1"/>
      </tp>
      <tp>
        <v>2180</v>
        <stp/>
        <stp>Market</stp>
        <stp>STOCK</stp>
        <stp>21800.T</stp>
        <stp>銘柄コード</stp>
        <tr r="B94" s="1"/>
      </tp>
      <tp>
        <v>1980</v>
        <stp/>
        <stp>Market</stp>
        <stp>STOCK</stp>
        <stp>19800.T</stp>
        <stp>銘柄コード</stp>
        <tr r="B38" s="1"/>
      </tp>
      <tp>
        <v>2181</v>
        <stp/>
        <stp>Market</stp>
        <stp>STOCK</stp>
        <stp>21810.T</stp>
        <stp>銘柄コード</stp>
        <tr r="B95" s="1"/>
      </tp>
      <tp>
        <v>2281</v>
        <stp/>
        <stp>Market</stp>
        <stp>STOCK</stp>
        <stp>22810.T</stp>
        <stp>銘柄コード</stp>
        <tr r="B129" s="1"/>
      </tp>
      <tp>
        <v>1981</v>
        <stp/>
        <stp>Market</stp>
        <stp>STOCK</stp>
        <stp>19810.T</stp>
        <stp>銘柄コード</stp>
        <tr r="B39" s="1"/>
      </tp>
      <tp>
        <v>2282</v>
        <stp/>
        <stp>Market</stp>
        <stp>STOCK</stp>
        <stp>22820.T</stp>
        <stp>銘柄コード</stp>
        <tr r="B130" s="1"/>
      </tp>
      <tp>
        <v>1982</v>
        <stp/>
        <stp>Market</stp>
        <stp>STOCK</stp>
        <stp>19820.T</stp>
        <stp>銘柄コード</stp>
        <tr r="B40" s="1"/>
      </tp>
      <tp>
        <v>2183</v>
        <stp/>
        <stp>Market</stp>
        <stp>STOCK</stp>
        <stp>21830.T</stp>
        <stp>銘柄コード</stp>
        <tr r="B96" s="1"/>
      </tp>
      <tp>
        <v>2185</v>
        <stp/>
        <stp>Market</stp>
        <stp>STOCK</stp>
        <stp>21850.T</stp>
        <stp>銘柄コード</stp>
        <tr r="B97" s="1"/>
      </tp>
      <tp>
        <v>2186</v>
        <stp/>
        <stp>Market</stp>
        <stp>STOCK</stp>
        <stp>21860.T</stp>
        <stp>銘柄コード</stp>
        <tr r="B98" s="1"/>
      </tp>
      <tp>
        <v>2286</v>
        <stp/>
        <stp>Market</stp>
        <stp>STOCK</stp>
        <stp>22860.T</stp>
        <stp>銘柄コード</stp>
        <tr r="B131" s="1"/>
      </tp>
    </main>
    <main first="rtdsrv.b2353dc584914e4193ea525a6339afd4">
      <tp t="s">
        <v>2019/07/08</v>
        <stp/>
        <stp>Market</stp>
        <stp>STOCK</stp>
        <stp>21800.T</stp>
        <stp>権利落日</stp>
        <tr r="R94" s="1"/>
      </tp>
      <tp t="s">
        <v>2023/09/28</v>
        <stp/>
        <stp>Market</stp>
        <stp>STOCK</stp>
        <stp>21810.T</stp>
        <stp>権利落日</stp>
        <tr r="R95" s="1"/>
      </tp>
      <tp t="s">
        <v>2015/12/28</v>
        <stp/>
        <stp>Market</stp>
        <stp>STOCK</stp>
        <stp>21830.T</stp>
        <stp>権利落日</stp>
        <tr r="R96" s="1"/>
      </tp>
      <tp t="s">
        <v>2021/09/29</v>
        <stp/>
        <stp>Market</stp>
        <stp>STOCK</stp>
        <stp>21850.T</stp>
        <stp>権利落日</stp>
        <tr r="R97" s="1"/>
      </tp>
      <tp t="s">
        <v>2017/08/29</v>
        <stp/>
        <stp>Market</stp>
        <stp>STOCK</stp>
        <stp>21860.T</stp>
        <stp>権利落日</stp>
        <tr r="R98" s="1"/>
      </tp>
      <tp t="s">
        <v/>
        <stp/>
        <stp>Market</stp>
        <stp>STOCK</stp>
        <stp>218A0.T</stp>
        <stp>権利落日</stp>
        <tr r="R99" s="1"/>
      </tp>
      <tp t="s">
        <v>2015/04/27</v>
        <stp/>
        <stp>Market</stp>
        <stp>STOCK</stp>
        <stp>21980.T</stp>
        <stp>権利落日</stp>
        <tr r="R103" s="1"/>
      </tp>
      <tp t="s">
        <v>2015/06/26</v>
        <stp/>
        <stp>Market</stp>
        <stp>STOCK</stp>
        <stp>21930.T</stp>
        <stp>権利落日</stp>
        <tr r="R100" s="1"/>
      </tp>
      <tp t="s">
        <v>2022/09/29</v>
        <stp/>
        <stp>Market</stp>
        <stp>STOCK</stp>
        <stp>21950.T</stp>
        <stp>権利落日</stp>
        <tr r="R101" s="1"/>
      </tp>
      <tp t="s">
        <v/>
        <stp/>
        <stp>Market</stp>
        <stp>STOCK</stp>
        <stp>21960.T</stp>
        <stp>権利落日</stp>
        <tr r="R102" s="1"/>
      </tp>
      <tp t="s">
        <v/>
        <stp/>
        <stp>Market</stp>
        <stp>STOCK</stp>
        <stp>219A0.T</stp>
        <stp>権利落日</stp>
        <tr r="R104" s="1"/>
      </tp>
      <tp t="s">
        <v>2015/05/27</v>
        <stp/>
        <stp>Market</stp>
        <stp>STOCK</stp>
        <stp>21200.T</stp>
        <stp>権利落日</stp>
        <tr r="R63" s="1"/>
      </tp>
      <tp t="s">
        <v/>
        <stp/>
        <stp>Market</stp>
        <stp>STOCK</stp>
        <stp>21210.T</stp>
        <stp>権利落日</stp>
        <tr r="R64" s="1"/>
      </tp>
      <tp t="s">
        <v/>
        <stp/>
        <stp>Market</stp>
        <stp>STOCK</stp>
        <stp>21220.T</stp>
        <stp>権利落日</stp>
        <tr r="R65" s="1"/>
      </tp>
      <tp t="s">
        <v>2023/12/28</v>
        <stp/>
        <stp>Market</stp>
        <stp>STOCK</stp>
        <stp>21240.T</stp>
        <stp>権利落日</stp>
        <tr r="R66" s="1"/>
      </tp>
      <tp t="s">
        <v>2021/03/30</v>
        <stp/>
        <stp>Market</stp>
        <stp>STOCK</stp>
        <stp>21270.T</stp>
        <stp>権利落日</stp>
        <tr r="R67" s="1"/>
      </tp>
      <tp t="s">
        <v/>
        <stp/>
        <stp>Market</stp>
        <stp>STOCK</stp>
        <stp>212A0.T</stp>
        <stp>権利落日</stp>
        <tr r="R68" s="1"/>
      </tp>
      <tp t="s">
        <v/>
        <stp/>
        <stp>Market</stp>
        <stp>STOCK</stp>
        <stp>21380.T</stp>
        <stp>権利落日</stp>
        <tr r="R72" s="1"/>
      </tp>
      <tp t="s">
        <v/>
        <stp/>
        <stp>Market</stp>
        <stp>STOCK</stp>
        <stp>21390.T</stp>
        <stp>権利落日</stp>
        <tr r="R73" s="1"/>
      </tp>
      <tp t="s">
        <v>2016/12/28</v>
        <stp/>
        <stp>Market</stp>
        <stp>STOCK</stp>
        <stp>21300.T</stp>
        <stp>権利落日</stp>
        <tr r="R69" s="1"/>
      </tp>
      <tp t="s">
        <v/>
        <stp/>
        <stp>Market</stp>
        <stp>STOCK</stp>
        <stp>21340.T</stp>
        <stp>権利落日</stp>
        <tr r="R70" s="1"/>
      </tp>
      <tp t="s">
        <v/>
        <stp/>
        <stp>Market</stp>
        <stp>STOCK</stp>
        <stp>21360.T</stp>
        <stp>権利落日</stp>
        <tr r="R71" s="1"/>
      </tp>
      <tp t="s">
        <v/>
        <stp/>
        <stp>Market</stp>
        <stp>STOCK</stp>
        <stp>21080.T</stp>
        <stp>権利落日</stp>
        <tr r="R57" s="1"/>
      </tp>
      <tp t="s">
        <v/>
        <stp/>
        <stp>Market</stp>
        <stp>STOCK</stp>
        <stp>21090.T</stp>
        <stp>権利落日</stp>
        <tr r="R58" s="1"/>
      </tp>
      <tp t="s">
        <v/>
        <stp/>
        <stp>Market</stp>
        <stp>STOCK</stp>
        <stp>21120.T</stp>
        <stp>権利落日</stp>
        <tr r="R59" s="1"/>
      </tp>
      <tp t="s">
        <v>2025/12/29</v>
        <stp/>
        <stp>Market</stp>
        <stp>STOCK</stp>
        <stp>21140.T</stp>
        <stp>権利落日</stp>
        <tr r="R60" s="1"/>
      </tp>
      <tp t="s">
        <v>2016/02/25</v>
        <stp/>
        <stp>Market</stp>
        <stp>STOCK</stp>
        <stp>21170.T</stp>
        <stp>権利落日</stp>
        <tr r="R61" s="1"/>
      </tp>
      <tp t="s">
        <v/>
        <stp/>
        <stp>Market</stp>
        <stp>STOCK</stp>
        <stp>211A0.T</stp>
        <stp>権利落日</stp>
        <tr r="R62" s="1"/>
      </tp>
      <tp t="s">
        <v/>
        <stp/>
        <stp>Market</stp>
        <stp>STOCK</stp>
        <stp>21680.T</stp>
        <stp>権利落日</stp>
        <tr r="R88" s="1"/>
      </tp>
      <tp t="s">
        <v/>
        <stp/>
        <stp>Market</stp>
        <stp>STOCK</stp>
        <stp>21690.T</stp>
        <stp>権利落日</stp>
        <tr r="R89" s="1"/>
      </tp>
      <tp t="s">
        <v>2019/09/02</v>
        <stp/>
        <stp>Market</stp>
        <stp>STOCK</stp>
        <stp>21600.T</stp>
        <stp>権利落日</stp>
        <tr r="R84" s="1"/>
      </tp>
      <tp t="s">
        <v>2018/02/26</v>
        <stp/>
        <stp>Market</stp>
        <stp>STOCK</stp>
        <stp>21620.T</stp>
        <stp>権利落日</stp>
        <tr r="R85" s="1"/>
      </tp>
      <tp t="s">
        <v>2018/03/28</v>
        <stp/>
        <stp>Market</stp>
        <stp>STOCK</stp>
        <stp>21630.T</stp>
        <stp>権利落日</stp>
        <tr r="R86" s="1"/>
      </tp>
      <tp t="s">
        <v>2025/10/30</v>
        <stp/>
        <stp>Market</stp>
        <stp>STOCK</stp>
        <stp>21640.T</stp>
        <stp>権利落日</stp>
        <tr r="R87" s="1"/>
      </tp>
      <tp t="s">
        <v/>
        <stp/>
        <stp>Market</stp>
        <stp>STOCK</stp>
        <stp>21790.T</stp>
        <stp>権利落日</stp>
        <tr r="R93" s="1"/>
      </tp>
      <tp t="s">
        <v/>
        <stp/>
        <stp>Market</stp>
        <stp>STOCK</stp>
        <stp>21700.T</stp>
        <stp>権利落日</stp>
        <tr r="R90" s="1"/>
      </tp>
      <tp t="s">
        <v>2024/03/28</v>
        <stp/>
        <stp>Market</stp>
        <stp>STOCK</stp>
        <stp>21730.T</stp>
        <stp>権利落日</stp>
        <tr r="R91" s="1"/>
      </tp>
      <tp t="s">
        <v>2018/06/27</v>
        <stp/>
        <stp>Market</stp>
        <stp>STOCK</stp>
        <stp>21750.T</stp>
        <stp>権利落日</stp>
        <tr r="R92" s="1"/>
      </tp>
      <tp t="s">
        <v>2015/11/26</v>
        <stp/>
        <stp>Market</stp>
        <stp>STOCK</stp>
        <stp>21480.T</stp>
        <stp>権利落日</stp>
        <tr r="R75" s="1"/>
      </tp>
      <tp t="s">
        <v>2025/12/29</v>
        <stp/>
        <stp>Market</stp>
        <stp>STOCK</stp>
        <stp>21460.T</stp>
        <stp>権利落日</stp>
        <tr r="R74" s="1"/>
      </tp>
      <tp t="s">
        <v/>
        <stp/>
        <stp>Market</stp>
        <stp>STOCK</stp>
        <stp>21580.T</stp>
        <stp>権利落日</stp>
        <tr r="R82" s="1"/>
      </tp>
      <tp t="s">
        <v/>
        <stp/>
        <stp>Market</stp>
        <stp>STOCK</stp>
        <stp>21500.T</stp>
        <stp>権利落日</stp>
        <tr r="R76" s="1"/>
      </tp>
      <tp t="s">
        <v>2018/03/28</v>
        <stp/>
        <stp>Market</stp>
        <stp>STOCK</stp>
        <stp>21520.T</stp>
        <stp>権利落日</stp>
        <tr r="R77" s="1"/>
      </tp>
      <tp t="s">
        <v>2020/11/27</v>
        <stp/>
        <stp>Market</stp>
        <stp>STOCK</stp>
        <stp>21530.T</stp>
        <stp>権利落日</stp>
        <tr r="R78" s="1"/>
      </tp>
      <tp t="s">
        <v>2019/06/26</v>
        <stp/>
        <stp>Market</stp>
        <stp>STOCK</stp>
        <stp>21540.T</stp>
        <stp>権利落日</stp>
        <tr r="R79" s="1"/>
      </tp>
      <tp t="s">
        <v/>
        <stp/>
        <stp>Market</stp>
        <stp>STOCK</stp>
        <stp>21560.T</stp>
        <stp>権利落日</stp>
        <tr r="R80" s="1"/>
      </tp>
      <tp t="s">
        <v>2018/05/29</v>
        <stp/>
        <stp>Market</stp>
        <stp>STOCK</stp>
        <stp>21570.T</stp>
        <stp>権利落日</stp>
        <tr r="R81" s="1"/>
      </tp>
      <tp t="s">
        <v/>
        <stp/>
        <stp>Market</stp>
        <stp>STOCK</stp>
        <stp>215A0.T</stp>
        <stp>権利落日</stp>
        <tr r="R83" s="1"/>
      </tp>
      <tp t="s">
        <v>2025/02/27</v>
        <stp/>
        <stp>Market</stp>
        <stp>STOCK</stp>
        <stp>208A0.T</stp>
        <stp>権利落日</stp>
        <tr r="R56" s="1"/>
      </tp>
      <tp t="s">
        <v/>
        <stp/>
        <stp>Market</stp>
        <stp>STOCK</stp>
        <stp>202A0.T</stp>
        <stp>権利落日</stp>
        <tr r="R50" s="1"/>
      </tp>
      <tp t="s">
        <v/>
        <stp/>
        <stp>Market</stp>
        <stp>STOCK</stp>
        <stp>20090.T</stp>
        <stp>権利落日</stp>
        <tr r="R49" s="1"/>
      </tp>
      <tp t="s">
        <v/>
        <stp/>
        <stp>Market</stp>
        <stp>STOCK</stp>
        <stp>20010.T</stp>
        <stp>権利落日</stp>
        <tr r="R45" s="1"/>
      </tp>
      <tp t="s">
        <v/>
        <stp/>
        <stp>Market</stp>
        <stp>STOCK</stp>
        <stp>20020.T</stp>
        <stp>権利落日</stp>
        <tr r="R46" s="1"/>
      </tp>
      <tp t="s">
        <v>2026/03/30</v>
        <stp/>
        <stp>Market</stp>
        <stp>STOCK</stp>
        <stp>20030.T</stp>
        <stp>権利落日</stp>
        <tr r="R47" s="1"/>
      </tp>
      <tp t="s">
        <v/>
        <stp/>
        <stp>Market</stp>
        <stp>STOCK</stp>
        <stp>20040.T</stp>
        <stp>権利落日</stp>
        <tr r="R48" s="1"/>
      </tp>
      <tp t="s">
        <v/>
        <stp/>
        <stp>Market</stp>
        <stp>STOCK</stp>
        <stp>20600.T</stp>
        <stp>権利落日</stp>
        <tr r="R54" s="1"/>
      </tp>
      <tp t="s">
        <v/>
        <stp/>
        <stp>Market</stp>
        <stp>STOCK</stp>
        <stp>206A0.T</stp>
        <stp>権利落日</stp>
        <tr r="R55" s="1"/>
      </tp>
      <tp t="s">
        <v/>
        <stp/>
        <stp>Market</stp>
        <stp>STOCK</stp>
        <stp>20530.T</stp>
        <stp>権利落日</stp>
        <tr r="R51" s="1"/>
      </tp>
      <tp t="s">
        <v/>
        <stp/>
        <stp>Market</stp>
        <stp>STOCK</stp>
        <stp>20550.T</stp>
        <stp>権利落日</stp>
        <tr r="R52" s="1"/>
      </tp>
      <tp t="s">
        <v/>
        <stp/>
        <stp>Market</stp>
        <stp>STOCK</stp>
        <stp>205A0.T</stp>
        <stp>権利落日</stp>
        <tr r="R53" s="1"/>
      </tp>
      <tp>
        <v>2185000</v>
        <stp/>
        <stp>Market</stp>
        <stp>STOCK</stp>
        <stp>198A0.T</stp>
        <stp>信用買残</stp>
        <tr r="M41" s="1"/>
      </tp>
      <tp>
        <v>30800</v>
        <stp/>
        <stp>Market</stp>
        <stp>STOCK</stp>
        <stp>19820.T</stp>
        <stp>信用買残</stp>
        <tr r="M40" s="1"/>
      </tp>
      <tp>
        <v>9900</v>
        <stp/>
        <stp>Market</stp>
        <stp>STOCK</stp>
        <stp>19810.T</stp>
        <stp>信用買残</stp>
        <tr r="M39" s="1"/>
      </tp>
      <tp>
        <v>645700</v>
        <stp/>
        <stp>Market</stp>
        <stp>STOCK</stp>
        <stp>19800.T</stp>
        <stp>信用買残</stp>
        <tr r="M38" s="1"/>
      </tp>
      <tp>
        <v>100</v>
        <stp/>
        <stp>Market</stp>
        <stp>STOCK</stp>
        <stp>19920.T</stp>
        <stp>信用買残</stp>
        <tr r="M42" s="1"/>
      </tp>
      <tp>
        <v>13100</v>
        <stp/>
        <stp>Market</stp>
        <stp>STOCK</stp>
        <stp>19970.T</stp>
        <stp>信用買残</stp>
        <tr r="M44" s="1"/>
      </tp>
      <tp>
        <v>71200</v>
        <stp/>
        <stp>Market</stp>
        <stp>STOCK</stp>
        <stp>19940.T</stp>
        <stp>信用買残</stp>
        <tr r="M43" s="1"/>
      </tp>
      <tp>
        <v>1002400</v>
        <stp/>
        <stp>Market</stp>
        <stp>STOCK</stp>
        <stp>196A0.T</stp>
        <stp>信用買残</stp>
        <tr r="M32" s="1"/>
      </tp>
      <tp>
        <v>1470500</v>
        <stp/>
        <stp>Market</stp>
        <stp>STOCK</stp>
        <stp>19630.T</stp>
        <stp>信用買残</stp>
        <tr r="M25" s="1"/>
      </tp>
      <tp>
        <v>150900</v>
        <stp/>
        <stp>Market</stp>
        <stp>STOCK</stp>
        <stp>19610.T</stp>
        <stp>信用買残</stp>
        <tr r="M24" s="1"/>
      </tp>
      <tp>
        <v>513100</v>
        <stp/>
        <stp>Market</stp>
        <stp>STOCK</stp>
        <stp>19600.T</stp>
        <stp>信用買残</stp>
        <tr r="M23" s="1"/>
      </tp>
      <tp>
        <v>144000</v>
        <stp/>
        <stp>Market</stp>
        <stp>STOCK</stp>
        <stp>19670.T</stp>
        <stp>信用買残</stp>
        <tr r="M29" s="1"/>
      </tp>
      <tp>
        <v>82700</v>
        <stp/>
        <stp>Market</stp>
        <stp>STOCK</stp>
        <stp>19660.T</stp>
        <stp>信用買残</stp>
        <tr r="M28" s="1"/>
      </tp>
      <tp>
        <v>118100</v>
        <stp/>
        <stp>Market</stp>
        <stp>STOCK</stp>
        <stp>19650.T</stp>
        <stp>信用買残</stp>
        <tr r="M27" s="1"/>
      </tp>
      <tp>
        <v>44900</v>
        <stp/>
        <stp>Market</stp>
        <stp>STOCK</stp>
        <stp>19640.T</stp>
        <stp>信用買残</stp>
        <tr r="M26" s="1"/>
      </tp>
      <tp>
        <v>438700</v>
        <stp/>
        <stp>Market</stp>
        <stp>STOCK</stp>
        <stp>19690.T</stp>
        <stp>信用買残</stp>
        <tr r="M31" s="1"/>
      </tp>
      <tp>
        <v>199300</v>
        <stp/>
        <stp>Market</stp>
        <stp>STOCK</stp>
        <stp>19680.T</stp>
        <stp>信用買残</stp>
        <tr r="M30" s="1"/>
      </tp>
      <tp>
        <v>2122700</v>
        <stp/>
        <stp>Market</stp>
        <stp>STOCK</stp>
        <stp>197A0.T</stp>
        <stp>信用買残</stp>
        <tr r="M37" s="1"/>
      </tp>
      <tp>
        <v>479200</v>
        <stp/>
        <stp>Market</stp>
        <stp>STOCK</stp>
        <stp>19720.T</stp>
        <stp>信用買残</stp>
        <tr r="M33" s="1"/>
      </tp>
      <tp>
        <v>55700</v>
        <stp/>
        <stp>Market</stp>
        <stp>STOCK</stp>
        <stp>19760.T</stp>
        <stp>信用買残</stp>
        <tr r="M35" s="1"/>
      </tp>
      <tp>
        <v>100600</v>
        <stp/>
        <stp>Market</stp>
        <stp>STOCK</stp>
        <stp>19750.T</stp>
        <stp>信用買残</stp>
        <tr r="M34" s="1"/>
      </tp>
      <tp>
        <v>55400</v>
        <stp/>
        <stp>Market</stp>
        <stp>STOCK</stp>
        <stp>19790.T</stp>
        <stp>信用買残</stp>
        <tr r="M36" s="1"/>
      </tp>
      <tp>
        <v>146200</v>
        <stp/>
        <stp>Market</stp>
        <stp>STOCK</stp>
        <stp>194A0.T</stp>
        <stp>信用買残</stp>
        <tr r="M17" s="1"/>
      </tp>
      <tp>
        <v>633500</v>
        <stp/>
        <stp>Market</stp>
        <stp>STOCK</stp>
        <stp>19420.T</stp>
        <stp>信用買残</stp>
        <tr r="M11" s="1"/>
      </tp>
      <tp>
        <v>103200</v>
        <stp/>
        <stp>Market</stp>
        <stp>STOCK</stp>
        <stp>19410.T</stp>
        <stp>信用買残</stp>
        <tr r="M10" s="1"/>
      </tp>
      <tp>
        <v>420200</v>
        <stp/>
        <stp>Market</stp>
        <stp>STOCK</stp>
        <stp>19460.T</stp>
        <stp>信用買残</stp>
        <tr r="M14" s="1"/>
      </tp>
      <tp>
        <v>578200</v>
        <stp/>
        <stp>Market</stp>
        <stp>STOCK</stp>
        <stp>19450.T</stp>
        <stp>信用買残</stp>
        <tr r="M13" s="1"/>
      </tp>
      <tp>
        <v>145400</v>
        <stp/>
        <stp>Market</stp>
        <stp>STOCK</stp>
        <stp>19440.T</stp>
        <stp>信用買残</stp>
        <tr r="M12" s="1"/>
      </tp>
      <tp>
        <v>0</v>
        <stp/>
        <stp>Market</stp>
        <stp>STOCK</stp>
        <stp>19490.T</stp>
        <stp>信用買残</stp>
        <tr r="M16" s="1"/>
      </tp>
      <tp>
        <v>194400</v>
        <stp/>
        <stp>Market</stp>
        <stp>STOCK</stp>
        <stp>19480.T</stp>
        <stp>信用買残</stp>
        <tr r="M15" s="1"/>
      </tp>
      <tp>
        <v>389700</v>
        <stp/>
        <stp>Market</stp>
        <stp>STOCK</stp>
        <stp>195A0.T</stp>
        <stp>信用買残</stp>
        <tr r="M22" s="1"/>
      </tp>
      <tp>
        <v>187800</v>
        <stp/>
        <stp>Market</stp>
        <stp>STOCK</stp>
        <stp>19520.T</stp>
        <stp>信用買残</stp>
        <tr r="M20" s="1"/>
      </tp>
      <tp>
        <v>129800</v>
        <stp/>
        <stp>Market</stp>
        <stp>STOCK</stp>
        <stp>19510.T</stp>
        <stp>信用買残</stp>
        <tr r="M19" s="1"/>
      </tp>
      <tp>
        <v>129700</v>
        <stp/>
        <stp>Market</stp>
        <stp>STOCK</stp>
        <stp>19500.T</stp>
        <stp>信用買残</stp>
        <tr r="M18" s="1"/>
      </tp>
      <tp>
        <v>75700</v>
        <stp/>
        <stp>Market</stp>
        <stp>STOCK</stp>
        <stp>19590.T</stp>
        <stp>信用買残</stp>
        <tr r="M21" s="1"/>
      </tp>
      <tp>
        <v>104000</v>
        <stp/>
        <stp>Market</stp>
        <stp>STOCK</stp>
        <stp>192A0.T</stp>
        <stp>信用買残</stp>
        <tr r="M5" s="1"/>
      </tp>
      <tp>
        <v>134400</v>
        <stp/>
        <stp>Market</stp>
        <stp>STOCK</stp>
        <stp>19260.T</stp>
        <stp>信用買残</stp>
        <tr r="M2" s="1"/>
      </tp>
      <tp>
        <v>209900</v>
        <stp/>
        <stp>Market</stp>
        <stp>STOCK</stp>
        <stp>19290.T</stp>
        <stp>信用買残</stp>
        <tr r="M4" s="1"/>
      </tp>
      <tp>
        <v>660000</v>
        <stp/>
        <stp>Market</stp>
        <stp>STOCK</stp>
        <stp>19280.T</stp>
        <stp>信用買残</stp>
        <tr r="M3" s="1"/>
      </tp>
      <tp>
        <v>295000</v>
        <stp/>
        <stp>Market</stp>
        <stp>STOCK</stp>
        <stp>19300.T</stp>
        <stp>信用買残</stp>
        <tr r="M6" s="1"/>
      </tp>
      <tp>
        <v>122400</v>
        <stp/>
        <stp>Market</stp>
        <stp>STOCK</stp>
        <stp>19340.T</stp>
        <stp>信用買残</stp>
        <tr r="M7" s="1"/>
      </tp>
      <tp>
        <v>276100</v>
        <stp/>
        <stp>Market</stp>
        <stp>STOCK</stp>
        <stp>19390.T</stp>
        <stp>信用買残</stp>
        <tr r="M9" s="1"/>
      </tp>
      <tp>
        <v>227500</v>
        <stp/>
        <stp>Market</stp>
        <stp>STOCK</stp>
        <stp>19380.T</stp>
        <stp>信用買残</stp>
        <tr r="M8" s="1"/>
      </tp>
      <tp t="s">
        <v/>
        <stp/>
        <stp>Market</stp>
        <stp>STOCK</stp>
        <stp>23210.T</stp>
        <stp>権利落日</stp>
        <tr r="R148" s="1"/>
      </tp>
      <tp t="s">
        <v>2026/01/28</v>
        <stp/>
        <stp>Market</stp>
        <stp>STOCK</stp>
        <stp>23230.T</stp>
        <stp>権利落日</stp>
        <tr r="R149" s="1"/>
      </tp>
      <tp t="s">
        <v/>
        <stp/>
        <stp>Market</stp>
        <stp>STOCK</stp>
        <stp>23250.T</stp>
        <stp>権利落日</stp>
        <tr r="R150" s="1"/>
      </tp>
      <tp t="s">
        <v/>
        <stp/>
        <stp>Market</stp>
        <stp>STOCK</stp>
        <stp>23260.T</stp>
        <stp>権利落日</stp>
        <tr r="R151" s="1"/>
      </tp>
      <tp t="s">
        <v/>
        <stp/>
        <stp>Market</stp>
        <stp>STOCK</stp>
        <stp>23000.T</stp>
        <stp>権利落日</stp>
        <tr r="R139" s="1"/>
      </tp>
      <tp t="s">
        <v/>
        <stp/>
        <stp>Market</stp>
        <stp>STOCK</stp>
        <stp>23010.T</stp>
        <stp>権利落日</stp>
        <tr r="R140" s="1"/>
      </tp>
      <tp t="s">
        <v>2016/05/27</v>
        <stp/>
        <stp>Market</stp>
        <stp>STOCK</stp>
        <stp>23030.T</stp>
        <stp>権利落日</stp>
        <tr r="R141" s="1"/>
      </tp>
      <tp t="s">
        <v/>
        <stp/>
        <stp>Market</stp>
        <stp>STOCK</stp>
        <stp>23040.T</stp>
        <stp>権利落日</stp>
        <tr r="R142" s="1"/>
      </tp>
      <tp t="s">
        <v/>
        <stp/>
        <stp>Market</stp>
        <stp>STOCK</stp>
        <stp>23050.T</stp>
        <stp>権利落日</stp>
        <tr r="R143" s="1"/>
      </tp>
      <tp t="s">
        <v>2022/03/30</v>
        <stp/>
        <stp>Market</stp>
        <stp>STOCK</stp>
        <stp>23070.T</stp>
        <stp>権利落日</stp>
        <tr r="R144" s="1"/>
      </tp>
      <tp t="s">
        <v>2017/12/27</v>
        <stp/>
        <stp>Market</stp>
        <stp>STOCK</stp>
        <stp>23110.T</stp>
        <stp>権利落日</stp>
        <tr r="R145" s="1"/>
      </tp>
      <tp t="s">
        <v/>
        <stp/>
        <stp>Market</stp>
        <stp>STOCK</stp>
        <stp>23150.T</stp>
        <stp>権利落日</stp>
        <tr r="R146" s="1"/>
      </tp>
      <tp t="s">
        <v>2021/11/29</v>
        <stp/>
        <stp>Market</stp>
        <stp>STOCK</stp>
        <stp>23170.T</stp>
        <stp>権利落日</stp>
        <tr r="R147" s="1"/>
      </tp>
      <tp t="s">
        <v/>
        <stp/>
        <stp>Market</stp>
        <stp>STOCK</stp>
        <stp>22880.T</stp>
        <stp>権利落日</stp>
        <tr r="R132" s="1"/>
      </tp>
      <tp t="s">
        <v/>
        <stp/>
        <stp>Market</stp>
        <stp>STOCK</stp>
        <stp>22810.T</stp>
        <stp>権利落日</stp>
        <tr r="R129" s="1"/>
      </tp>
      <tp t="s">
        <v/>
        <stp/>
        <stp>Market</stp>
        <stp>STOCK</stp>
        <stp>22820.T</stp>
        <stp>権利落日</stp>
        <tr r="R130" s="1"/>
      </tp>
      <tp t="s">
        <v/>
        <stp/>
        <stp>Market</stp>
        <stp>STOCK</stp>
        <stp>22860.T</stp>
        <stp>権利落日</stp>
        <tr r="R131" s="1"/>
      </tp>
      <tp t="s">
        <v/>
        <stp/>
        <stp>Market</stp>
        <stp>STOCK</stp>
        <stp>228A0.T</stp>
        <stp>権利落日</stp>
        <tr r="R133" s="1"/>
      </tp>
      <tp t="s">
        <v/>
        <stp/>
        <stp>Market</stp>
        <stp>STOCK</stp>
        <stp>22910.T</stp>
        <stp>権利落日</stp>
        <tr r="R134" s="1"/>
      </tp>
      <tp t="s">
        <v/>
        <stp/>
        <stp>Market</stp>
        <stp>STOCK</stp>
        <stp>22920.T</stp>
        <stp>権利落日</stp>
        <tr r="R135" s="1"/>
      </tp>
      <tp t="s">
        <v/>
        <stp/>
        <stp>Market</stp>
        <stp>STOCK</stp>
        <stp>22930.T</stp>
        <stp>権利落日</stp>
        <tr r="R136" s="1"/>
      </tp>
      <tp t="s">
        <v/>
        <stp/>
        <stp>Market</stp>
        <stp>STOCK</stp>
        <stp>22940.T</stp>
        <stp>権利落日</stp>
        <tr r="R137" s="1"/>
      </tp>
      <tp t="s">
        <v/>
        <stp/>
        <stp>Market</stp>
        <stp>STOCK</stp>
        <stp>22960.T</stp>
        <stp>権利落日</stp>
        <tr r="R138" s="1"/>
      </tp>
      <tp t="s">
        <v/>
        <stp/>
        <stp>Market</stp>
        <stp>STOCK</stp>
        <stp>22290.T</stp>
        <stp>権利落日</stp>
        <tr r="R122" s="1"/>
      </tp>
      <tp t="s">
        <v>2026/03/30</v>
        <stp/>
        <stp>Market</stp>
        <stp>STOCK</stp>
        <stp>22200.T</stp>
        <stp>権利落日</stp>
        <tr r="R117" s="1"/>
      </tp>
      <tp t="s">
        <v>2024/03/28</v>
        <stp/>
        <stp>Market</stp>
        <stp>STOCK</stp>
        <stp>22210.T</stp>
        <stp>権利落日</stp>
        <tr r="R118" s="1"/>
      </tp>
      <tp t="s">
        <v>2023/09/28</v>
        <stp/>
        <stp>Market</stp>
        <stp>STOCK</stp>
        <stp>22220.T</stp>
        <stp>権利落日</stp>
        <tr r="R119" s="1"/>
      </tp>
      <tp t="s">
        <v/>
        <stp/>
        <stp>Market</stp>
        <stp>STOCK</stp>
        <stp>22240.T</stp>
        <stp>権利落日</stp>
        <tr r="R120" s="1"/>
      </tp>
      <tp t="s">
        <v>2024/03/28</v>
        <stp/>
        <stp>Market</stp>
        <stp>STOCK</stp>
        <stp>22260.T</stp>
        <stp>権利落日</stp>
        <tr r="R121" s="1"/>
      </tp>
      <tp t="s">
        <v/>
        <stp/>
        <stp>Market</stp>
        <stp>STOCK</stp>
        <stp>22080.T</stp>
        <stp>権利落日</stp>
        <tr r="R109" s="1"/>
      </tp>
      <tp t="s">
        <v/>
        <stp/>
        <stp>Market</stp>
        <stp>STOCK</stp>
        <stp>22090.T</stp>
        <stp>権利落日</stp>
        <tr r="R110" s="1"/>
      </tp>
      <tp t="s">
        <v>2023/12/28</v>
        <stp/>
        <stp>Market</stp>
        <stp>STOCK</stp>
        <stp>22010.T</stp>
        <stp>権利落日</stp>
        <tr r="R105" s="1"/>
      </tp>
      <tp t="s">
        <v/>
        <stp/>
        <stp>Market</stp>
        <stp>STOCK</stp>
        <stp>22040.T</stp>
        <stp>権利落日</stp>
        <tr r="R106" s="1"/>
      </tp>
      <tp t="s">
        <v/>
        <stp/>
        <stp>Market</stp>
        <stp>STOCK</stp>
        <stp>22060.T</stp>
        <stp>権利落日</stp>
        <tr r="R107" s="1"/>
      </tp>
      <tp t="s">
        <v/>
        <stp/>
        <stp>Market</stp>
        <stp>STOCK</stp>
        <stp>22070.T</stp>
        <stp>権利落日</stp>
        <tr r="R108" s="1"/>
      </tp>
      <tp t="s">
        <v/>
        <stp/>
        <stp>Market</stp>
        <stp>STOCK</stp>
        <stp>220A0.T</stp>
        <stp>権利落日</stp>
        <tr r="R111" s="1"/>
      </tp>
      <tp t="s">
        <v/>
        <stp/>
        <stp>Market</stp>
        <stp>STOCK</stp>
        <stp>22110.T</stp>
        <stp>権利落日</stp>
        <tr r="R112" s="1"/>
      </tp>
      <tp t="s">
        <v/>
        <stp/>
        <stp>Market</stp>
        <stp>STOCK</stp>
        <stp>22120.T</stp>
        <stp>権利落日</stp>
        <tr r="R113" s="1"/>
      </tp>
      <tp t="s">
        <v/>
        <stp/>
        <stp>Market</stp>
        <stp>STOCK</stp>
        <stp>22150.T</stp>
        <stp>権利落日</stp>
        <tr r="R114" s="1"/>
      </tp>
      <tp t="s">
        <v>2025/06/27</v>
        <stp/>
        <stp>Market</stp>
        <stp>STOCK</stp>
        <stp>22160.T</stp>
        <stp>権利落日</stp>
        <tr r="R115" s="1"/>
      </tp>
      <tp t="s">
        <v>2025/01/30</v>
        <stp/>
        <stp>Market</stp>
        <stp>STOCK</stp>
        <stp>22170.T</stp>
        <stp>権利落日</stp>
        <tr r="R116" s="1"/>
      </tp>
      <tp t="s">
        <v/>
        <stp/>
        <stp>Market</stp>
        <stp>STOCK</stp>
        <stp>22680.T</stp>
        <stp>権利落日</stp>
        <tr r="R126" s="1"/>
      </tp>
      <tp t="s">
        <v>2023/03/30</v>
        <stp/>
        <stp>Market</stp>
        <stp>STOCK</stp>
        <stp>22690.T</stp>
        <stp>権利落日</stp>
        <tr r="R127" s="1"/>
      </tp>
      <tp t="s">
        <v>2023/11/29</v>
        <stp/>
        <stp>Market</stp>
        <stp>STOCK</stp>
        <stp>22640.T</stp>
        <stp>権利落日</stp>
        <tr r="R123" s="1"/>
      </tp>
      <tp t="s">
        <v/>
        <stp/>
        <stp>Market</stp>
        <stp>STOCK</stp>
        <stp>22660.T</stp>
        <stp>権利落日</stp>
        <tr r="R124" s="1"/>
      </tp>
      <tp t="s">
        <v>2023/09/28</v>
        <stp/>
        <stp>Market</stp>
        <stp>STOCK</stp>
        <stp>22670.T</stp>
        <stp>権利落日</stp>
        <tr r="R125" s="1"/>
      </tp>
      <tp t="s">
        <v/>
        <stp/>
        <stp>Market</stp>
        <stp>STOCK</stp>
        <stp>22700.T</stp>
        <stp>権利落日</stp>
        <tr r="R128" s="1"/>
      </tp>
      <tp t="s">
        <v>2025/12/29</v>
        <stp/>
        <stp>Market</stp>
        <stp>STOCK</stp>
        <stp>19800.T</stp>
        <stp>権利落日</stp>
        <tr r="R38" s="1"/>
      </tp>
      <tp t="s">
        <v/>
        <stp/>
        <stp>Market</stp>
        <stp>STOCK</stp>
        <stp>19810.T</stp>
        <stp>権利落日</stp>
        <tr r="R39" s="1"/>
      </tp>
      <tp t="s">
        <v>2026/03/30</v>
        <stp/>
        <stp>Market</stp>
        <stp>STOCK</stp>
        <stp>19820.T</stp>
        <stp>権利落日</stp>
        <tr r="R40" s="1"/>
      </tp>
      <tp t="s">
        <v/>
        <stp/>
        <stp>Market</stp>
        <stp>STOCK</stp>
        <stp>198A0.T</stp>
        <stp>権利落日</stp>
        <tr r="R41" s="1"/>
      </tp>
      <tp t="s">
        <v>2019/10/30</v>
        <stp/>
        <stp>Market</stp>
        <stp>STOCK</stp>
        <stp>19920.T</stp>
        <stp>権利落日</stp>
        <tr r="R42" s="1"/>
      </tp>
      <tp t="s">
        <v/>
        <stp/>
        <stp>Market</stp>
        <stp>STOCK</stp>
        <stp>19940.T</stp>
        <stp>権利落日</stp>
        <tr r="R43" s="1"/>
      </tp>
      <tp t="s">
        <v>2016/08/29</v>
        <stp/>
        <stp>Market</stp>
        <stp>STOCK</stp>
        <stp>19970.T</stp>
        <stp>権利落日</stp>
        <tr r="R44" s="1"/>
      </tp>
      <tp t="s">
        <v/>
        <stp/>
        <stp>Market</stp>
        <stp>STOCK</stp>
        <stp>19280.T</stp>
        <stp>権利落日</stp>
        <tr r="R3" s="1"/>
      </tp>
      <tp t="s">
        <v/>
        <stp/>
        <stp>Market</stp>
        <stp>STOCK</stp>
        <stp>19290.T</stp>
        <stp>権利落日</stp>
        <tr r="R4" s="1"/>
      </tp>
      <tp t="s">
        <v/>
        <stp/>
        <stp>Market</stp>
        <stp>STOCK</stp>
        <stp>19260.T</stp>
        <stp>権利落日</stp>
        <tr r="R2" s="1"/>
      </tp>
      <tp t="s">
        <v/>
        <stp/>
        <stp>Market</stp>
        <stp>STOCK</stp>
        <stp>192A0.T</stp>
        <stp>権利落日</stp>
        <tr r="R5" s="1"/>
      </tp>
      <tp t="s">
        <v/>
        <stp/>
        <stp>Market</stp>
        <stp>STOCK</stp>
        <stp>19380.T</stp>
        <stp>権利落日</stp>
        <tr r="R8" s="1"/>
      </tp>
      <tp t="s">
        <v>2024/09/27</v>
        <stp/>
        <stp>Market</stp>
        <stp>STOCK</stp>
        <stp>19390.T</stp>
        <stp>権利落日</stp>
        <tr r="R9" s="1"/>
      </tp>
      <tp t="s">
        <v>2021/12/29</v>
        <stp/>
        <stp>Market</stp>
        <stp>STOCK</stp>
        <stp>19300.T</stp>
        <stp>権利落日</stp>
        <tr r="R6" s="1"/>
      </tp>
      <tp t="s">
        <v/>
        <stp/>
        <stp>Market</stp>
        <stp>STOCK</stp>
        <stp>19340.T</stp>
        <stp>権利落日</stp>
        <tr r="R7" s="1"/>
      </tp>
      <tp t="s">
        <v>2025/09/29</v>
        <stp/>
        <stp>Market</stp>
        <stp>STOCK</stp>
        <stp>19680.T</stp>
        <stp>権利落日</stp>
        <tr r="R30" s="1"/>
      </tp>
      <tp t="s">
        <v>2025/09/29</v>
        <stp/>
        <stp>Market</stp>
        <stp>STOCK</stp>
        <stp>19690.T</stp>
        <stp>権利落日</stp>
        <tr r="R31" s="1"/>
      </tp>
      <tp t="s">
        <v/>
        <stp/>
        <stp>Market</stp>
        <stp>STOCK</stp>
        <stp>19600.T</stp>
        <stp>権利落日</stp>
        <tr r="R23" s="1"/>
      </tp>
      <tp t="s">
        <v>2026/04/28</v>
        <stp/>
        <stp>Market</stp>
        <stp>STOCK</stp>
        <stp>19610.T</stp>
        <stp>権利落日</stp>
        <tr r="R24" s="1"/>
      </tp>
      <tp t="s">
        <v/>
        <stp/>
        <stp>Market</stp>
        <stp>STOCK</stp>
        <stp>19630.T</stp>
        <stp>権利落日</stp>
        <tr r="R25" s="1"/>
      </tp>
      <tp t="s">
        <v/>
        <stp/>
        <stp>Market</stp>
        <stp>STOCK</stp>
        <stp>19640.T</stp>
        <stp>権利落日</stp>
        <tr r="R26" s="1"/>
      </tp>
      <tp t="s">
        <v/>
        <stp/>
        <stp>Market</stp>
        <stp>STOCK</stp>
        <stp>19650.T</stp>
        <stp>権利落日</stp>
        <tr r="R27" s="1"/>
      </tp>
      <tp t="s">
        <v/>
        <stp/>
        <stp>Market</stp>
        <stp>STOCK</stp>
        <stp>19660.T</stp>
        <stp>権利落日</stp>
        <tr r="R28" s="1"/>
      </tp>
      <tp t="s">
        <v/>
        <stp/>
        <stp>Market</stp>
        <stp>STOCK</stp>
        <stp>19670.T</stp>
        <stp>権利落日</stp>
        <tr r="R29" s="1"/>
      </tp>
      <tp t="s">
        <v/>
        <stp/>
        <stp>Market</stp>
        <stp>STOCK</stp>
        <stp>196A0.T</stp>
        <stp>権利落日</stp>
        <tr r="R32" s="1"/>
      </tp>
      <tp t="s">
        <v>2025/03/28</v>
        <stp/>
        <stp>Market</stp>
        <stp>STOCK</stp>
        <stp>19790.T</stp>
        <stp>権利落日</stp>
        <tr r="R36" s="1"/>
      </tp>
      <tp t="s">
        <v>2025/09/29</v>
        <stp/>
        <stp>Market</stp>
        <stp>STOCK</stp>
        <stp>19720.T</stp>
        <stp>権利落日</stp>
        <tr r="R33" s="1"/>
      </tp>
      <tp t="s">
        <v>2024/03/28</v>
        <stp/>
        <stp>Market</stp>
        <stp>STOCK</stp>
        <stp>19750.T</stp>
        <stp>権利落日</stp>
        <tr r="R34" s="1"/>
      </tp>
      <tp t="s">
        <v/>
        <stp/>
        <stp>Market</stp>
        <stp>STOCK</stp>
        <stp>19760.T</stp>
        <stp>権利落日</stp>
        <tr r="R35" s="1"/>
      </tp>
      <tp t="s">
        <v/>
        <stp/>
        <stp>Market</stp>
        <stp>STOCK</stp>
        <stp>197A0.T</stp>
        <stp>権利落日</stp>
        <tr r="R37" s="1"/>
      </tp>
      <tp t="s">
        <v>2024/03/28</v>
        <stp/>
        <stp>Market</stp>
        <stp>STOCK</stp>
        <stp>19480.T</stp>
        <stp>権利落日</stp>
        <tr r="R15" s="1"/>
      </tp>
      <tp t="s">
        <v/>
        <stp/>
        <stp>Market</stp>
        <stp>STOCK</stp>
        <stp>19490.T</stp>
        <stp>権利落日</stp>
        <tr r="R16" s="1"/>
      </tp>
      <tp t="s">
        <v/>
        <stp/>
        <stp>Market</stp>
        <stp>STOCK</stp>
        <stp>19410.T</stp>
        <stp>権利落日</stp>
        <tr r="R10" s="1"/>
      </tp>
      <tp t="s">
        <v/>
        <stp/>
        <stp>Market</stp>
        <stp>STOCK</stp>
        <stp>19420.T</stp>
        <stp>権利落日</stp>
        <tr r="R11" s="1"/>
      </tp>
      <tp t="s">
        <v/>
        <stp/>
        <stp>Market</stp>
        <stp>STOCK</stp>
        <stp>19440.T</stp>
        <stp>権利落日</stp>
        <tr r="R12" s="1"/>
      </tp>
      <tp t="s">
        <v/>
        <stp/>
        <stp>Market</stp>
        <stp>STOCK</stp>
        <stp>19450.T</stp>
        <stp>権利落日</stp>
        <tr r="R13" s="1"/>
      </tp>
      <tp t="s">
        <v>2024/09/27</v>
        <stp/>
        <stp>Market</stp>
        <stp>STOCK</stp>
        <stp>19460.T</stp>
        <stp>権利落日</stp>
        <tr r="R14" s="1"/>
      </tp>
      <tp t="s">
        <v/>
        <stp/>
        <stp>Market</stp>
        <stp>STOCK</stp>
        <stp>194A0.T</stp>
        <stp>権利落日</stp>
        <tr r="R17" s="1"/>
      </tp>
      <tp t="s">
        <v/>
        <stp/>
        <stp>Market</stp>
        <stp>STOCK</stp>
        <stp>19590.T</stp>
        <stp>権利落日</stp>
        <tr r="R21" s="1"/>
      </tp>
      <tp t="s">
        <v/>
        <stp/>
        <stp>Market</stp>
        <stp>STOCK</stp>
        <stp>19500.T</stp>
        <stp>権利落日</stp>
        <tr r="R18" s="1"/>
      </tp>
      <tp t="s">
        <v>2024/03/28</v>
        <stp/>
        <stp>Market</stp>
        <stp>STOCK</stp>
        <stp>19510.T</stp>
        <stp>権利落日</stp>
        <tr r="R19" s="1"/>
      </tp>
      <tp t="s">
        <v>2024/12/27</v>
        <stp/>
        <stp>Market</stp>
        <stp>STOCK</stp>
        <stp>19520.T</stp>
        <stp>権利落日</stp>
        <tr r="R20" s="1"/>
      </tp>
      <tp t="s">
        <v/>
        <stp/>
        <stp>Market</stp>
        <stp>STOCK</stp>
        <stp>195A0.T</stp>
        <stp>権利落日</stp>
        <tr r="R22" s="1"/>
      </tp>
      <tp>
        <v>78100</v>
        <stp/>
        <stp>Market</stp>
        <stp>STOCK</stp>
        <stp>208A0.T</stp>
        <stp>信用買残</stp>
        <tr r="M56" s="1"/>
      </tp>
      <tp>
        <v>2120000</v>
        <stp/>
        <stp>Market</stp>
        <stp>STOCK</stp>
        <stp>206A0.T</stp>
        <stp>信用買残</stp>
        <tr r="M55" s="1"/>
      </tp>
      <tp>
        <v>328000</v>
        <stp/>
        <stp>Market</stp>
        <stp>STOCK</stp>
        <stp>20600.T</stp>
        <stp>信用買残</stp>
        <tr r="M54" s="1"/>
      </tp>
      <tp>
        <v>135100</v>
        <stp/>
        <stp>Market</stp>
        <stp>STOCK</stp>
        <stp>205A0.T</stp>
        <stp>信用買残</stp>
        <tr r="M53" s="1"/>
      </tp>
      <tp>
        <v>135400</v>
        <stp/>
        <stp>Market</stp>
        <stp>STOCK</stp>
        <stp>20530.T</stp>
        <stp>信用買残</stp>
        <tr r="M51" s="1"/>
      </tp>
      <tp>
        <v>897300</v>
        <stp/>
        <stp>Market</stp>
        <stp>STOCK</stp>
        <stp>20550.T</stp>
        <stp>信用買残</stp>
        <tr r="M52" s="1"/>
      </tp>
      <tp>
        <v>203200</v>
        <stp/>
        <stp>Market</stp>
        <stp>STOCK</stp>
        <stp>202A0.T</stp>
        <stp>信用買残</stp>
        <tr r="M50" s="1"/>
      </tp>
      <tp>
        <v>9100</v>
        <stp/>
        <stp>Market</stp>
        <stp>STOCK</stp>
        <stp>20030.T</stp>
        <stp>信用買残</stp>
        <tr r="M47" s="1"/>
      </tp>
      <tp>
        <v>170600</v>
        <stp/>
        <stp>Market</stp>
        <stp>STOCK</stp>
        <stp>20020.T</stp>
        <stp>信用買残</stp>
        <tr r="M46" s="1"/>
      </tp>
      <tp>
        <v>54900</v>
        <stp/>
        <stp>Market</stp>
        <stp>STOCK</stp>
        <stp>20010.T</stp>
        <stp>信用買残</stp>
        <tr r="M45" s="1"/>
      </tp>
      <tp>
        <v>218000</v>
        <stp/>
        <stp>Market</stp>
        <stp>STOCK</stp>
        <stp>20040.T</stp>
        <stp>信用買残</stp>
        <tr r="M48" s="1"/>
      </tp>
      <tp>
        <v>72900</v>
        <stp/>
        <stp>Market</stp>
        <stp>STOCK</stp>
        <stp>20090.T</stp>
        <stp>信用買残</stp>
        <tr r="M49" s="1"/>
      </tp>
      <tp>
        <v>1775800</v>
        <stp/>
        <stp>Market</stp>
        <stp>STOCK</stp>
        <stp>218A0.T</stp>
        <stp>信用買残</stp>
        <tr r="M99" s="1"/>
      </tp>
      <tp>
        <v>178100</v>
        <stp/>
        <stp>Market</stp>
        <stp>STOCK</stp>
        <stp>21830.T</stp>
        <stp>信用買残</stp>
        <tr r="M96" s="1"/>
      </tp>
      <tp>
        <v>3440200</v>
        <stp/>
        <stp>Market</stp>
        <stp>STOCK</stp>
        <stp>21810.T</stp>
        <stp>信用買残</stp>
        <tr r="M95" s="1"/>
      </tp>
      <tp>
        <v>186100</v>
        <stp/>
        <stp>Market</stp>
        <stp>STOCK</stp>
        <stp>21800.T</stp>
        <stp>信用買残</stp>
        <tr r="M94" s="1"/>
      </tp>
      <tp>
        <v>45500</v>
        <stp/>
        <stp>Market</stp>
        <stp>STOCK</stp>
        <stp>21860.T</stp>
        <stp>信用買残</stp>
        <tr r="M98" s="1"/>
      </tp>
      <tp>
        <v>35000</v>
        <stp/>
        <stp>Market</stp>
        <stp>STOCK</stp>
        <stp>21850.T</stp>
        <stp>信用買残</stp>
        <tr r="M97" s="1"/>
      </tp>
      <tp>
        <v>1743400</v>
        <stp/>
        <stp>Market</stp>
        <stp>STOCK</stp>
        <stp>219A0.T</stp>
        <stp>信用買残</stp>
        <tr r="M104" s="1"/>
      </tp>
      <tp>
        <v>1554400</v>
        <stp/>
        <stp>Market</stp>
        <stp>STOCK</stp>
        <stp>21930.T</stp>
        <stp>信用買残</stp>
        <tr r="M100" s="1"/>
      </tp>
      <tp>
        <v>513600</v>
        <stp/>
        <stp>Market</stp>
        <stp>STOCK</stp>
        <stp>21960.T</stp>
        <stp>信用買残</stp>
        <tr r="M102" s="1"/>
      </tp>
      <tp>
        <v>197000</v>
        <stp/>
        <stp>Market</stp>
        <stp>STOCK</stp>
        <stp>21950.T</stp>
        <stp>信用買残</stp>
        <tr r="M101" s="1"/>
      </tp>
      <tp>
        <v>88600</v>
        <stp/>
        <stp>Market</stp>
        <stp>STOCK</stp>
        <stp>21980.T</stp>
        <stp>信用買残</stp>
        <tr r="M103" s="1"/>
      </tp>
      <tp>
        <v>120100</v>
        <stp/>
        <stp>Market</stp>
        <stp>STOCK</stp>
        <stp>21630.T</stp>
        <stp>信用買残</stp>
        <tr r="M86" s="1"/>
      </tp>
      <tp>
        <v>1303100</v>
        <stp/>
        <stp>Market</stp>
        <stp>STOCK</stp>
        <stp>21620.T</stp>
        <stp>信用買残</stp>
        <tr r="M85" s="1"/>
      </tp>
      <tp>
        <v>6409700</v>
        <stp/>
        <stp>Market</stp>
        <stp>STOCK</stp>
        <stp>21600.T</stp>
        <stp>信用買残</stp>
        <tr r="M84" s="1"/>
      </tp>
      <tp>
        <v>3154500</v>
        <stp/>
        <stp>Market</stp>
        <stp>STOCK</stp>
        <stp>21640.T</stp>
        <stp>信用買残</stp>
        <tr r="M87" s="1"/>
      </tp>
      <tp>
        <v>11500</v>
        <stp/>
        <stp>Market</stp>
        <stp>STOCK</stp>
        <stp>21690.T</stp>
        <stp>信用買残</stp>
        <tr r="M89" s="1"/>
      </tp>
      <tp>
        <v>138900</v>
        <stp/>
        <stp>Market</stp>
        <stp>STOCK</stp>
        <stp>21680.T</stp>
        <stp>信用買残</stp>
        <tr r="M88" s="1"/>
      </tp>
      <tp>
        <v>184500</v>
        <stp/>
        <stp>Market</stp>
        <stp>STOCK</stp>
        <stp>21730.T</stp>
        <stp>信用買残</stp>
        <tr r="M91" s="1"/>
      </tp>
      <tp>
        <v>1211700</v>
        <stp/>
        <stp>Market</stp>
        <stp>STOCK</stp>
        <stp>21700.T</stp>
        <stp>信用買残</stp>
        <tr r="M90" s="1"/>
      </tp>
      <tp>
        <v>274400</v>
        <stp/>
        <stp>Market</stp>
        <stp>STOCK</stp>
        <stp>21750.T</stp>
        <stp>信用買残</stp>
        <tr r="M92" s="1"/>
      </tp>
      <tp>
        <v>13100</v>
        <stp/>
        <stp>Market</stp>
        <stp>STOCK</stp>
        <stp>21790.T</stp>
        <stp>信用買残</stp>
        <tr r="M93" s="1"/>
      </tp>
      <tp>
        <v>4744100</v>
        <stp/>
        <stp>Market</stp>
        <stp>STOCK</stp>
        <stp>21460.T</stp>
        <stp>信用買残</stp>
        <tr r="M74" s="1"/>
      </tp>
      <tp>
        <v>162100</v>
        <stp/>
        <stp>Market</stp>
        <stp>STOCK</stp>
        <stp>21480.T</stp>
        <stp>信用買残</stp>
        <tr r="M75" s="1"/>
      </tp>
      <tp>
        <v>6764600</v>
        <stp/>
        <stp>Market</stp>
        <stp>STOCK</stp>
        <stp>215A0.T</stp>
        <stp>信用買残</stp>
        <tr r="M83" s="1"/>
      </tp>
      <tp>
        <v>209600</v>
        <stp/>
        <stp>Market</stp>
        <stp>STOCK</stp>
        <stp>21530.T</stp>
        <stp>信用買残</stp>
        <tr r="M78" s="1"/>
      </tp>
      <tp>
        <v>27900</v>
        <stp/>
        <stp>Market</stp>
        <stp>STOCK</stp>
        <stp>21520.T</stp>
        <stp>信用買残</stp>
        <tr r="M77" s="1"/>
      </tp>
      <tp t="s">
        <v/>
        <stp/>
        <stp>Market</stp>
        <stp>STOCK</stp>
        <stp>21500.T</stp>
        <stp>信用買残</stp>
        <tr r="M76" s="1"/>
      </tp>
      <tp>
        <v>1088500</v>
        <stp/>
        <stp>Market</stp>
        <stp>STOCK</stp>
        <stp>21570.T</stp>
        <stp>信用買残</stp>
        <tr r="M81" s="1"/>
      </tp>
      <tp>
        <v>264600</v>
        <stp/>
        <stp>Market</stp>
        <stp>STOCK</stp>
        <stp>21560.T</stp>
        <stp>信用買残</stp>
        <tr r="M80" s="1"/>
      </tp>
      <tp>
        <v>103900</v>
        <stp/>
        <stp>Market</stp>
        <stp>STOCK</stp>
        <stp>21540.T</stp>
        <stp>信用買残</stp>
        <tr r="M79" s="1"/>
      </tp>
      <tp>
        <v>2657100</v>
        <stp/>
        <stp>Market</stp>
        <stp>STOCK</stp>
        <stp>21580.T</stp>
        <stp>信用買残</stp>
        <tr r="M82" s="1"/>
      </tp>
      <tp>
        <v>809500</v>
        <stp/>
        <stp>Market</stp>
        <stp>STOCK</stp>
        <stp>212A0.T</stp>
        <stp>信用買残</stp>
        <tr r="M68" s="1"/>
      </tp>
      <tp>
        <v>51100</v>
        <stp/>
        <stp>Market</stp>
        <stp>STOCK</stp>
        <stp>21220.T</stp>
        <stp>信用買残</stp>
        <tr r="M65" s="1"/>
      </tp>
      <tp>
        <v>494300</v>
        <stp/>
        <stp>Market</stp>
        <stp>STOCK</stp>
        <stp>21210.T</stp>
        <stp>信用買残</stp>
        <tr r="M64" s="1"/>
      </tp>
      <tp>
        <v>3508600</v>
        <stp/>
        <stp>Market</stp>
        <stp>STOCK</stp>
        <stp>21200.T</stp>
        <stp>信用買残</stp>
        <tr r="M63" s="1"/>
      </tp>
      <tp>
        <v>3098300</v>
        <stp/>
        <stp>Market</stp>
        <stp>STOCK</stp>
        <stp>21270.T</stp>
        <stp>信用買残</stp>
        <tr r="M67" s="1"/>
      </tp>
      <tp>
        <v>418100</v>
        <stp/>
        <stp>Market</stp>
        <stp>STOCK</stp>
        <stp>21240.T</stp>
        <stp>信用買残</stp>
        <tr r="M66" s="1"/>
      </tp>
      <tp>
        <v>391600</v>
        <stp/>
        <stp>Market</stp>
        <stp>STOCK</stp>
        <stp>21300.T</stp>
        <stp>信用買残</stp>
        <tr r="M69" s="1"/>
      </tp>
      <tp>
        <v>30000</v>
        <stp/>
        <stp>Market</stp>
        <stp>STOCK</stp>
        <stp>21360.T</stp>
        <stp>信用買残</stp>
        <tr r="M71" s="1"/>
      </tp>
      <tp>
        <v>12498400</v>
        <stp/>
        <stp>Market</stp>
        <stp>STOCK</stp>
        <stp>21340.T</stp>
        <stp>信用買残</stp>
        <tr r="M70" s="1"/>
      </tp>
      <tp>
        <v>106100</v>
        <stp/>
        <stp>Market</stp>
        <stp>STOCK</stp>
        <stp>21390.T</stp>
        <stp>信用買残</stp>
        <tr r="M73" s="1"/>
      </tp>
      <tp>
        <v>412200</v>
        <stp/>
        <stp>Market</stp>
        <stp>STOCK</stp>
        <stp>21380.T</stp>
        <stp>信用買残</stp>
        <tr r="M72" s="1"/>
      </tp>
      <tp>
        <v>28400</v>
        <stp/>
        <stp>Market</stp>
        <stp>STOCK</stp>
        <stp>21090.T</stp>
        <stp>信用買残</stp>
        <tr r="M58" s="1"/>
      </tp>
      <tp>
        <v>387800</v>
        <stp/>
        <stp>Market</stp>
        <stp>STOCK</stp>
        <stp>21080.T</stp>
        <stp>信用買残</stp>
        <tr r="M57" s="1"/>
      </tp>
      <tp>
        <v>55700</v>
        <stp/>
        <stp>Market</stp>
        <stp>STOCK</stp>
        <stp>211A0.T</stp>
        <stp>信用買残</stp>
        <tr r="M62" s="1"/>
      </tp>
      <tp>
        <v>314600</v>
        <stp/>
        <stp>Market</stp>
        <stp>STOCK</stp>
        <stp>21120.T</stp>
        <stp>信用買残</stp>
        <tr r="M59" s="1"/>
      </tp>
      <tp>
        <v>33300</v>
        <stp/>
        <stp>Market</stp>
        <stp>STOCK</stp>
        <stp>21170.T</stp>
        <stp>信用買残</stp>
        <tr r="M61" s="1"/>
      </tp>
      <tp>
        <v>33700</v>
        <stp/>
        <stp>Market</stp>
        <stp>STOCK</stp>
        <stp>21140.T</stp>
        <stp>信用買残</stp>
        <tr r="M60" s="1"/>
      </tp>
      <tp>
        <v>59200</v>
        <stp/>
        <stp>Market</stp>
        <stp>STOCK</stp>
        <stp>228A0.T</stp>
        <stp>信用買残</stp>
        <tr r="M133" s="1"/>
      </tp>
      <tp>
        <v>55600</v>
        <stp/>
        <stp>Market</stp>
        <stp>STOCK</stp>
        <stp>22820.T</stp>
        <stp>信用買残</stp>
        <tr r="M130" s="1"/>
      </tp>
      <tp>
        <v>668700</v>
        <stp/>
        <stp>Market</stp>
        <stp>STOCK</stp>
        <stp>22810.T</stp>
        <stp>信用買残</stp>
        <tr r="M129" s="1"/>
      </tp>
      <tp>
        <v>666400</v>
        <stp/>
        <stp>Market</stp>
        <stp>STOCK</stp>
        <stp>22860.T</stp>
        <stp>信用買残</stp>
        <tr r="M131" s="1"/>
      </tp>
      <tp>
        <v>96600</v>
        <stp/>
        <stp>Market</stp>
        <stp>STOCK</stp>
        <stp>22880.T</stp>
        <stp>信用買残</stp>
        <tr r="M132" s="1"/>
      </tp>
      <tp>
        <v>5600</v>
        <stp/>
        <stp>Market</stp>
        <stp>STOCK</stp>
        <stp>22930.T</stp>
        <stp>信用買残</stp>
        <tr r="M136" s="1"/>
      </tp>
      <tp>
        <v>45900</v>
        <stp/>
        <stp>Market</stp>
        <stp>STOCK</stp>
        <stp>22920.T</stp>
        <stp>信用買残</stp>
        <tr r="M135" s="1"/>
      </tp>
      <tp>
        <v>45300</v>
        <stp/>
        <stp>Market</stp>
        <stp>STOCK</stp>
        <stp>22910.T</stp>
        <stp>信用買残</stp>
        <tr r="M134" s="1"/>
      </tp>
      <tp>
        <v>63600</v>
        <stp/>
        <stp>Market</stp>
        <stp>STOCK</stp>
        <stp>22960.T</stp>
        <stp>信用買残</stp>
        <tr r="M138" s="1"/>
      </tp>
      <tp>
        <v>96700</v>
        <stp/>
        <stp>Market</stp>
        <stp>STOCK</stp>
        <stp>22940.T</stp>
        <stp>信用買残</stp>
        <tr r="M137" s="1"/>
      </tp>
      <tp>
        <v>1017600</v>
        <stp/>
        <stp>Market</stp>
        <stp>STOCK</stp>
        <stp>22670.T</stp>
        <stp>信用買残</stp>
        <tr r="M125" s="1"/>
      </tp>
      <tp>
        <v>36000</v>
        <stp/>
        <stp>Market</stp>
        <stp>STOCK</stp>
        <stp>22660.T</stp>
        <stp>信用買残</stp>
        <tr r="M124" s="1"/>
      </tp>
      <tp>
        <v>73100</v>
        <stp/>
        <stp>Market</stp>
        <stp>STOCK</stp>
        <stp>22640.T</stp>
        <stp>信用買残</stp>
        <tr r="M123" s="1"/>
      </tp>
      <tp>
        <v>263200</v>
        <stp/>
        <stp>Market</stp>
        <stp>STOCK</stp>
        <stp>22690.T</stp>
        <stp>信用買残</stp>
        <tr r="M127" s="1"/>
      </tp>
      <tp>
        <v>22100</v>
        <stp/>
        <stp>Market</stp>
        <stp>STOCK</stp>
        <stp>22680.T</stp>
        <stp>信用買残</stp>
        <tr r="M126" s="1"/>
      </tp>
      <tp>
        <v>115200</v>
        <stp/>
        <stp>Market</stp>
        <stp>STOCK</stp>
        <stp>22700.T</stp>
        <stp>信用買残</stp>
        <tr r="M128" s="1"/>
      </tp>
      <tp>
        <v>209300</v>
        <stp/>
        <stp>Market</stp>
        <stp>STOCK</stp>
        <stp>22220.T</stp>
        <stp>信用買残</stp>
        <tr r="M119" s="1"/>
      </tp>
      <tp>
        <v>32700</v>
        <stp/>
        <stp>Market</stp>
        <stp>STOCK</stp>
        <stp>22210.T</stp>
        <stp>信用買残</stp>
        <tr r="M118" s="1"/>
      </tp>
      <tp>
        <v>115600</v>
        <stp/>
        <stp>Market</stp>
        <stp>STOCK</stp>
        <stp>22200.T</stp>
        <stp>信用買残</stp>
        <tr r="M117" s="1"/>
      </tp>
      <tp>
        <v>4300</v>
        <stp/>
        <stp>Market</stp>
        <stp>STOCK</stp>
        <stp>22260.T</stp>
        <stp>信用買残</stp>
        <tr r="M121" s="1"/>
      </tp>
      <tp>
        <v>16200</v>
        <stp/>
        <stp>Market</stp>
        <stp>STOCK</stp>
        <stp>22240.T</stp>
        <stp>信用買残</stp>
        <tr r="M120" s="1"/>
      </tp>
      <tp>
        <v>64400</v>
        <stp/>
        <stp>Market</stp>
        <stp>STOCK</stp>
        <stp>22290.T</stp>
        <stp>信用買残</stp>
        <tr r="M122" s="1"/>
      </tp>
      <tp>
        <v>174500</v>
        <stp/>
        <stp>Market</stp>
        <stp>STOCK</stp>
        <stp>220A0.T</stp>
        <stp>信用買残</stp>
        <tr r="M111" s="1"/>
      </tp>
      <tp>
        <v>43600</v>
        <stp/>
        <stp>Market</stp>
        <stp>STOCK</stp>
        <stp>22010.T</stp>
        <stp>信用買残</stp>
        <tr r="M105" s="1"/>
      </tp>
      <tp>
        <v>762900</v>
        <stp/>
        <stp>Market</stp>
        <stp>STOCK</stp>
        <stp>22070.T</stp>
        <stp>信用買残</stp>
        <tr r="M108" s="1"/>
      </tp>
      <tp>
        <v>116600</v>
        <stp/>
        <stp>Market</stp>
        <stp>STOCK</stp>
        <stp>22060.T</stp>
        <stp>信用買残</stp>
        <tr r="M107" s="1"/>
      </tp>
      <tp>
        <v>7100</v>
        <stp/>
        <stp>Market</stp>
        <stp>STOCK</stp>
        <stp>22040.T</stp>
        <stp>信用買残</stp>
        <tr r="M106" s="1"/>
      </tp>
      <tp>
        <v>20200</v>
        <stp/>
        <stp>Market</stp>
        <stp>STOCK</stp>
        <stp>22090.T</stp>
        <stp>信用買残</stp>
        <tr r="M110" s="1"/>
      </tp>
      <tp>
        <v>14900</v>
        <stp/>
        <stp>Market</stp>
        <stp>STOCK</stp>
        <stp>22080.T</stp>
        <stp>信用買残</stp>
        <tr r="M109" s="1"/>
      </tp>
      <tp>
        <v>170800</v>
        <stp/>
        <stp>Market</stp>
        <stp>STOCK</stp>
        <stp>22120.T</stp>
        <stp>信用買残</stp>
        <tr r="M113" s="1"/>
      </tp>
      <tp>
        <v>88300</v>
        <stp/>
        <stp>Market</stp>
        <stp>STOCK</stp>
        <stp>22110.T</stp>
        <stp>信用買残</stp>
        <tr r="M112" s="1"/>
      </tp>
      <tp>
        <v>27000</v>
        <stp/>
        <stp>Market</stp>
        <stp>STOCK</stp>
        <stp>22170.T</stp>
        <stp>信用買残</stp>
        <tr r="M116" s="1"/>
      </tp>
      <tp>
        <v>218000</v>
        <stp/>
        <stp>Market</stp>
        <stp>STOCK</stp>
        <stp>22160.T</stp>
        <stp>信用買残</stp>
        <tr r="M115" s="1"/>
      </tp>
      <tp>
        <v>98700</v>
        <stp/>
        <stp>Market</stp>
        <stp>STOCK</stp>
        <stp>22150.T</stp>
        <stp>信用買残</stp>
        <tr r="M114" s="1"/>
      </tp>
      <tp>
        <v>1241800</v>
        <stp/>
        <stp>Market</stp>
        <stp>STOCK</stp>
        <stp>23230.T</stp>
        <stp>信用買残</stp>
        <tr r="M149" s="1"/>
      </tp>
      <tp>
        <v>3199800</v>
        <stp/>
        <stp>Market</stp>
        <stp>STOCK</stp>
        <stp>23210.T</stp>
        <stp>信用買残</stp>
        <tr r="M148" s="1"/>
      </tp>
      <tp>
        <v>181600</v>
        <stp/>
        <stp>Market</stp>
        <stp>STOCK</stp>
        <stp>23260.T</stp>
        <stp>信用買残</stp>
        <tr r="M151" s="1"/>
      </tp>
      <tp>
        <v>143600</v>
        <stp/>
        <stp>Market</stp>
        <stp>STOCK</stp>
        <stp>23250.T</stp>
        <stp>信用買残</stp>
        <tr r="M150" s="1"/>
      </tp>
      <tp>
        <v>41000</v>
        <stp/>
        <stp>Market</stp>
        <stp>STOCK</stp>
        <stp>23030.T</stp>
        <stp>信用買残</stp>
        <tr r="M141" s="1"/>
      </tp>
      <tp>
        <v>94700</v>
        <stp/>
        <stp>Market</stp>
        <stp>STOCK</stp>
        <stp>23010.T</stp>
        <stp>信用買残</stp>
        <tr r="M140" s="1"/>
      </tp>
      <tp>
        <v>3100</v>
        <stp/>
        <stp>Market</stp>
        <stp>STOCK</stp>
        <stp>23000.T</stp>
        <stp>信用買残</stp>
        <tr r="M139" s="1"/>
      </tp>
      <tp>
        <v>124800</v>
        <stp/>
        <stp>Market</stp>
        <stp>STOCK</stp>
        <stp>23070.T</stp>
        <stp>信用買残</stp>
        <tr r="M144" s="1"/>
      </tp>
      <tp>
        <v>13600</v>
        <stp/>
        <stp>Market</stp>
        <stp>STOCK</stp>
        <stp>23050.T</stp>
        <stp>信用買残</stp>
        <tr r="M143" s="1"/>
      </tp>
      <tp>
        <v>104600</v>
        <stp/>
        <stp>Market</stp>
        <stp>STOCK</stp>
        <stp>23040.T</stp>
        <stp>信用買残</stp>
        <tr r="M142" s="1"/>
      </tp>
      <tp>
        <v>205200</v>
        <stp/>
        <stp>Market</stp>
        <stp>STOCK</stp>
        <stp>23110.T</stp>
        <stp>信用買残</stp>
        <tr r="M145" s="1"/>
      </tp>
      <tp>
        <v>1580000</v>
        <stp/>
        <stp>Market</stp>
        <stp>STOCK</stp>
        <stp>23170.T</stp>
        <stp>信用買残</stp>
        <tr r="M147" s="1"/>
      </tp>
      <tp>
        <v>13767600</v>
        <stp/>
        <stp>Market</stp>
        <stp>STOCK</stp>
        <stp>23150.T</stp>
        <stp>信用買残</stp>
        <tr r="M146" s="1"/>
      </tp>
    </main>
    <main first="rtdsrv.b2353dc584914e4193ea525a6339afd4">
      <tp t="s">
        <v>ＭＦＳ</v>
        <stp/>
        <stp>Market</stp>
        <stp>STOCK</stp>
        <stp>196A0.T</stp>
        <stp>銘柄名称</stp>
        <tr r="C32" s="1"/>
      </tp>
      <tp t="s">
        <v>テクノ菱和</v>
        <stp/>
        <stp>Market</stp>
        <stp>STOCK</stp>
        <stp>19650.T</stp>
        <stp>銘柄名称</stp>
        <tr r="C27" s="1"/>
      </tp>
      <tp t="s">
        <v>中外炉工業</v>
        <stp/>
        <stp>Market</stp>
        <stp>STOCK</stp>
        <stp>19640.T</stp>
        <stp>銘柄名称</stp>
        <tr r="C26" s="1"/>
      </tp>
      <tp t="s">
        <v>ヤマト</v>
        <stp/>
        <stp>Market</stp>
        <stp>STOCK</stp>
        <stp>19670.T</stp>
        <stp>銘柄名称</stp>
        <tr r="C29" s="1"/>
      </tp>
      <tp t="s">
        <v>高田工業所</v>
        <stp/>
        <stp>Market</stp>
        <stp>STOCK</stp>
        <stp>19660.T</stp>
        <stp>銘柄名称</stp>
        <tr r="C28" s="1"/>
      </tp>
      <tp t="s">
        <v>三機工業</v>
        <stp/>
        <stp>Market</stp>
        <stp>STOCK</stp>
        <stp>19610.T</stp>
        <stp>銘柄名称</stp>
        <tr r="C24" s="1"/>
      </tp>
      <tp t="s">
        <v>サンテック</v>
        <stp/>
        <stp>Market</stp>
        <stp>STOCK</stp>
        <stp>19600.T</stp>
        <stp>銘柄名称</stp>
        <tr r="C23" s="1"/>
      </tp>
      <tp t="s">
        <v>日揮ホールディングス</v>
        <stp/>
        <stp>Market</stp>
        <stp>STOCK</stp>
        <stp>19630.T</stp>
        <stp>銘柄名称</stp>
        <tr r="C25" s="1"/>
      </tp>
      <tp t="s">
        <v>高砂熱学</v>
        <stp/>
        <stp>Market</stp>
        <stp>STOCK</stp>
        <stp>19690.T</stp>
        <stp>銘柄名称</stp>
        <tr r="C31" s="1"/>
      </tp>
      <tp t="s">
        <v>太平電業</v>
        <stp/>
        <stp>Market</stp>
        <stp>STOCK</stp>
        <stp>19680.T</stp>
        <stp>銘柄名称</stp>
        <tr r="C30" s="1"/>
      </tp>
      <tp t="s">
        <v>タウンズ</v>
        <stp/>
        <stp>Market</stp>
        <stp>STOCK</stp>
        <stp>197A0.T</stp>
        <stp>銘柄名称</stp>
        <tr r="C37" s="1"/>
      </tp>
      <tp t="s">
        <v>朝日工業社</v>
        <stp/>
        <stp>Market</stp>
        <stp>STOCK</stp>
        <stp>19750.T</stp>
        <stp>銘柄名称</stp>
        <tr r="C34" s="1"/>
      </tp>
      <tp t="s">
        <v>明星工業</v>
        <stp/>
        <stp>Market</stp>
        <stp>STOCK</stp>
        <stp>19760.T</stp>
        <stp>銘柄名称</stp>
        <tr r="C35" s="1"/>
      </tp>
      <tp t="s">
        <v>三晃金属</v>
        <stp/>
        <stp>Market</stp>
        <stp>STOCK</stp>
        <stp>19720.T</stp>
        <stp>銘柄名称</stp>
        <tr r="C33" s="1"/>
      </tp>
      <tp t="s">
        <v>大氣社</v>
        <stp/>
        <stp>Market</stp>
        <stp>STOCK</stp>
        <stp>19790.T</stp>
        <stp>銘柄名称</stp>
        <tr r="C36" s="1"/>
      </tp>
      <tp t="s">
        <v>ＷＯＬＶＥＳＨＡＮＤ</v>
        <stp/>
        <stp>Market</stp>
        <stp>STOCK</stp>
        <stp>194A0.T</stp>
        <stp>銘柄名称</stp>
        <tr r="C17" s="1"/>
      </tp>
      <tp t="s">
        <v>東京エネシス</v>
        <stp/>
        <stp>Market</stp>
        <stp>STOCK</stp>
        <stp>19450.T</stp>
        <stp>銘柄名称</stp>
        <tr r="C13" s="1"/>
      </tp>
      <tp t="s">
        <v>きんでん</v>
        <stp/>
        <stp>Market</stp>
        <stp>STOCK</stp>
        <stp>19440.T</stp>
        <stp>銘柄名称</stp>
        <tr r="C12" s="1"/>
      </tp>
      <tp t="s">
        <v>トーエネック</v>
        <stp/>
        <stp>Market</stp>
        <stp>STOCK</stp>
        <stp>19460.T</stp>
        <stp>銘柄名称</stp>
        <tr r="C14" s="1"/>
      </tp>
      <tp t="s">
        <v>中電工</v>
        <stp/>
        <stp>Market</stp>
        <stp>STOCK</stp>
        <stp>19410.T</stp>
        <stp>銘柄名称</stp>
        <tr r="C10" s="1"/>
      </tp>
      <tp t="s">
        <v>関電工</v>
        <stp/>
        <stp>Market</stp>
        <stp>STOCK</stp>
        <stp>19420.T</stp>
        <stp>銘柄名称</stp>
        <tr r="C11" s="1"/>
      </tp>
      <tp t="s">
        <v>住友電設</v>
        <stp/>
        <stp>Market</stp>
        <stp>STOCK</stp>
        <stp>19490.T</stp>
        <stp>銘柄名称</stp>
        <tr r="C16" s="1"/>
      </tp>
      <tp t="s">
        <v>弘電社</v>
        <stp/>
        <stp>Market</stp>
        <stp>STOCK</stp>
        <stp>19480.T</stp>
        <stp>銘柄名称</stp>
        <tr r="C15" s="1"/>
      </tp>
      <tp t="s">
        <v>ＭＵＳＣＡＴＧＲＯＵＰ</v>
        <stp/>
        <stp>Market</stp>
        <stp>STOCK</stp>
        <stp>195A0.T</stp>
        <stp>銘柄名称</stp>
        <tr r="C22" s="1"/>
      </tp>
      <tp t="s">
        <v>エクシオグループ</v>
        <stp/>
        <stp>Market</stp>
        <stp>STOCK</stp>
        <stp>19510.T</stp>
        <stp>銘柄名称</stp>
        <tr r="C19" s="1"/>
      </tp>
      <tp t="s">
        <v>日本電設工業</v>
        <stp/>
        <stp>Market</stp>
        <stp>STOCK</stp>
        <stp>19500.T</stp>
        <stp>銘柄名称</stp>
        <tr r="C18" s="1"/>
      </tp>
      <tp t="s">
        <v>新日本空調</v>
        <stp/>
        <stp>Market</stp>
        <stp>STOCK</stp>
        <stp>19520.T</stp>
        <stp>銘柄名称</stp>
        <tr r="C20" s="1"/>
      </tp>
      <tp t="s">
        <v>クラフティア</v>
        <stp/>
        <stp>Market</stp>
        <stp>STOCK</stp>
        <stp>19590.T</stp>
        <stp>銘柄名称</stp>
        <tr r="C21" s="1"/>
      </tp>
      <tp t="s">
        <v>インテグループ</v>
        <stp/>
        <stp>Market</stp>
        <stp>STOCK</stp>
        <stp>192A0.T</stp>
        <stp>銘柄名称</stp>
        <tr r="C5" s="1"/>
      </tp>
      <tp t="s">
        <v>ライト工業</v>
        <stp/>
        <stp>Market</stp>
        <stp>STOCK</stp>
        <stp>19260.T</stp>
        <stp>銘柄名称</stp>
        <tr r="C2" s="1"/>
      </tp>
      <tp t="s">
        <v>日特建設</v>
        <stp/>
        <stp>Market</stp>
        <stp>STOCK</stp>
        <stp>19290.T</stp>
        <stp>銘柄名称</stp>
        <tr r="C4" s="1"/>
      </tp>
      <tp t="s">
        <v>積水ハウス</v>
        <stp/>
        <stp>Market</stp>
        <stp>STOCK</stp>
        <stp>19280.T</stp>
        <stp>銘柄名称</stp>
        <tr r="C3" s="1"/>
      </tp>
      <tp t="s">
        <v>ユアテック</v>
        <stp/>
        <stp>Market</stp>
        <stp>STOCK</stp>
        <stp>19340.T</stp>
        <stp>銘柄名称</stp>
        <tr r="C7" s="1"/>
      </tp>
      <tp t="s">
        <v>北陸電気工事</v>
        <stp/>
        <stp>Market</stp>
        <stp>STOCK</stp>
        <stp>19300.T</stp>
        <stp>銘柄名称</stp>
        <tr r="C6" s="1"/>
      </tp>
      <tp t="s">
        <v>四電工</v>
        <stp/>
        <stp>Market</stp>
        <stp>STOCK</stp>
        <stp>19390.T</stp>
        <stp>銘柄名称</stp>
        <tr r="C9" s="1"/>
      </tp>
      <tp t="s">
        <v>日本リーテック</v>
        <stp/>
        <stp>Market</stp>
        <stp>STOCK</stp>
        <stp>19380.T</stp>
        <stp>銘柄名称</stp>
        <tr r="C8" s="1"/>
      </tp>
      <tp t="s">
        <v>ＰＯＳＴＰＲＩＭＥ</v>
        <stp/>
        <stp>Market</stp>
        <stp>STOCK</stp>
        <stp>198A0.T</stp>
        <stp>銘柄名称</stp>
        <tr r="C41" s="1"/>
      </tp>
      <tp t="s">
        <v>協和日成</v>
        <stp/>
        <stp>Market</stp>
        <stp>STOCK</stp>
        <stp>19810.T</stp>
        <stp>銘柄名称</stp>
        <tr r="C39" s="1"/>
      </tp>
      <tp t="s">
        <v>ダイダン</v>
        <stp/>
        <stp>Market</stp>
        <stp>STOCK</stp>
        <stp>19800.T</stp>
        <stp>銘柄名称</stp>
        <tr r="C38" s="1"/>
      </tp>
      <tp t="s">
        <v>日比谷総合設備</v>
        <stp/>
        <stp>Market</stp>
        <stp>STOCK</stp>
        <stp>19820.T</stp>
        <stp>銘柄名称</stp>
        <tr r="C40" s="1"/>
      </tp>
      <tp t="s">
        <v>高橋カーテンウォール</v>
        <stp/>
        <stp>Market</stp>
        <stp>STOCK</stp>
        <stp>19940.T</stp>
        <stp>銘柄名称</stp>
        <tr r="C43" s="1"/>
      </tp>
      <tp t="s">
        <v>暁飯島工業</v>
        <stp/>
        <stp>Market</stp>
        <stp>STOCK</stp>
        <stp>19970.T</stp>
        <stp>銘柄名称</stp>
        <tr r="C44" s="1"/>
      </tp>
      <tp t="s">
        <v>神田通信機</v>
        <stp/>
        <stp>Market</stp>
        <stp>STOCK</stp>
        <stp>19920.T</stp>
        <stp>銘柄名称</stp>
        <tr r="C42" s="1"/>
      </tp>
    </main>
    <main first="rtdsrv.b2353dc584914e4193ea525a6339afd4">
      <tp t="s">
        <v>ＰＲＩＳＭＢＩＯＬＡＢ</v>
        <stp/>
        <stp>Market</stp>
        <stp>STOCK</stp>
        <stp>206A0.T</stp>
        <stp>銘柄名称</stp>
        <tr r="C55" s="1"/>
      </tp>
      <tp t="s">
        <v>フィード・ワン</v>
        <stp/>
        <stp>Market</stp>
        <stp>STOCK</stp>
        <stp>20600.T</stp>
        <stp>銘柄名称</stp>
        <tr r="C54" s="1"/>
      </tp>
      <tp t="s">
        <v>ロゴスホールディングス</v>
        <stp/>
        <stp>Market</stp>
        <stp>STOCK</stp>
        <stp>205A0.T</stp>
        <stp>銘柄名称</stp>
        <tr r="C53" s="1"/>
      </tp>
      <tp t="s">
        <v>日和産業</v>
        <stp/>
        <stp>Market</stp>
        <stp>STOCK</stp>
        <stp>20550.T</stp>
        <stp>銘柄名称</stp>
        <tr r="C52" s="1"/>
      </tp>
      <tp t="s">
        <v>中部飼料</v>
        <stp/>
        <stp>Market</stp>
        <stp>STOCK</stp>
        <stp>20530.T</stp>
        <stp>銘柄名称</stp>
        <tr r="C51" s="1"/>
      </tp>
      <tp t="s">
        <v>豆蔵</v>
        <stp/>
        <stp>Market</stp>
        <stp>STOCK</stp>
        <stp>202A0.T</stp>
        <stp>銘柄名称</stp>
        <tr r="C50" s="1"/>
      </tp>
      <tp t="s">
        <v>昭和産業</v>
        <stp/>
        <stp>Market</stp>
        <stp>STOCK</stp>
        <stp>20040.T</stp>
        <stp>銘柄名称</stp>
        <tr r="C48" s="1"/>
      </tp>
      <tp t="s">
        <v>ニップン</v>
        <stp/>
        <stp>Market</stp>
        <stp>STOCK</stp>
        <stp>20010.T</stp>
        <stp>銘柄名称</stp>
        <tr r="C45" s="1"/>
      </tp>
      <tp t="s">
        <v>日東富士製粉</v>
        <stp/>
        <stp>Market</stp>
        <stp>STOCK</stp>
        <stp>20030.T</stp>
        <stp>銘柄名称</stp>
        <tr r="C47" s="1"/>
      </tp>
      <tp t="s">
        <v>日清製粉Ｇ本社</v>
        <stp/>
        <stp>Market</stp>
        <stp>STOCK</stp>
        <stp>20020.T</stp>
        <stp>銘柄名称</stp>
        <tr r="C46" s="1"/>
      </tp>
      <tp t="s">
        <v>鳥越製粉</v>
        <stp/>
        <stp>Market</stp>
        <stp>STOCK</stp>
        <stp>20090.T</stp>
        <stp>銘柄名称</stp>
        <tr r="C49" s="1"/>
      </tp>
      <tp t="s">
        <v>構造計画研究所ＨＤ</v>
        <stp/>
        <stp>Market</stp>
        <stp>STOCK</stp>
        <stp>208A0.T</stp>
        <stp>銘柄名称</stp>
        <tr r="C56" s="1"/>
      </tp>
      <tp t="s">
        <v>地域新聞社</v>
        <stp/>
        <stp>Market</stp>
        <stp>STOCK</stp>
        <stp>21640.T</stp>
        <stp>銘柄名称</stp>
        <tr r="C87" s="1"/>
      </tp>
      <tp t="s">
        <v>ジーエヌアイグループ</v>
        <stp/>
        <stp>Market</stp>
        <stp>STOCK</stp>
        <stp>21600.T</stp>
        <stp>銘柄名称</stp>
        <tr r="C84" s="1"/>
      </tp>
      <tp t="s">
        <v>アルトナー</v>
        <stp/>
        <stp>Market</stp>
        <stp>STOCK</stp>
        <stp>21630.T</stp>
        <stp>銘柄名称</stp>
        <tr r="C86" s="1"/>
      </tp>
      <tp t="s">
        <v>ＮＭＳホールディングス</v>
        <stp/>
        <stp>Market</stp>
        <stp>STOCK</stp>
        <stp>21620.T</stp>
        <stp>銘柄名称</stp>
        <tr r="C85" s="1"/>
      </tp>
      <tp t="s">
        <v>ＣＤＳ</v>
        <stp/>
        <stp>Market</stp>
        <stp>STOCK</stp>
        <stp>21690.T</stp>
        <stp>銘柄名称</stp>
        <tr r="C89" s="1"/>
      </tp>
      <tp t="s">
        <v>パソナグループ</v>
        <stp/>
        <stp>Market</stp>
        <stp>STOCK</stp>
        <stp>21680.T</stp>
        <stp>銘柄名称</stp>
        <tr r="C88" s="1"/>
      </tp>
      <tp t="s">
        <v>エス・エム・エス</v>
        <stp/>
        <stp>Market</stp>
        <stp>STOCK</stp>
        <stp>21750.T</stp>
        <stp>銘柄名称</stp>
        <tr r="C92" s="1"/>
      </tp>
      <tp t="s">
        <v>リンクアンドモチベーション</v>
        <stp/>
        <stp>Market</stp>
        <stp>STOCK</stp>
        <stp>21700.T</stp>
        <stp>銘柄名称</stp>
        <tr r="C90" s="1"/>
      </tp>
      <tp t="s">
        <v>博展</v>
        <stp/>
        <stp>Market</stp>
        <stp>STOCK</stp>
        <stp>21730.T</stp>
        <stp>銘柄名称</stp>
        <tr r="C91" s="1"/>
      </tp>
      <tp t="s">
        <v>成学社</v>
        <stp/>
        <stp>Market</stp>
        <stp>STOCK</stp>
        <stp>21790.T</stp>
        <stp>銘柄名称</stp>
        <tr r="C93" s="1"/>
      </tp>
      <tp t="s">
        <v>ＵＴグループ</v>
        <stp/>
        <stp>Market</stp>
        <stp>STOCK</stp>
        <stp>21460.T</stp>
        <stp>銘柄名称</stp>
        <tr r="C74" s="1"/>
      </tp>
      <tp t="s">
        <v>アイティメディア</v>
        <stp/>
        <stp>Market</stp>
        <stp>STOCK</stp>
        <stp>21480.T</stp>
        <stp>銘柄名称</stp>
        <tr r="C75" s="1"/>
      </tp>
      <tp t="s">
        <v>タイミー</v>
        <stp/>
        <stp>Market</stp>
        <stp>STOCK</stp>
        <stp>215A0.T</stp>
        <stp>銘柄名称</stp>
        <tr r="C83" s="1"/>
      </tp>
      <tp t="s">
        <v>オープンアップグループ</v>
        <stp/>
        <stp>Market</stp>
        <stp>STOCK</stp>
        <stp>21540.T</stp>
        <stp>銘柄名称</stp>
        <tr r="C79" s="1"/>
      </tp>
      <tp t="s">
        <v>コシダカホールディングス</v>
        <stp/>
        <stp>Market</stp>
        <stp>STOCK</stp>
        <stp>21570.T</stp>
        <stp>銘柄名称</stp>
        <tr r="C81" s="1"/>
      </tp>
      <tp t="s">
        <v>セーラー広告</v>
        <stp/>
        <stp>Market</stp>
        <stp>STOCK</stp>
        <stp>21560.T</stp>
        <stp>銘柄名称</stp>
        <tr r="C80" s="1"/>
      </tp>
      <tp t="s">
        <v/>
        <stp/>
        <stp>Market</stp>
        <stp>STOCK</stp>
        <stp>21500.T</stp>
        <stp>銘柄名称</stp>
        <tr r="C76" s="1"/>
      </tp>
      <tp t="s">
        <v>Ｅ・Ｊホールディングス</v>
        <stp/>
        <stp>Market</stp>
        <stp>STOCK</stp>
        <stp>21530.T</stp>
        <stp>銘柄名称</stp>
        <tr r="C78" s="1"/>
      </tp>
      <tp t="s">
        <v>幼児活動研究会</v>
        <stp/>
        <stp>Market</stp>
        <stp>STOCK</stp>
        <stp>21520.T</stp>
        <stp>銘柄名称</stp>
        <tr r="C77" s="1"/>
      </tp>
      <tp t="s">
        <v>ＦＲＯＮＴＥＯ</v>
        <stp/>
        <stp>Market</stp>
        <stp>STOCK</stp>
        <stp>21580.T</stp>
        <stp>銘柄名称</stp>
        <tr r="C82" s="1"/>
      </tp>
      <tp t="s">
        <v>フィットイージー</v>
        <stp/>
        <stp>Market</stp>
        <stp>STOCK</stp>
        <stp>212A0.T</stp>
        <stp>銘柄名称</stp>
        <tr r="C68" s="1"/>
      </tp>
      <tp t="s">
        <v>ジェイエイシーリクルートメント</v>
        <stp/>
        <stp>Market</stp>
        <stp>STOCK</stp>
        <stp>21240.T</stp>
        <stp>銘柄名称</stp>
        <tr r="C66" s="1"/>
      </tp>
      <tp t="s">
        <v>日本Ｍ＆Ａセンターホールデ</v>
        <stp/>
        <stp>Market</stp>
        <stp>STOCK</stp>
        <stp>21270.T</stp>
        <stp>銘柄名称</stp>
        <tr r="C67" s="1"/>
      </tp>
      <tp t="s">
        <v>ＭＩＸＩ</v>
        <stp/>
        <stp>Market</stp>
        <stp>STOCK</stp>
        <stp>21210.T</stp>
        <stp>銘柄名称</stp>
        <tr r="C64" s="1"/>
      </tp>
      <tp t="s">
        <v>ＬＩＦＵＬＬ</v>
        <stp/>
        <stp>Market</stp>
        <stp>STOCK</stp>
        <stp>21200.T</stp>
        <stp>銘柄名称</stp>
        <tr r="C63" s="1"/>
      </tp>
      <tp t="s">
        <v>インタースペース</v>
        <stp/>
        <stp>Market</stp>
        <stp>STOCK</stp>
        <stp>21220.T</stp>
        <stp>銘柄名称</stp>
        <tr r="C65" s="1"/>
      </tp>
      <tp t="s">
        <v>北浜キャピタルパートナー</v>
        <stp/>
        <stp>Market</stp>
        <stp>STOCK</stp>
        <stp>21340.T</stp>
        <stp>銘柄名称</stp>
        <tr r="C70" s="1"/>
      </tp>
      <tp t="s">
        <v>ヒップ</v>
        <stp/>
        <stp>Market</stp>
        <stp>STOCK</stp>
        <stp>21360.T</stp>
        <stp>銘柄名称</stp>
        <tr r="C71" s="1"/>
      </tp>
      <tp t="s">
        <v>メンバーズ</v>
        <stp/>
        <stp>Market</stp>
        <stp>STOCK</stp>
        <stp>21300.T</stp>
        <stp>銘柄名称</stp>
        <tr r="C69" s="1"/>
      </tp>
      <tp t="s">
        <v>中広</v>
        <stp/>
        <stp>Market</stp>
        <stp>STOCK</stp>
        <stp>21390.T</stp>
        <stp>銘柄名称</stp>
        <tr r="C73" s="1"/>
      </tp>
      <tp t="s">
        <v>クルーズ</v>
        <stp/>
        <stp>Market</stp>
        <stp>STOCK</stp>
        <stp>21380.T</stp>
        <stp>銘柄名称</stp>
        <tr r="C72" s="1"/>
      </tp>
      <tp t="s">
        <v>ＤＭ三井製糖</v>
        <stp/>
        <stp>Market</stp>
        <stp>STOCK</stp>
        <stp>21090.T</stp>
        <stp>銘柄名称</stp>
        <tr r="C58" s="1"/>
      </tp>
      <tp t="s">
        <v>日本甜菜糖</v>
        <stp/>
        <stp>Market</stp>
        <stp>STOCK</stp>
        <stp>21080.T</stp>
        <stp>銘柄名称</stp>
        <tr r="C57" s="1"/>
      </tp>
      <tp t="s">
        <v>カドス・コーポレーション</v>
        <stp/>
        <stp>Market</stp>
        <stp>STOCK</stp>
        <stp>211A0.T</stp>
        <stp>銘柄名称</stp>
        <tr r="C62" s="1"/>
      </tp>
      <tp t="s">
        <v>フジ日本</v>
        <stp/>
        <stp>Market</stp>
        <stp>STOCK</stp>
        <stp>21140.T</stp>
        <stp>銘柄名称</stp>
        <tr r="C60" s="1"/>
      </tp>
      <tp t="s">
        <v>ウェルネオシュガー</v>
        <stp/>
        <stp>Market</stp>
        <stp>STOCK</stp>
        <stp>21170.T</stp>
        <stp>銘柄名称</stp>
        <tr r="C61" s="1"/>
      </tp>
      <tp t="s">
        <v>塩水港精糖</v>
        <stp/>
        <stp>Market</stp>
        <stp>STOCK</stp>
        <stp>21120.T</stp>
        <stp>銘柄名称</stp>
        <tr r="C59" s="1"/>
      </tp>
      <tp t="s">
        <v>ＬＩＢＥＲＡＷＡＲＥ</v>
        <stp/>
        <stp>Market</stp>
        <stp>STOCK</stp>
        <stp>218A0.T</stp>
        <stp>銘柄名称</stp>
        <tr r="C99" s="1"/>
      </tp>
      <tp t="s">
        <v>シイエム・シイ</v>
        <stp/>
        <stp>Market</stp>
        <stp>STOCK</stp>
        <stp>21850.T</stp>
        <stp>銘柄名称</stp>
        <tr r="C97" s="1"/>
      </tp>
      <tp t="s">
        <v>ソーバル</v>
        <stp/>
        <stp>Market</stp>
        <stp>STOCK</stp>
        <stp>21860.T</stp>
        <stp>銘柄名称</stp>
        <tr r="C98" s="1"/>
      </tp>
      <tp t="s">
        <v>パーソルホールディングス</v>
        <stp/>
        <stp>Market</stp>
        <stp>STOCK</stp>
        <stp>21810.T</stp>
        <stp>銘柄名称</stp>
        <tr r="C95" s="1"/>
      </tp>
      <tp t="s">
        <v>サニーサイドアップＧ</v>
        <stp/>
        <stp>Market</stp>
        <stp>STOCK</stp>
        <stp>21800.T</stp>
        <stp>銘柄名称</stp>
        <tr r="C94" s="1"/>
      </tp>
      <tp t="s">
        <v>リニカル</v>
        <stp/>
        <stp>Market</stp>
        <stp>STOCK</stp>
        <stp>21830.T</stp>
        <stp>銘柄名称</stp>
        <tr r="C96" s="1"/>
      </tp>
      <tp t="s">
        <v>ＨＥＡＲＴＳＥＥＤ</v>
        <stp/>
        <stp>Market</stp>
        <stp>STOCK</stp>
        <stp>219A0.T</stp>
        <stp>銘柄名称</stp>
        <tr r="C104" s="1"/>
      </tp>
      <tp t="s">
        <v>アミタホールディングス</v>
        <stp/>
        <stp>Market</stp>
        <stp>STOCK</stp>
        <stp>21950.T</stp>
        <stp>銘柄名称</stp>
        <tr r="C101" s="1"/>
      </tp>
      <tp t="s">
        <v>エスクリ</v>
        <stp/>
        <stp>Market</stp>
        <stp>STOCK</stp>
        <stp>21960.T</stp>
        <stp>銘柄名称</stp>
        <tr r="C102" s="1"/>
      </tp>
      <tp t="s">
        <v>クックパッド</v>
        <stp/>
        <stp>Market</stp>
        <stp>STOCK</stp>
        <stp>21930.T</stp>
        <stp>銘柄名称</stp>
        <tr r="C100" s="1"/>
      </tp>
      <tp t="s">
        <v>アイ・ケイ・ケイホールディンク</v>
        <stp/>
        <stp>Market</stp>
        <stp>STOCK</stp>
        <stp>21980.T</stp>
        <stp>銘柄名称</stp>
        <tr r="C103" s="1"/>
      </tp>
      <tp t="s">
        <v>森永乳業</v>
        <stp/>
        <stp>Market</stp>
        <stp>STOCK</stp>
        <stp>22640.T</stp>
        <stp>銘柄名称</stp>
        <tr r="C123" s="1"/>
      </tp>
      <tp t="s">
        <v>ヤクルト</v>
        <stp/>
        <stp>Market</stp>
        <stp>STOCK</stp>
        <stp>22670.T</stp>
        <stp>銘柄名称</stp>
        <tr r="C125" s="1"/>
      </tp>
      <tp t="s">
        <v>六甲バター</v>
        <stp/>
        <stp>Market</stp>
        <stp>STOCK</stp>
        <stp>22660.T</stp>
        <stp>銘柄名称</stp>
        <tr r="C124" s="1"/>
      </tp>
      <tp t="s">
        <v>明治ホールディングス</v>
        <stp/>
        <stp>Market</stp>
        <stp>STOCK</stp>
        <stp>22690.T</stp>
        <stp>銘柄名称</stp>
        <tr r="C127" s="1"/>
      </tp>
      <tp t="s">
        <v>Ｂ－Ｒサーティワンアイス</v>
        <stp/>
        <stp>Market</stp>
        <stp>STOCK</stp>
        <stp>22680.T</stp>
        <stp>銘柄名称</stp>
        <tr r="C126" s="1"/>
      </tp>
      <tp t="s">
        <v>雪印メグミルク</v>
        <stp/>
        <stp>Market</stp>
        <stp>STOCK</stp>
        <stp>22700.T</stp>
        <stp>銘柄名称</stp>
        <tr r="C128" s="1"/>
      </tp>
      <tp t="s">
        <v>コモ</v>
        <stp/>
        <stp>Market</stp>
        <stp>STOCK</stp>
        <stp>22240.T</stp>
        <stp>銘柄名称</stp>
        <tr r="C120" s="1"/>
      </tp>
      <tp t="s">
        <v>湖池屋</v>
        <stp/>
        <stp>Market</stp>
        <stp>STOCK</stp>
        <stp>22260.T</stp>
        <stp>銘柄名称</stp>
        <tr r="C121" s="1"/>
      </tp>
      <tp t="s">
        <v>岩塚製菓</v>
        <stp/>
        <stp>Market</stp>
        <stp>STOCK</stp>
        <stp>22210.T</stp>
        <stp>銘柄名称</stp>
        <tr r="C118" s="1"/>
      </tp>
      <tp t="s">
        <v>亀田製菓</v>
        <stp/>
        <stp>Market</stp>
        <stp>STOCK</stp>
        <stp>22200.T</stp>
        <stp>銘柄名称</stp>
        <tr r="C117" s="1"/>
      </tp>
      <tp t="s">
        <v>寿スピリッツ</v>
        <stp/>
        <stp>Market</stp>
        <stp>STOCK</stp>
        <stp>22220.T</stp>
        <stp>銘柄名称</stp>
        <tr r="C119" s="1"/>
      </tp>
      <tp t="s">
        <v>カルビー</v>
        <stp/>
        <stp>Market</stp>
        <stp>STOCK</stp>
        <stp>22290.T</stp>
        <stp>銘柄名称</stp>
        <tr r="C122" s="1"/>
      </tp>
      <tp t="s">
        <v>ＦＡＢＥＲＣＯＭＰＡＮＹ</v>
        <stp/>
        <stp>Market</stp>
        <stp>STOCK</stp>
        <stp>220A0.T</stp>
        <stp>銘柄名称</stp>
        <tr r="C111" s="1"/>
      </tp>
      <tp t="s">
        <v>中村屋</v>
        <stp/>
        <stp>Market</stp>
        <stp>STOCK</stp>
        <stp>22040.T</stp>
        <stp>銘柄名称</stp>
        <tr r="C106" s="1"/>
      </tp>
      <tp t="s">
        <v>ｍｅｉｔｏ</v>
        <stp/>
        <stp>Market</stp>
        <stp>STOCK</stp>
        <stp>22070.T</stp>
        <stp>銘柄名称</stp>
        <tr r="C108" s="1"/>
      </tp>
      <tp t="s">
        <v>江崎グリコ</v>
        <stp/>
        <stp>Market</stp>
        <stp>STOCK</stp>
        <stp>22060.T</stp>
        <stp>銘柄名称</stp>
        <tr r="C107" s="1"/>
      </tp>
      <tp t="s">
        <v>森永製菓</v>
        <stp/>
        <stp>Market</stp>
        <stp>STOCK</stp>
        <stp>22010.T</stp>
        <stp>銘柄名称</stp>
        <tr r="C105" s="1"/>
      </tp>
      <tp t="s">
        <v>井村屋グループ</v>
        <stp/>
        <stp>Market</stp>
        <stp>STOCK</stp>
        <stp>22090.T</stp>
        <stp>銘柄名称</stp>
        <tr r="C110" s="1"/>
      </tp>
      <tp t="s">
        <v>ブルボン</v>
        <stp/>
        <stp>Market</stp>
        <stp>STOCK</stp>
        <stp>22080.T</stp>
        <stp>銘柄名称</stp>
        <tr r="C109" s="1"/>
      </tp>
      <tp t="s">
        <v>第一屋製パン</v>
        <stp/>
        <stp>Market</stp>
        <stp>STOCK</stp>
        <stp>22150.T</stp>
        <stp>銘柄名称</stp>
        <tr r="C114" s="1"/>
      </tp>
      <tp t="s">
        <v>モロゾフ</v>
        <stp/>
        <stp>Market</stp>
        <stp>STOCK</stp>
        <stp>22170.T</stp>
        <stp>銘柄名称</stp>
        <tr r="C116" s="1"/>
      </tp>
      <tp t="s">
        <v>カンロ</v>
        <stp/>
        <stp>Market</stp>
        <stp>STOCK</stp>
        <stp>22160.T</stp>
        <stp>銘柄名称</stp>
        <tr r="C115" s="1"/>
      </tp>
      <tp t="s">
        <v>不二家</v>
        <stp/>
        <stp>Market</stp>
        <stp>STOCK</stp>
        <stp>22110.T</stp>
        <stp>銘柄名称</stp>
        <tr r="C112" s="1"/>
      </tp>
      <tp t="s">
        <v>山崎製パン</v>
        <stp/>
        <stp>Market</stp>
        <stp>STOCK</stp>
        <stp>22120.T</stp>
        <stp>銘柄名称</stp>
        <tr r="C113" s="1"/>
      </tp>
      <tp t="s">
        <v>オプロ</v>
        <stp/>
        <stp>Market</stp>
        <stp>STOCK</stp>
        <stp>228A0.T</stp>
        <stp>銘柄名称</stp>
        <tr r="C133" s="1"/>
      </tp>
      <tp t="s">
        <v>林兼産業</v>
        <stp/>
        <stp>Market</stp>
        <stp>STOCK</stp>
        <stp>22860.T</stp>
        <stp>銘柄名称</stp>
        <tr r="C131" s="1"/>
      </tp>
      <tp t="s">
        <v>プリマハム</v>
        <stp/>
        <stp>Market</stp>
        <stp>STOCK</stp>
        <stp>22810.T</stp>
        <stp>銘柄名称</stp>
        <tr r="C129" s="1"/>
      </tp>
      <tp t="s">
        <v>日本ハム</v>
        <stp/>
        <stp>Market</stp>
        <stp>STOCK</stp>
        <stp>22820.T</stp>
        <stp>銘柄名称</stp>
        <tr r="C130" s="1"/>
      </tp>
      <tp t="s">
        <v>丸大食品</v>
        <stp/>
        <stp>Market</stp>
        <stp>STOCK</stp>
        <stp>22880.T</stp>
        <stp>銘柄名称</stp>
        <tr r="C132" s="1"/>
      </tp>
      <tp t="s">
        <v>柿安本店</v>
        <stp/>
        <stp>Market</stp>
        <stp>STOCK</stp>
        <stp>22940.T</stp>
        <stp>銘柄名称</stp>
        <tr r="C137" s="1"/>
      </tp>
      <tp t="s">
        <v>伊藤ハム米久ＨＬＤＧＳ</v>
        <stp/>
        <stp>Market</stp>
        <stp>STOCK</stp>
        <stp>22960.T</stp>
        <stp>銘柄名称</stp>
        <tr r="C138" s="1"/>
      </tp>
      <tp t="s">
        <v>福留ハム</v>
        <stp/>
        <stp>Market</stp>
        <stp>STOCK</stp>
        <stp>22910.T</stp>
        <stp>銘柄名称</stp>
        <tr r="C134" s="1"/>
      </tp>
      <tp t="s">
        <v>滝沢ハム</v>
        <stp/>
        <stp>Market</stp>
        <stp>STOCK</stp>
        <stp>22930.T</stp>
        <stp>銘柄名称</stp>
        <tr r="C136" s="1"/>
      </tp>
      <tp t="s">
        <v>ＳＦｏｏｄｓ</v>
        <stp/>
        <stp>Market</stp>
        <stp>STOCK</stp>
        <stp>22920.T</stp>
        <stp>銘柄名称</stp>
        <tr r="C135" s="1"/>
      </tp>
    </main>
    <main first="rtdsrv.b2353dc584914e4193ea525a6339afd4">
      <tp t="s">
        <v>ＮＪＳ</v>
        <stp/>
        <stp>Market</stp>
        <stp>STOCK</stp>
        <stp>23250.T</stp>
        <stp>銘柄名称</stp>
        <tr r="C150" s="1"/>
      </tp>
      <tp t="s">
        <v>デジタルアーツ</v>
        <stp/>
        <stp>Market</stp>
        <stp>STOCK</stp>
        <stp>23260.T</stp>
        <stp>銘柄名称</stp>
        <tr r="C151" s="1"/>
      </tp>
      <tp t="s">
        <v>ソフトフロントＨＬＤＧＳ</v>
        <stp/>
        <stp>Market</stp>
        <stp>STOCK</stp>
        <stp>23210.T</stp>
        <stp>銘柄名称</stp>
        <tr r="C148" s="1"/>
      </tp>
      <tp t="s">
        <v>ｆｏｎｆｕｎ</v>
        <stp/>
        <stp>Market</stp>
        <stp>STOCK</stp>
        <stp>23230.T</stp>
        <stp>銘柄名称</stp>
        <tr r="C149" s="1"/>
      </tp>
      <tp t="s">
        <v>スタジオアリス</v>
        <stp/>
        <stp>Market</stp>
        <stp>STOCK</stp>
        <stp>23050.T</stp>
        <stp>銘柄名称</stp>
        <tr r="C143" s="1"/>
      </tp>
      <tp t="s">
        <v>ＣＳＳホールディングス</v>
        <stp/>
        <stp>Market</stp>
        <stp>STOCK</stp>
        <stp>23040.T</stp>
        <stp>銘柄名称</stp>
        <tr r="C142" s="1"/>
      </tp>
      <tp t="s">
        <v>クロスキャット</v>
        <stp/>
        <stp>Market</stp>
        <stp>STOCK</stp>
        <stp>23070.T</stp>
        <stp>銘柄名称</stp>
        <tr r="C144" s="1"/>
      </tp>
      <tp t="s">
        <v>学情</v>
        <stp/>
        <stp>Market</stp>
        <stp>STOCK</stp>
        <stp>23010.T</stp>
        <stp>銘柄名称</stp>
        <tr r="C140" s="1"/>
      </tp>
      <tp t="s">
        <v>きょくとう</v>
        <stp/>
        <stp>Market</stp>
        <stp>STOCK</stp>
        <stp>23000.T</stp>
        <stp>銘柄名称</stp>
        <tr r="C139" s="1"/>
      </tp>
      <tp t="s">
        <v>ドーン</v>
        <stp/>
        <stp>Market</stp>
        <stp>STOCK</stp>
        <stp>23030.T</stp>
        <stp>銘柄名称</stp>
        <tr r="C141" s="1"/>
      </tp>
      <tp t="s">
        <v>ＣＡＩＣＡＤＩＧＩＴＡＬ</v>
        <stp/>
        <stp>Market</stp>
        <stp>STOCK</stp>
        <stp>23150.T</stp>
        <stp>銘柄名称</stp>
        <tr r="C146" s="1"/>
      </tp>
      <tp t="s">
        <v>システナ</v>
        <stp/>
        <stp>Market</stp>
        <stp>STOCK</stp>
        <stp>23170.T</stp>
        <stp>銘柄名称</stp>
        <tr r="C147" s="1"/>
      </tp>
      <tp t="s">
        <v>エプコ</v>
        <stp/>
        <stp>Market</stp>
        <stp>STOCK</stp>
        <stp>23110.T</stp>
        <stp>銘柄名称</stp>
        <tr r="C145" s="1"/>
      </tp>
    </main>
    <main first="rtdsrv.b2353dc584914e4193ea525a6339afd4">
      <tp>
        <v>30</v>
        <stp/>
        <stp>Market</stp>
        <stp>STOCK</stp>
        <stp>220A0.T</stp>
        <stp>配当</stp>
        <tr r="H111" s="1"/>
      </tp>
      <tp>
        <v>0</v>
        <stp/>
        <stp>Market</stp>
        <stp>STOCK</stp>
        <stp>228A0.T</stp>
        <stp>配当</stp>
        <tr r="H133" s="1"/>
      </tp>
      <tp>
        <v>46</v>
        <stp/>
        <stp>Market</stp>
        <stp>STOCK</stp>
        <stp>212A0.T</stp>
        <stp>配当</stp>
        <tr r="H68" s="1"/>
      </tp>
      <tp>
        <v>180</v>
        <stp/>
        <stp>Market</stp>
        <stp>STOCK</stp>
        <stp>211A0.T</stp>
        <stp>配当</stp>
        <tr r="H62" s="1"/>
      </tp>
      <tp>
        <v>0</v>
        <stp/>
        <stp>Market</stp>
        <stp>STOCK</stp>
        <stp>215A0.T</stp>
        <stp>配当</stp>
        <tr r="H83" s="1"/>
      </tp>
      <tp>
        <v>0</v>
        <stp/>
        <stp>Market</stp>
        <stp>STOCK</stp>
        <stp>218A0.T</stp>
        <stp>配当</stp>
        <tr r="H99" s="1"/>
      </tp>
      <tp>
        <v>0</v>
        <stp/>
        <stp>Market</stp>
        <stp>STOCK</stp>
        <stp>219A0.T</stp>
        <stp>配当</stp>
        <tr r="H104" s="1"/>
      </tp>
      <tp>
        <v>30</v>
        <stp/>
        <stp>Market</stp>
        <stp>STOCK</stp>
        <stp>202A0.T</stp>
        <stp>配当</stp>
        <tr r="H50" s="1"/>
      </tp>
      <tp>
        <v>0</v>
        <stp/>
        <stp>Market</stp>
        <stp>STOCK</stp>
        <stp>206A0.T</stp>
        <stp>配当</stp>
        <tr r="H55" s="1"/>
      </tp>
      <tp>
        <v>63.39</v>
        <stp/>
        <stp>Market</stp>
        <stp>STOCK</stp>
        <stp>205A0.T</stp>
        <stp>配当</stp>
        <tr r="H53" s="1"/>
      </tp>
      <tp>
        <v>90</v>
        <stp/>
        <stp>Market</stp>
        <stp>STOCK</stp>
        <stp>208A0.T</stp>
        <stp>配当</stp>
        <tr r="H56" s="1"/>
      </tp>
      <tp>
        <v>39</v>
        <stp/>
        <stp>Market</stp>
        <stp>STOCK</stp>
        <stp>192A0.T</stp>
        <stp>配当</stp>
        <tr r="H5" s="1"/>
      </tp>
      <tp>
        <v>0</v>
        <stp/>
        <stp>Market</stp>
        <stp>STOCK</stp>
        <stp>196A0.T</stp>
        <stp>配当</stp>
        <tr r="H32" s="1"/>
      </tp>
      <tp>
        <v>28</v>
        <stp/>
        <stp>Market</stp>
        <stp>STOCK</stp>
        <stp>197A0.T</stp>
        <stp>配当</stp>
        <tr r="H37" s="1"/>
      </tp>
      <tp>
        <v>0</v>
        <stp/>
        <stp>Market</stp>
        <stp>STOCK</stp>
        <stp>194A0.T</stp>
        <stp>配当</stp>
        <tr r="H17" s="1"/>
      </tp>
      <tp>
        <v>0</v>
        <stp/>
        <stp>Market</stp>
        <stp>STOCK</stp>
        <stp>195A0.T</stp>
        <stp>配当</stp>
        <tr r="H22" s="1"/>
      </tp>
      <tp>
        <v>0</v>
        <stp/>
        <stp>Market</stp>
        <stp>STOCK</stp>
        <stp>198A0.T</stp>
        <stp>配当</stp>
        <tr r="H4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1"/>
  <sheetViews>
    <sheetView tabSelected="1" workbookViewId="0">
      <selection activeCell="A3" sqref="A3"/>
    </sheetView>
  </sheetViews>
  <sheetFormatPr defaultRowHeight="13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</row>
    <row r="2" spans="1:23" x14ac:dyDescent="0.2">
      <c r="A2">
        <v>1926</v>
      </c>
      <c r="B2">
        <f>_xll.RssMarket("1926","銘柄コード")</f>
        <v>1926</v>
      </c>
      <c r="C2" t="str">
        <f>_xll.RssMarket("1926","銘柄名称")</f>
        <v>ライト工業</v>
      </c>
      <c r="D2" t="str">
        <f>_xll.RssMarket("1926","現在日付")</f>
        <v>2026/03/05</v>
      </c>
      <c r="E2">
        <f>_xll.RssMarket("1926","現在値")</f>
        <v>4110</v>
      </c>
      <c r="F2">
        <f>_xll.RssMarket("1926","時価総額")</f>
        <v>176608</v>
      </c>
      <c r="G2">
        <f>_xll.RssMarket("1926","単位株数")</f>
        <v>100</v>
      </c>
      <c r="H2">
        <f>_xll.RssMarket("1926","配当")</f>
        <v>107</v>
      </c>
      <c r="I2">
        <f>_xll.RssMarket("1926","PER")</f>
        <v>17.010000000000002</v>
      </c>
      <c r="J2">
        <f>_xll.RssMarket("1926","PBR")</f>
        <v>2.0499999999999998</v>
      </c>
      <c r="K2">
        <f>_xll.RssMarket("1926","信用売残")</f>
        <v>15600</v>
      </c>
      <c r="L2">
        <f>_xll.RssMarket("1926","信用売残前週比")</f>
        <v>4600</v>
      </c>
      <c r="M2">
        <f>_xll.RssMarket("1926","信用買残")</f>
        <v>134400</v>
      </c>
      <c r="N2">
        <f>_xll.RssMarket("1926","信用買残前週比")</f>
        <v>-23800</v>
      </c>
      <c r="O2">
        <f>_xll.RssMarket("1926","信用倍率")</f>
        <v>8.6199999999999992</v>
      </c>
      <c r="P2" t="str">
        <f>_xll.RssMarket("1926","配当落日")</f>
        <v>2026/03/30</v>
      </c>
      <c r="Q2" t="str">
        <f>_xll.RssMarket("1926","中配落日")</f>
        <v>2026/09/29</v>
      </c>
      <c r="R2" t="str">
        <f>_xll.RssMarket("1926","権利落日")</f>
        <v/>
      </c>
      <c r="S2" t="str">
        <f>_xll.RssMarket("1926","決算発表日")</f>
        <v>2026/02/05</v>
      </c>
      <c r="T2">
        <f>_xll.RssMarket("1926","年初来高値")</f>
        <v>4380</v>
      </c>
      <c r="U2">
        <f>_xll.RssMarket("1926","年初来安値")</f>
        <v>2141</v>
      </c>
      <c r="V2">
        <f>_xll.RssMarket("1926","上場来高値")</f>
        <v>4380</v>
      </c>
      <c r="W2">
        <f>_xll.RssMarket("1926","上場来安値")</f>
        <v>57</v>
      </c>
    </row>
    <row r="3" spans="1:23" x14ac:dyDescent="0.2">
      <c r="A3">
        <v>1928</v>
      </c>
      <c r="B3">
        <f>_xll.RssMarket("1928","銘柄コード")</f>
        <v>1928</v>
      </c>
      <c r="C3" t="str">
        <f>_xll.RssMarket("1928","銘柄名称")</f>
        <v>積水ハウス</v>
      </c>
      <c r="D3" t="str">
        <f>_xll.RssMarket("1928","現在日付")</f>
        <v>2026/03/05</v>
      </c>
      <c r="E3">
        <f>_xll.RssMarket("1928","現在値")</f>
        <v>3564</v>
      </c>
      <c r="F3">
        <f>_xll.RssMarket("1928","時価総額")</f>
        <v>2363367</v>
      </c>
      <c r="G3">
        <f>_xll.RssMarket("1928","単位株数")</f>
        <v>100</v>
      </c>
      <c r="H3">
        <f>_xll.RssMarket("1928","配当")</f>
        <v>144</v>
      </c>
      <c r="I3">
        <f>_xll.RssMarket("1928","PER")</f>
        <v>9.9499999999999993</v>
      </c>
      <c r="J3">
        <f>_xll.RssMarket("1928","PBR")</f>
        <v>1.21</v>
      </c>
      <c r="K3">
        <f>_xll.RssMarket("1928","信用売残")</f>
        <v>120900</v>
      </c>
      <c r="L3">
        <f>_xll.RssMarket("1928","信用売残前週比")</f>
        <v>-6100</v>
      </c>
      <c r="M3">
        <f>_xll.RssMarket("1928","信用買残")</f>
        <v>660000</v>
      </c>
      <c r="N3">
        <f>_xll.RssMarket("1928","信用買残前週比")</f>
        <v>-14500</v>
      </c>
      <c r="O3">
        <f>_xll.RssMarket("1928","信用倍率")</f>
        <v>5.46</v>
      </c>
      <c r="P3" t="str">
        <f>_xll.RssMarket("1928","配当落日")</f>
        <v>2027/01/28</v>
      </c>
      <c r="Q3" t="str">
        <f>_xll.RssMarket("1928","中配落日")</f>
        <v>2026/07/30</v>
      </c>
      <c r="R3" t="str">
        <f>_xll.RssMarket("1928","権利落日")</f>
        <v/>
      </c>
      <c r="S3" t="str">
        <f>_xll.RssMarket("1928","決算発表日")</f>
        <v>2026/03/05</v>
      </c>
      <c r="T3">
        <f>_xll.RssMarket("1928","年初来高値")</f>
        <v>3832</v>
      </c>
      <c r="U3">
        <f>_xll.RssMarket("1928","年初来安値")</f>
        <v>2906</v>
      </c>
      <c r="V3">
        <f>_xll.RssMarket("1928","上場来高値")</f>
        <v>4134</v>
      </c>
      <c r="W3">
        <f>_xll.RssMarket("1928","上場来安値")</f>
        <v>535</v>
      </c>
    </row>
    <row r="4" spans="1:23" x14ac:dyDescent="0.2">
      <c r="A4">
        <v>1929</v>
      </c>
      <c r="B4">
        <f>_xll.RssMarket("1929","銘柄コード")</f>
        <v>1929</v>
      </c>
      <c r="C4" t="str">
        <f>_xll.RssMarket("1929","銘柄名称")</f>
        <v>日特建設</v>
      </c>
      <c r="D4" t="str">
        <f>_xll.RssMarket("1929","現在日付")</f>
        <v>2026/03/05</v>
      </c>
      <c r="E4">
        <f>_xll.RssMarket("1929","現在値")</f>
        <v>1358</v>
      </c>
      <c r="F4">
        <f>_xll.RssMarket("1929","時価総額")</f>
        <v>56730</v>
      </c>
      <c r="G4">
        <f>_xll.RssMarket("1929","単位株数")</f>
        <v>100</v>
      </c>
      <c r="H4">
        <f>_xll.RssMarket("1929","配当")</f>
        <v>49</v>
      </c>
      <c r="I4">
        <f>_xll.RssMarket("1929","PER")</f>
        <v>15.41</v>
      </c>
      <c r="J4">
        <f>_xll.RssMarket("1929","PBR")</f>
        <v>1.63</v>
      </c>
      <c r="K4">
        <f>_xll.RssMarket("1929","信用売残")</f>
        <v>47700</v>
      </c>
      <c r="L4">
        <f>_xll.RssMarket("1929","信用売残前週比")</f>
        <v>5700</v>
      </c>
      <c r="M4">
        <f>_xll.RssMarket("1929","信用買残")</f>
        <v>209900</v>
      </c>
      <c r="N4">
        <f>_xll.RssMarket("1929","信用買残前週比")</f>
        <v>9300</v>
      </c>
      <c r="O4">
        <f>_xll.RssMarket("1929","信用倍率")</f>
        <v>4.4000000000000004</v>
      </c>
      <c r="P4" t="str">
        <f>_xll.RssMarket("1929","配当落日")</f>
        <v>2026/03/30</v>
      </c>
      <c r="Q4" t="str">
        <f>_xll.RssMarket("1929","中配落日")</f>
        <v>2026/09/29</v>
      </c>
      <c r="R4" t="str">
        <f>_xll.RssMarket("1929","権利落日")</f>
        <v/>
      </c>
      <c r="S4" t="str">
        <f>_xll.RssMarket("1929","決算発表日")</f>
        <v>2026/02/09</v>
      </c>
      <c r="T4">
        <f>_xll.RssMarket("1929","年初来高値")</f>
        <v>1465</v>
      </c>
      <c r="U4">
        <f>_xll.RssMarket("1929","年初来安値")</f>
        <v>909</v>
      </c>
      <c r="V4">
        <f>_xll.RssMarket("1929","上場来高値")</f>
        <v>2060</v>
      </c>
      <c r="W4">
        <f>_xll.RssMarket("1929","上場来安値")</f>
        <v>27</v>
      </c>
    </row>
    <row r="5" spans="1:23" x14ac:dyDescent="0.2">
      <c r="A5" t="s">
        <v>11</v>
      </c>
      <c r="B5" t="str">
        <f>_xll.RssMarket("192A","銘柄コード")</f>
        <v>192A</v>
      </c>
      <c r="C5" t="str">
        <f>_xll.RssMarket("192A","銘柄名称")</f>
        <v>インテグループ</v>
      </c>
      <c r="D5" t="str">
        <f>_xll.RssMarket("192A","現在日付")</f>
        <v>2026/03/05</v>
      </c>
      <c r="E5">
        <f>_xll.RssMarket("192A","現在値")</f>
        <v>1915</v>
      </c>
      <c r="F5">
        <f>_xll.RssMarket("192A","時価総額")</f>
        <v>4098</v>
      </c>
      <c r="G5">
        <f>_xll.RssMarket("192A","単位株数")</f>
        <v>100</v>
      </c>
      <c r="H5">
        <f>_xll.RssMarket("192A","配当")</f>
        <v>39</v>
      </c>
      <c r="I5">
        <f>_xll.RssMarket("192A","PER")</f>
        <v>19.52</v>
      </c>
      <c r="J5">
        <f>_xll.RssMarket("192A","PBR")</f>
        <v>2.2599999999999998</v>
      </c>
      <c r="K5" t="str">
        <f>_xll.RssMarket("192A","信用売残")</f>
        <v>-</v>
      </c>
      <c r="L5" t="str">
        <f>_xll.RssMarket("192A","信用売残前週比")</f>
        <v>-</v>
      </c>
      <c r="M5">
        <f>_xll.RssMarket("192A","信用買残")</f>
        <v>104000</v>
      </c>
      <c r="N5">
        <f>_xll.RssMarket("192A","信用買残前週比")</f>
        <v>1700</v>
      </c>
      <c r="O5">
        <f>_xll.RssMarket("192A","信用倍率")</f>
        <v>0</v>
      </c>
      <c r="P5" t="str">
        <f>_xll.RssMarket("192A","配当落日")</f>
        <v>2026/05/28</v>
      </c>
      <c r="Q5" t="str">
        <f>_xll.RssMarket("192A","中配落日")</f>
        <v>2026/11/27</v>
      </c>
      <c r="R5" t="str">
        <f>_xll.RssMarket("192A","権利落日")</f>
        <v/>
      </c>
      <c r="S5" t="str">
        <f>_xll.RssMarket("192A","決算発表日")</f>
        <v>-</v>
      </c>
      <c r="T5">
        <f>_xll.RssMarket("192A","年初来高値")</f>
        <v>4355</v>
      </c>
      <c r="U5">
        <f>_xll.RssMarket("192A","年初来安値")</f>
        <v>1810</v>
      </c>
      <c r="V5">
        <f>_xll.RssMarket("192A","上場来高値")</f>
        <v>8550</v>
      </c>
      <c r="W5">
        <f>_xll.RssMarket("192A","上場来安値")</f>
        <v>1810</v>
      </c>
    </row>
    <row r="6" spans="1:23" x14ac:dyDescent="0.2">
      <c r="A6">
        <v>1930</v>
      </c>
      <c r="B6">
        <f>_xll.RssMarket("1930","銘柄コード")</f>
        <v>1930</v>
      </c>
      <c r="C6" t="str">
        <f>_xll.RssMarket("1930","銘柄名称")</f>
        <v>北陸電気工事</v>
      </c>
      <c r="D6" t="str">
        <f>_xll.RssMarket("1930","現在日付")</f>
        <v>2026/03/05</v>
      </c>
      <c r="E6">
        <f>_xll.RssMarket("1930","現在値")</f>
        <v>1682</v>
      </c>
      <c r="F6">
        <f>_xll.RssMarket("1930","時価総額")</f>
        <v>50399</v>
      </c>
      <c r="G6">
        <f>_xll.RssMarket("1930","単位株数")</f>
        <v>100</v>
      </c>
      <c r="H6">
        <f>_xll.RssMarket("1930","配当")</f>
        <v>44</v>
      </c>
      <c r="I6">
        <f>_xll.RssMarket("1930","PER")</f>
        <v>12.84</v>
      </c>
      <c r="J6">
        <f>_xll.RssMarket("1930","PBR")</f>
        <v>1.06</v>
      </c>
      <c r="K6">
        <f>_xll.RssMarket("1930","信用売残")</f>
        <v>16400</v>
      </c>
      <c r="L6">
        <f>_xll.RssMarket("1930","信用売残前週比")</f>
        <v>7800</v>
      </c>
      <c r="M6">
        <f>_xll.RssMarket("1930","信用買残")</f>
        <v>295000</v>
      </c>
      <c r="N6">
        <f>_xll.RssMarket("1930","信用買残前週比")</f>
        <v>-7300</v>
      </c>
      <c r="O6">
        <f>_xll.RssMarket("1930","信用倍率")</f>
        <v>17.989999999999998</v>
      </c>
      <c r="P6" t="str">
        <f>_xll.RssMarket("1930","配当落日")</f>
        <v>2026/03/30</v>
      </c>
      <c r="Q6" t="str">
        <f>_xll.RssMarket("1930","中配落日")</f>
        <v>2026/09/29</v>
      </c>
      <c r="R6" t="str">
        <f>_xll.RssMarket("1930","権利落日")</f>
        <v>2021/12/29</v>
      </c>
      <c r="S6" t="str">
        <f>_xll.RssMarket("1930","決算発表日")</f>
        <v>-</v>
      </c>
      <c r="T6">
        <f>_xll.RssMarket("1930","年初来高値")</f>
        <v>1821</v>
      </c>
      <c r="U6">
        <f>_xll.RssMarket("1930","年初来安値")</f>
        <v>976</v>
      </c>
      <c r="V6">
        <f>_xll.RssMarket("1930","上場来高値")</f>
        <v>1821</v>
      </c>
      <c r="W6">
        <f>_xll.RssMarket("1930","上場来安値")</f>
        <v>198</v>
      </c>
    </row>
    <row r="7" spans="1:23" x14ac:dyDescent="0.2">
      <c r="A7">
        <v>1934</v>
      </c>
      <c r="B7">
        <f>_xll.RssMarket("1934","銘柄コード")</f>
        <v>1934</v>
      </c>
      <c r="C7" t="str">
        <f>_xll.RssMarket("1934","銘柄名称")</f>
        <v>ユアテック</v>
      </c>
      <c r="D7" t="str">
        <f>_xll.RssMarket("1934","現在日付")</f>
        <v>2026/03/05</v>
      </c>
      <c r="E7">
        <f>_xll.RssMarket("1934","現在値")</f>
        <v>2761</v>
      </c>
      <c r="F7">
        <f>_xll.RssMarket("1934","時価総額")</f>
        <v>191037</v>
      </c>
      <c r="G7">
        <f>_xll.RssMarket("1934","単位株数")</f>
        <v>100</v>
      </c>
      <c r="H7">
        <f>_xll.RssMarket("1934","配当")</f>
        <v>72</v>
      </c>
      <c r="I7">
        <f>_xll.RssMarket("1934","PER")</f>
        <v>18.96</v>
      </c>
      <c r="J7">
        <f>_xll.RssMarket("1934","PBR")</f>
        <v>1.28</v>
      </c>
      <c r="K7">
        <f>_xll.RssMarket("1934","信用売残")</f>
        <v>22600</v>
      </c>
      <c r="L7">
        <f>_xll.RssMarket("1934","信用売残前週比")</f>
        <v>6100</v>
      </c>
      <c r="M7">
        <f>_xll.RssMarket("1934","信用買残")</f>
        <v>122400</v>
      </c>
      <c r="N7">
        <f>_xll.RssMarket("1934","信用買残前週比")</f>
        <v>-5700</v>
      </c>
      <c r="O7">
        <f>_xll.RssMarket("1934","信用倍率")</f>
        <v>5.42</v>
      </c>
      <c r="P7" t="str">
        <f>_xll.RssMarket("1934","配当落日")</f>
        <v>2026/03/30</v>
      </c>
      <c r="Q7" t="str">
        <f>_xll.RssMarket("1934","中配落日")</f>
        <v>2026/09/29</v>
      </c>
      <c r="R7" t="str">
        <f>_xll.RssMarket("1934","権利落日")</f>
        <v/>
      </c>
      <c r="S7" t="str">
        <f>_xll.RssMarket("1934","決算発表日")</f>
        <v>-</v>
      </c>
      <c r="T7">
        <f>_xll.RssMarket("1934","年初来高値")</f>
        <v>3305</v>
      </c>
      <c r="U7">
        <f>_xll.RssMarket("1934","年初来安値")</f>
        <v>1423</v>
      </c>
      <c r="V7">
        <f>_xll.RssMarket("1934","上場来高値")</f>
        <v>4400</v>
      </c>
      <c r="W7">
        <f>_xll.RssMarket("1934","上場来安値")</f>
        <v>234</v>
      </c>
    </row>
    <row r="8" spans="1:23" x14ac:dyDescent="0.2">
      <c r="A8">
        <v>1938</v>
      </c>
      <c r="B8">
        <f>_xll.RssMarket("1938","銘柄コード")</f>
        <v>1938</v>
      </c>
      <c r="C8" t="str">
        <f>_xll.RssMarket("1938","銘柄名称")</f>
        <v>日本リーテック</v>
      </c>
      <c r="D8" t="str">
        <f>_xll.RssMarket("1938","現在日付")</f>
        <v>2026/03/05</v>
      </c>
      <c r="E8">
        <f>_xll.RssMarket("1938","現在値")</f>
        <v>2992</v>
      </c>
      <c r="F8">
        <f>_xll.RssMarket("1938","時価総額")</f>
        <v>76648</v>
      </c>
      <c r="G8">
        <f>_xll.RssMarket("1938","単位株数")</f>
        <v>100</v>
      </c>
      <c r="H8">
        <f>_xll.RssMarket("1938","配当")</f>
        <v>82</v>
      </c>
      <c r="I8">
        <f>_xll.RssMarket("1938","PER")</f>
        <v>15.13</v>
      </c>
      <c r="J8">
        <f>_xll.RssMarket("1938","PBR")</f>
        <v>1.1599999999999999</v>
      </c>
      <c r="K8">
        <f>_xll.RssMarket("1938","信用売残")</f>
        <v>93300</v>
      </c>
      <c r="L8">
        <f>_xll.RssMarket("1938","信用売残前週比")</f>
        <v>93200</v>
      </c>
      <c r="M8">
        <f>_xll.RssMarket("1938","信用買残")</f>
        <v>227500</v>
      </c>
      <c r="N8">
        <f>_xll.RssMarket("1938","信用買残前週比")</f>
        <v>35400</v>
      </c>
      <c r="O8">
        <f>_xll.RssMarket("1938","信用倍率")</f>
        <v>2.44</v>
      </c>
      <c r="P8" t="str">
        <f>_xll.RssMarket("1938","配当落日")</f>
        <v>2026/03/30</v>
      </c>
      <c r="Q8" t="str">
        <f>_xll.RssMarket("1938","中配落日")</f>
        <v/>
      </c>
      <c r="R8" t="str">
        <f>_xll.RssMarket("1938","権利落日")</f>
        <v/>
      </c>
      <c r="S8" t="str">
        <f>_xll.RssMarket("1938","決算発表日")</f>
        <v>2026/02/12</v>
      </c>
      <c r="T8">
        <f>_xll.RssMarket("1938","年初来高値")</f>
        <v>3245</v>
      </c>
      <c r="U8">
        <f>_xll.RssMarket("1938","年初来安値")</f>
        <v>1255</v>
      </c>
      <c r="V8">
        <f>_xll.RssMarket("1938","上場来高値")</f>
        <v>3270</v>
      </c>
      <c r="W8">
        <f>_xll.RssMarket("1938","上場来安値")</f>
        <v>155</v>
      </c>
    </row>
    <row r="9" spans="1:23" x14ac:dyDescent="0.2">
      <c r="A9">
        <v>1939</v>
      </c>
      <c r="B9">
        <f>_xll.RssMarket("1939","銘柄コード")</f>
        <v>1939</v>
      </c>
      <c r="C9" t="str">
        <f>_xll.RssMarket("1939","銘柄名称")</f>
        <v>四電工</v>
      </c>
      <c r="D9" t="str">
        <f>_xll.RssMarket("1939","現在日付")</f>
        <v>2026/03/05</v>
      </c>
      <c r="E9">
        <f>_xll.RssMarket("1939","現在値")</f>
        <v>1954</v>
      </c>
      <c r="F9">
        <f>_xll.RssMarket("1939","時価総額")</f>
        <v>95289</v>
      </c>
      <c r="G9">
        <f>_xll.RssMarket("1939","単位株数")</f>
        <v>100</v>
      </c>
      <c r="H9">
        <f>_xll.RssMarket("1939","配当")</f>
        <v>72</v>
      </c>
      <c r="I9">
        <f>_xll.RssMarket("1939","PER")</f>
        <v>15.41</v>
      </c>
      <c r="J9">
        <f>_xll.RssMarket("1939","PBR")</f>
        <v>1.38</v>
      </c>
      <c r="K9">
        <f>_xll.RssMarket("1939","信用売残")</f>
        <v>19000</v>
      </c>
      <c r="L9">
        <f>_xll.RssMarket("1939","信用売残前週比")</f>
        <v>-2200</v>
      </c>
      <c r="M9">
        <f>_xll.RssMarket("1939","信用買残")</f>
        <v>276100</v>
      </c>
      <c r="N9">
        <f>_xll.RssMarket("1939","信用買残前週比")</f>
        <v>15600</v>
      </c>
      <c r="O9">
        <f>_xll.RssMarket("1939","信用倍率")</f>
        <v>14.53</v>
      </c>
      <c r="P9" t="str">
        <f>_xll.RssMarket("1939","配当落日")</f>
        <v>2026/03/30</v>
      </c>
      <c r="Q9" t="str">
        <f>_xll.RssMarket("1939","中配落日")</f>
        <v>2026/09/29</v>
      </c>
      <c r="R9" t="str">
        <f>_xll.RssMarket("1939","権利落日")</f>
        <v>2024/09/27</v>
      </c>
      <c r="S9" t="str">
        <f>_xll.RssMarket("1939","決算発表日")</f>
        <v>-</v>
      </c>
      <c r="T9">
        <f>_xll.RssMarket("1939","年初来高値")</f>
        <v>2116</v>
      </c>
      <c r="U9">
        <f>_xll.RssMarket("1939","年初来安値")</f>
        <v>1076</v>
      </c>
      <c r="V9">
        <f>_xll.RssMarket("1939","上場来高値")</f>
        <v>4370</v>
      </c>
      <c r="W9">
        <f>_xll.RssMarket("1939","上場来安値")</f>
        <v>168</v>
      </c>
    </row>
    <row r="10" spans="1:23" x14ac:dyDescent="0.2">
      <c r="A10">
        <v>1941</v>
      </c>
      <c r="B10">
        <f>_xll.RssMarket("1941","銘柄コード")</f>
        <v>1941</v>
      </c>
      <c r="C10" t="str">
        <f>_xll.RssMarket("1941","銘柄名称")</f>
        <v>中電工</v>
      </c>
      <c r="D10" t="str">
        <f>_xll.RssMarket("1941","現在日付")</f>
        <v>2026/03/05</v>
      </c>
      <c r="E10">
        <f>_xll.RssMarket("1941","現在値")</f>
        <v>4800</v>
      </c>
      <c r="F10">
        <f>_xll.RssMarket("1941","時価総額")</f>
        <v>279062</v>
      </c>
      <c r="G10">
        <f>_xll.RssMarket("1941","単位株数")</f>
        <v>100</v>
      </c>
      <c r="H10">
        <f>_xll.RssMarket("1941","配当")</f>
        <v>130</v>
      </c>
      <c r="I10">
        <f>_xll.RssMarket("1941","PER")</f>
        <v>14.52</v>
      </c>
      <c r="J10">
        <f>_xll.RssMarket("1941","PBR")</f>
        <v>1.1100000000000001</v>
      </c>
      <c r="K10">
        <f>_xll.RssMarket("1941","信用売残")</f>
        <v>18300</v>
      </c>
      <c r="L10">
        <f>_xll.RssMarket("1941","信用売残前週比")</f>
        <v>10200</v>
      </c>
      <c r="M10">
        <f>_xll.RssMarket("1941","信用買残")</f>
        <v>103200</v>
      </c>
      <c r="N10">
        <f>_xll.RssMarket("1941","信用買残前週比")</f>
        <v>-2500</v>
      </c>
      <c r="O10">
        <f>_xll.RssMarket("1941","信用倍率")</f>
        <v>5.64</v>
      </c>
      <c r="P10" t="str">
        <f>_xll.RssMarket("1941","配当落日")</f>
        <v>2026/03/30</v>
      </c>
      <c r="Q10" t="str">
        <f>_xll.RssMarket("1941","中配落日")</f>
        <v>2026/09/29</v>
      </c>
      <c r="R10" t="str">
        <f>_xll.RssMarket("1941","権利落日")</f>
        <v/>
      </c>
      <c r="S10" t="str">
        <f>_xll.RssMarket("1941","決算発表日")</f>
        <v>-</v>
      </c>
      <c r="T10">
        <f>_xll.RssMarket("1941","年初来高値")</f>
        <v>5140</v>
      </c>
      <c r="U10">
        <f>_xll.RssMarket("1941","年初来安値")</f>
        <v>2882</v>
      </c>
      <c r="V10">
        <f>_xll.RssMarket("1941","上場来高値")</f>
        <v>5160</v>
      </c>
      <c r="W10">
        <f>_xll.RssMarket("1941","上場来安値")</f>
        <v>25</v>
      </c>
    </row>
    <row r="11" spans="1:23" x14ac:dyDescent="0.2">
      <c r="A11">
        <v>1942</v>
      </c>
      <c r="B11">
        <f>_xll.RssMarket("1942","銘柄コード")</f>
        <v>1942</v>
      </c>
      <c r="C11" t="str">
        <f>_xll.RssMarket("1942","銘柄名称")</f>
        <v>関電工</v>
      </c>
      <c r="D11" t="str">
        <f>_xll.RssMarket("1942","現在日付")</f>
        <v>2026/03/05</v>
      </c>
      <c r="E11">
        <f>_xll.RssMarket("1942","現在値")</f>
        <v>6579</v>
      </c>
      <c r="F11">
        <f>_xll.RssMarket("1942","時価総額")</f>
        <v>1350591</v>
      </c>
      <c r="G11">
        <f>_xll.RssMarket("1942","単位株数")</f>
        <v>100</v>
      </c>
      <c r="H11">
        <f>_xll.RssMarket("1942","配当")</f>
        <v>120</v>
      </c>
      <c r="I11">
        <f>_xll.RssMarket("1942","PER")</f>
        <v>21.46</v>
      </c>
      <c r="J11">
        <f>_xll.RssMarket("1942","PBR")</f>
        <v>3.43</v>
      </c>
      <c r="K11">
        <f>_xll.RssMarket("1942","信用売残")</f>
        <v>412200</v>
      </c>
      <c r="L11">
        <f>_xll.RssMarket("1942","信用売残前週比")</f>
        <v>-2236400</v>
      </c>
      <c r="M11">
        <f>_xll.RssMarket("1942","信用買残")</f>
        <v>633500</v>
      </c>
      <c r="N11">
        <f>_xll.RssMarket("1942","信用買残前週比")</f>
        <v>71100</v>
      </c>
      <c r="O11">
        <f>_xll.RssMarket("1942","信用倍率")</f>
        <v>1.54</v>
      </c>
      <c r="P11" t="str">
        <f>_xll.RssMarket("1942","配当落日")</f>
        <v>2026/03/30</v>
      </c>
      <c r="Q11" t="str">
        <f>_xll.RssMarket("1942","中配落日")</f>
        <v>2026/09/29</v>
      </c>
      <c r="R11" t="str">
        <f>_xll.RssMarket("1942","権利落日")</f>
        <v/>
      </c>
      <c r="S11" t="str">
        <f>_xll.RssMarket("1942","決算発表日")</f>
        <v>-</v>
      </c>
      <c r="T11">
        <f>_xll.RssMarket("1942","年初来高値")</f>
        <v>6986</v>
      </c>
      <c r="U11">
        <f>_xll.RssMarket("1942","年初来安値")</f>
        <v>2171</v>
      </c>
      <c r="V11">
        <f>_xll.RssMarket("1942","上場来高値")</f>
        <v>6986</v>
      </c>
      <c r="W11">
        <f>_xll.RssMarket("1942","上場来安値")</f>
        <v>120</v>
      </c>
    </row>
    <row r="12" spans="1:23" x14ac:dyDescent="0.2">
      <c r="A12">
        <v>1944</v>
      </c>
      <c r="B12">
        <f>_xll.RssMarket("1944","銘柄コード")</f>
        <v>1944</v>
      </c>
      <c r="C12" t="str">
        <f>_xll.RssMarket("1944","銘柄名称")</f>
        <v>きんでん</v>
      </c>
      <c r="D12" t="str">
        <f>_xll.RssMarket("1944","現在日付")</f>
        <v>2026/03/05</v>
      </c>
      <c r="E12">
        <f>_xll.RssMarket("1944","現在値")</f>
        <v>8164</v>
      </c>
      <c r="F12">
        <f>_xll.RssMarket("1944","時価総額")</f>
        <v>1632425</v>
      </c>
      <c r="G12">
        <f>_xll.RssMarket("1944","単位株数")</f>
        <v>100</v>
      </c>
      <c r="H12">
        <f>_xll.RssMarket("1944","配当")</f>
        <v>125</v>
      </c>
      <c r="I12">
        <f>_xll.RssMarket("1944","PER")</f>
        <v>24.67</v>
      </c>
      <c r="J12">
        <f>_xll.RssMarket("1944","PBR")</f>
        <v>2.62</v>
      </c>
      <c r="K12">
        <f>_xll.RssMarket("1944","信用売残")</f>
        <v>39600</v>
      </c>
      <c r="L12">
        <f>_xll.RssMarket("1944","信用売残前週比")</f>
        <v>3600</v>
      </c>
      <c r="M12">
        <f>_xll.RssMarket("1944","信用買残")</f>
        <v>145400</v>
      </c>
      <c r="N12">
        <f>_xll.RssMarket("1944","信用買残前週比")</f>
        <v>-31700</v>
      </c>
      <c r="O12">
        <f>_xll.RssMarket("1944","信用倍率")</f>
        <v>3.67</v>
      </c>
      <c r="P12" t="str">
        <f>_xll.RssMarket("1944","配当落日")</f>
        <v>2026/03/30</v>
      </c>
      <c r="Q12" t="str">
        <f>_xll.RssMarket("1944","中配落日")</f>
        <v>2026/09/29</v>
      </c>
      <c r="R12" t="str">
        <f>_xll.RssMarket("1944","権利落日")</f>
        <v/>
      </c>
      <c r="S12" t="str">
        <f>_xll.RssMarket("1944","決算発表日")</f>
        <v>-</v>
      </c>
      <c r="T12">
        <f>_xll.RssMarket("1944","年初来高値")</f>
        <v>8580</v>
      </c>
      <c r="U12">
        <f>_xll.RssMarket("1944","年初来安値")</f>
        <v>2933.5</v>
      </c>
      <c r="V12">
        <f>_xll.RssMarket("1944","上場来高値")</f>
        <v>8580</v>
      </c>
      <c r="W12">
        <f>_xll.RssMarket("1944","上場来安値")</f>
        <v>161</v>
      </c>
    </row>
    <row r="13" spans="1:23" x14ac:dyDescent="0.2">
      <c r="A13">
        <v>1945</v>
      </c>
      <c r="B13">
        <f>_xll.RssMarket("1945","銘柄コード")</f>
        <v>1945</v>
      </c>
      <c r="C13" t="str">
        <f>_xll.RssMarket("1945","銘柄名称")</f>
        <v>東京エネシス</v>
      </c>
      <c r="D13" t="str">
        <f>_xll.RssMarket("1945","現在日付")</f>
        <v>2026/03/05</v>
      </c>
      <c r="E13">
        <f>_xll.RssMarket("1945","現在値")</f>
        <v>1907</v>
      </c>
      <c r="F13">
        <f>_xll.RssMarket("1945","時価総額")</f>
        <v>63357</v>
      </c>
      <c r="G13">
        <f>_xll.RssMarket("1945","単位株数")</f>
        <v>100</v>
      </c>
      <c r="H13">
        <f>_xll.RssMarket("1945","配当")</f>
        <v>57</v>
      </c>
      <c r="I13">
        <f>_xll.RssMarket("1945","PER")</f>
        <v>18.579999999999998</v>
      </c>
      <c r="J13">
        <f>_xll.RssMarket("1945","PBR")</f>
        <v>0.9</v>
      </c>
      <c r="K13">
        <f>_xll.RssMarket("1945","信用売残")</f>
        <v>503200</v>
      </c>
      <c r="L13">
        <f>_xll.RssMarket("1945","信用売残前週比")</f>
        <v>257300</v>
      </c>
      <c r="M13">
        <f>_xll.RssMarket("1945","信用買残")</f>
        <v>578200</v>
      </c>
      <c r="N13">
        <f>_xll.RssMarket("1945","信用買残前週比")</f>
        <v>16300</v>
      </c>
      <c r="O13">
        <f>_xll.RssMarket("1945","信用倍率")</f>
        <v>1.1499999999999999</v>
      </c>
      <c r="P13" t="str">
        <f>_xll.RssMarket("1945","配当落日")</f>
        <v>2026/03/30</v>
      </c>
      <c r="Q13" t="str">
        <f>_xll.RssMarket("1945","中配落日")</f>
        <v>2026/09/29</v>
      </c>
      <c r="R13" t="str">
        <f>_xll.RssMarket("1945","権利落日")</f>
        <v/>
      </c>
      <c r="S13" t="str">
        <f>_xll.RssMarket("1945","決算発表日")</f>
        <v>2026/02/06</v>
      </c>
      <c r="T13">
        <f>_xll.RssMarket("1945","年初来高値")</f>
        <v>2074</v>
      </c>
      <c r="U13">
        <f>_xll.RssMarket("1945","年初来安値")</f>
        <v>915</v>
      </c>
      <c r="V13">
        <f>_xll.RssMarket("1945","上場来高値")</f>
        <v>2380</v>
      </c>
      <c r="W13">
        <f>_xll.RssMarket("1945","上場来安値")</f>
        <v>75</v>
      </c>
    </row>
    <row r="14" spans="1:23" x14ac:dyDescent="0.2">
      <c r="A14">
        <v>1946</v>
      </c>
      <c r="B14">
        <f>_xll.RssMarket("1946","銘柄コード")</f>
        <v>1946</v>
      </c>
      <c r="C14" t="str">
        <f>_xll.RssMarket("1946","銘柄名称")</f>
        <v>トーエネック</v>
      </c>
      <c r="D14" t="str">
        <f>_xll.RssMarket("1946","現在日付")</f>
        <v>2026/03/05</v>
      </c>
      <c r="E14">
        <f>_xll.RssMarket("1946","現在値")</f>
        <v>2195</v>
      </c>
      <c r="F14">
        <f>_xll.RssMarket("1946","時価総額")</f>
        <v>212146</v>
      </c>
      <c r="G14">
        <f>_xll.RssMarket("1946","単位株数")</f>
        <v>100</v>
      </c>
      <c r="H14">
        <f>_xll.RssMarket("1946","配当")</f>
        <v>65</v>
      </c>
      <c r="I14">
        <f>_xll.RssMarket("1946","PER")</f>
        <v>13.58</v>
      </c>
      <c r="J14">
        <f>_xll.RssMarket("1946","PBR")</f>
        <v>1.45</v>
      </c>
      <c r="K14">
        <f>_xll.RssMarket("1946","信用売残")</f>
        <v>32700</v>
      </c>
      <c r="L14">
        <f>_xll.RssMarket("1946","信用売残前週比")</f>
        <v>15900</v>
      </c>
      <c r="M14">
        <f>_xll.RssMarket("1946","信用買残")</f>
        <v>420200</v>
      </c>
      <c r="N14">
        <f>_xll.RssMarket("1946","信用買残前週比")</f>
        <v>-100</v>
      </c>
      <c r="O14">
        <f>_xll.RssMarket("1946","信用倍率")</f>
        <v>12.85</v>
      </c>
      <c r="P14" t="str">
        <f>_xll.RssMarket("1946","配当落日")</f>
        <v>2026/03/30</v>
      </c>
      <c r="Q14" t="str">
        <f>_xll.RssMarket("1946","中配落日")</f>
        <v>2026/09/29</v>
      </c>
      <c r="R14" t="str">
        <f>_xll.RssMarket("1946","権利落日")</f>
        <v>2024/09/27</v>
      </c>
      <c r="S14" t="str">
        <f>_xll.RssMarket("1946","決算発表日")</f>
        <v>-</v>
      </c>
      <c r="T14">
        <f>_xll.RssMarket("1946","年初来高値")</f>
        <v>2397</v>
      </c>
      <c r="U14">
        <f>_xll.RssMarket("1946","年初来安値")</f>
        <v>796</v>
      </c>
      <c r="V14">
        <f>_xll.RssMarket("1946","上場来高値")</f>
        <v>6450</v>
      </c>
      <c r="W14">
        <f>_xll.RssMarket("1946","上場来安値")</f>
        <v>125</v>
      </c>
    </row>
    <row r="15" spans="1:23" x14ac:dyDescent="0.2">
      <c r="A15">
        <v>1948</v>
      </c>
      <c r="B15">
        <f>_xll.RssMarket("1948","銘柄コード")</f>
        <v>1948</v>
      </c>
      <c r="C15" t="str">
        <f>_xll.RssMarket("1948","銘柄名称")</f>
        <v>弘電社</v>
      </c>
      <c r="D15" t="str">
        <f>_xll.RssMarket("1948","現在日付")</f>
        <v>2026/03/05</v>
      </c>
      <c r="E15">
        <f>_xll.RssMarket("1948","現在値")</f>
        <v>6730</v>
      </c>
      <c r="F15">
        <f>_xll.RssMarket("1948","時価総額")</f>
        <v>60368</v>
      </c>
      <c r="G15">
        <f>_xll.RssMarket("1948","単位株数")</f>
        <v>100</v>
      </c>
      <c r="H15">
        <f>_xll.RssMarket("1948","配当")</f>
        <v>90</v>
      </c>
      <c r="I15">
        <f>_xll.RssMarket("1948","PER")</f>
        <v>27.33</v>
      </c>
      <c r="J15">
        <f>_xll.RssMarket("1948","PBR")</f>
        <v>2.65</v>
      </c>
      <c r="K15" t="str">
        <f>_xll.RssMarket("1948","信用売残")</f>
        <v>-</v>
      </c>
      <c r="L15" t="str">
        <f>_xll.RssMarket("1948","信用売残前週比")</f>
        <v>-</v>
      </c>
      <c r="M15">
        <f>_xll.RssMarket("1948","信用買残")</f>
        <v>194400</v>
      </c>
      <c r="N15">
        <f>_xll.RssMarket("1948","信用買残前週比")</f>
        <v>-3200</v>
      </c>
      <c r="O15">
        <f>_xll.RssMarket("1948","信用倍率")</f>
        <v>0</v>
      </c>
      <c r="P15" t="str">
        <f>_xll.RssMarket("1948","配当落日")</f>
        <v>2026/03/30</v>
      </c>
      <c r="Q15" t="str">
        <f>_xll.RssMarket("1948","中配落日")</f>
        <v>2026/09/29</v>
      </c>
      <c r="R15" t="str">
        <f>_xll.RssMarket("1948","権利落日")</f>
        <v>2024/03/28</v>
      </c>
      <c r="S15" t="str">
        <f>_xll.RssMarket("1948","決算発表日")</f>
        <v>-</v>
      </c>
      <c r="T15">
        <f>_xll.RssMarket("1948","年初来高値")</f>
        <v>7150</v>
      </c>
      <c r="U15">
        <f>_xll.RssMarket("1948","年初来安値")</f>
        <v>1600</v>
      </c>
      <c r="V15">
        <f>_xll.RssMarket("1948","上場来高値")</f>
        <v>7150</v>
      </c>
      <c r="W15">
        <f>_xll.RssMarket("1948","上場来安値")</f>
        <v>46</v>
      </c>
    </row>
    <row r="16" spans="1:23" x14ac:dyDescent="0.2">
      <c r="A16">
        <v>1949</v>
      </c>
      <c r="B16">
        <f>_xll.RssMarket("1949","銘柄コード")</f>
        <v>1949</v>
      </c>
      <c r="C16" t="str">
        <f>_xll.RssMarket("1949","銘柄名称")</f>
        <v>住友電設</v>
      </c>
      <c r="D16" t="str">
        <f>_xll.RssMarket("1949","現在日付")</f>
        <v>2026/03/05</v>
      </c>
      <c r="E16">
        <f>_xll.RssMarket("1949","現在値")</f>
        <v>0</v>
      </c>
      <c r="F16">
        <f>_xll.RssMarket("1949","時価総額")</f>
        <v>0</v>
      </c>
      <c r="G16">
        <f>_xll.RssMarket("1949","単位株数")</f>
        <v>100</v>
      </c>
      <c r="H16">
        <f>_xll.RssMarket("1949","配当")</f>
        <v>0</v>
      </c>
      <c r="I16">
        <f>_xll.RssMarket("1949","PER")</f>
        <v>0</v>
      </c>
      <c r="J16">
        <f>_xll.RssMarket("1949","PBR")</f>
        <v>0</v>
      </c>
      <c r="K16">
        <f>_xll.RssMarket("1949","信用売残")</f>
        <v>200</v>
      </c>
      <c r="L16">
        <f>_xll.RssMarket("1949","信用売残前週比")</f>
        <v>-400</v>
      </c>
      <c r="M16">
        <f>_xll.RssMarket("1949","信用買残")</f>
        <v>0</v>
      </c>
      <c r="N16">
        <f>_xll.RssMarket("1949","信用買残前週比")</f>
        <v>-500</v>
      </c>
      <c r="O16">
        <f>_xll.RssMarket("1949","信用倍率")</f>
        <v>0</v>
      </c>
      <c r="P16" t="str">
        <f>_xll.RssMarket("1949","配当落日")</f>
        <v/>
      </c>
      <c r="Q16" t="str">
        <f>_xll.RssMarket("1949","中配落日")</f>
        <v/>
      </c>
      <c r="R16" t="str">
        <f>_xll.RssMarket("1949","権利落日")</f>
        <v/>
      </c>
      <c r="S16" t="str">
        <f>_xll.RssMarket("1949","決算発表日")</f>
        <v>-</v>
      </c>
      <c r="T16">
        <f>_xll.RssMarket("1949","年初来高値")</f>
        <v>9940</v>
      </c>
      <c r="U16">
        <f>_xll.RssMarket("1949","年初来安値")</f>
        <v>4065</v>
      </c>
      <c r="V16">
        <f>_xll.RssMarket("1949","上場来高値")</f>
        <v>9940</v>
      </c>
      <c r="W16">
        <f>_xll.RssMarket("1949","上場来安値")</f>
        <v>78</v>
      </c>
    </row>
    <row r="17" spans="1:23" x14ac:dyDescent="0.2">
      <c r="A17" t="s">
        <v>12</v>
      </c>
      <c r="B17" t="str">
        <f>_xll.RssMarket("194A","銘柄コード")</f>
        <v>194A</v>
      </c>
      <c r="C17" t="str">
        <f>_xll.RssMarket("194A","銘柄名称")</f>
        <v>ＷＯＬＶＥＳＨＡＮＤ</v>
      </c>
      <c r="D17" t="str">
        <f>_xll.RssMarket("194A","現在日付")</f>
        <v>2026/03/05</v>
      </c>
      <c r="E17">
        <f>_xll.RssMarket("194A","現在値")</f>
        <v>1810</v>
      </c>
      <c r="F17">
        <f>_xll.RssMarket("194A","時価総額")</f>
        <v>14432</v>
      </c>
      <c r="G17">
        <f>_xll.RssMarket("194A","単位株数")</f>
        <v>100</v>
      </c>
      <c r="H17">
        <f>_xll.RssMarket("194A","配当")</f>
        <v>0</v>
      </c>
      <c r="I17">
        <f>_xll.RssMarket("194A","PER")</f>
        <v>15.31</v>
      </c>
      <c r="J17">
        <f>_xll.RssMarket("194A","PBR")</f>
        <v>4.47</v>
      </c>
      <c r="K17" t="str">
        <f>_xll.RssMarket("194A","信用売残")</f>
        <v>-</v>
      </c>
      <c r="L17" t="str">
        <f>_xll.RssMarket("194A","信用売残前週比")</f>
        <v>-</v>
      </c>
      <c r="M17">
        <f>_xll.RssMarket("194A","信用買残")</f>
        <v>146200</v>
      </c>
      <c r="N17">
        <f>_xll.RssMarket("194A","信用買残前週比")</f>
        <v>-14700</v>
      </c>
      <c r="O17">
        <f>_xll.RssMarket("194A","信用倍率")</f>
        <v>0</v>
      </c>
      <c r="P17" t="str">
        <f>_xll.RssMarket("194A","配当落日")</f>
        <v>2026/06/29</v>
      </c>
      <c r="Q17" t="str">
        <f>_xll.RssMarket("194A","中配落日")</f>
        <v>2026/12/29</v>
      </c>
      <c r="R17" t="str">
        <f>_xll.RssMarket("194A","権利落日")</f>
        <v/>
      </c>
      <c r="S17" t="str">
        <f>_xll.RssMarket("194A","決算発表日")</f>
        <v>2026/02/13</v>
      </c>
      <c r="T17">
        <f>_xll.RssMarket("194A","年初来高値")</f>
        <v>2900</v>
      </c>
      <c r="U17">
        <f>_xll.RssMarket("194A","年初来安値")</f>
        <v>554</v>
      </c>
      <c r="V17">
        <f>_xll.RssMarket("194A","上場来高値")</f>
        <v>2900</v>
      </c>
      <c r="W17">
        <f>_xll.RssMarket("194A","上場来安値")</f>
        <v>554</v>
      </c>
    </row>
    <row r="18" spans="1:23" x14ac:dyDescent="0.2">
      <c r="A18">
        <v>1950</v>
      </c>
      <c r="B18">
        <f>_xll.RssMarket("1950","銘柄コード")</f>
        <v>1950</v>
      </c>
      <c r="C18" t="str">
        <f>_xll.RssMarket("1950","銘柄名称")</f>
        <v>日本電設工業</v>
      </c>
      <c r="D18" t="str">
        <f>_xll.RssMarket("1950","現在日付")</f>
        <v>2026/03/05</v>
      </c>
      <c r="E18">
        <f>_xll.RssMarket("1950","現在値")</f>
        <v>5110</v>
      </c>
      <c r="F18">
        <f>_xll.RssMarket("1950","時価総額")</f>
        <v>314455</v>
      </c>
      <c r="G18">
        <f>_xll.RssMarket("1950","単位株数")</f>
        <v>100</v>
      </c>
      <c r="H18">
        <f>_xll.RssMarket("1950","配当")</f>
        <v>115</v>
      </c>
      <c r="I18">
        <f>_xll.RssMarket("1950","PER")</f>
        <v>17.75</v>
      </c>
      <c r="J18">
        <f>_xll.RssMarket("1950","PBR")</f>
        <v>1.51</v>
      </c>
      <c r="K18">
        <f>_xll.RssMarket("1950","信用売残")</f>
        <v>22500</v>
      </c>
      <c r="L18">
        <f>_xll.RssMarket("1950","信用売残前週比")</f>
        <v>-200</v>
      </c>
      <c r="M18">
        <f>_xll.RssMarket("1950","信用買残")</f>
        <v>129700</v>
      </c>
      <c r="N18">
        <f>_xll.RssMarket("1950","信用買残前週比")</f>
        <v>4400</v>
      </c>
      <c r="O18">
        <f>_xll.RssMarket("1950","信用倍率")</f>
        <v>5.76</v>
      </c>
      <c r="P18" t="str">
        <f>_xll.RssMarket("1950","配当落日")</f>
        <v>2026/03/30</v>
      </c>
      <c r="Q18" t="str">
        <f>_xll.RssMarket("1950","中配落日")</f>
        <v/>
      </c>
      <c r="R18" t="str">
        <f>_xll.RssMarket("1950","権利落日")</f>
        <v/>
      </c>
      <c r="S18" t="str">
        <f>_xll.RssMarket("1950","決算発表日")</f>
        <v>-</v>
      </c>
      <c r="T18">
        <f>_xll.RssMarket("1950","年初来高値")</f>
        <v>5380</v>
      </c>
      <c r="U18">
        <f>_xll.RssMarket("1950","年初来安値")</f>
        <v>1800</v>
      </c>
      <c r="V18">
        <f>_xll.RssMarket("1950","上場来高値")</f>
        <v>5380</v>
      </c>
      <c r="W18">
        <f>_xll.RssMarket("1950","上場来安値")</f>
        <v>98</v>
      </c>
    </row>
    <row r="19" spans="1:23" x14ac:dyDescent="0.2">
      <c r="A19">
        <v>1951</v>
      </c>
      <c r="B19">
        <f>_xll.RssMarket("1951","銘柄コード")</f>
        <v>1951</v>
      </c>
      <c r="C19" t="str">
        <f>_xll.RssMarket("1951","銘柄名称")</f>
        <v>エクシオグループ</v>
      </c>
      <c r="D19" t="str">
        <f>_xll.RssMarket("1951","現在日付")</f>
        <v>2026/03/05</v>
      </c>
      <c r="E19">
        <f>_xll.RssMarket("1951","現在値")</f>
        <v>2843</v>
      </c>
      <c r="F19">
        <f>_xll.RssMarket("1951","時価総額")</f>
        <v>584591</v>
      </c>
      <c r="G19">
        <f>_xll.RssMarket("1951","単位株数")</f>
        <v>100</v>
      </c>
      <c r="H19">
        <f>_xll.RssMarket("1951","配当")</f>
        <v>66</v>
      </c>
      <c r="I19">
        <f>_xll.RssMarket("1951","PER")</f>
        <v>18.16</v>
      </c>
      <c r="J19">
        <f>_xll.RssMarket("1951","PBR")</f>
        <v>1.8</v>
      </c>
      <c r="K19">
        <f>_xll.RssMarket("1951","信用売残")</f>
        <v>21100</v>
      </c>
      <c r="L19">
        <f>_xll.RssMarket("1951","信用売残前週比")</f>
        <v>2400</v>
      </c>
      <c r="M19">
        <f>_xll.RssMarket("1951","信用買残")</f>
        <v>129800</v>
      </c>
      <c r="N19">
        <f>_xll.RssMarket("1951","信用買残前週比")</f>
        <v>-7900</v>
      </c>
      <c r="O19">
        <f>_xll.RssMarket("1951","信用倍率")</f>
        <v>6.15</v>
      </c>
      <c r="P19" t="str">
        <f>_xll.RssMarket("1951","配当落日")</f>
        <v>2026/03/30</v>
      </c>
      <c r="Q19" t="str">
        <f>_xll.RssMarket("1951","中配落日")</f>
        <v>2026/09/29</v>
      </c>
      <c r="R19" t="str">
        <f>_xll.RssMarket("1951","権利落日")</f>
        <v>2024/03/28</v>
      </c>
      <c r="S19" t="str">
        <f>_xll.RssMarket("1951","決算発表日")</f>
        <v>2026/02/06</v>
      </c>
      <c r="T19">
        <f>_xll.RssMarket("1951","年初来高値")</f>
        <v>3003</v>
      </c>
      <c r="U19">
        <f>_xll.RssMarket("1951","年初来安値")</f>
        <v>1502</v>
      </c>
      <c r="V19">
        <f>_xll.RssMarket("1951","上場来高値")</f>
        <v>3410</v>
      </c>
      <c r="W19">
        <f>_xll.RssMarket("1951","上場来安値")</f>
        <v>85</v>
      </c>
    </row>
    <row r="20" spans="1:23" x14ac:dyDescent="0.2">
      <c r="A20">
        <v>1952</v>
      </c>
      <c r="B20">
        <f>_xll.RssMarket("1952","銘柄コード")</f>
        <v>1952</v>
      </c>
      <c r="C20" t="str">
        <f>_xll.RssMarket("1952","銘柄名称")</f>
        <v>新日本空調</v>
      </c>
      <c r="D20" t="str">
        <f>_xll.RssMarket("1952","現在日付")</f>
        <v>2026/03/05</v>
      </c>
      <c r="E20">
        <f>_xll.RssMarket("1952","現在値")</f>
        <v>3915</v>
      </c>
      <c r="F20">
        <f>_xll.RssMarket("1952","時価総額")</f>
        <v>190129</v>
      </c>
      <c r="G20">
        <f>_xll.RssMarket("1952","単位株数")</f>
        <v>100</v>
      </c>
      <c r="H20">
        <f>_xll.RssMarket("1952","配当")</f>
        <v>110</v>
      </c>
      <c r="I20">
        <f>_xll.RssMarket("1952","PER")</f>
        <v>16.940000000000001</v>
      </c>
      <c r="J20">
        <f>_xll.RssMarket("1952","PBR")</f>
        <v>2.41</v>
      </c>
      <c r="K20">
        <f>_xll.RssMarket("1952","信用売残")</f>
        <v>16600</v>
      </c>
      <c r="L20">
        <f>_xll.RssMarket("1952","信用売残前週比")</f>
        <v>-3100</v>
      </c>
      <c r="M20">
        <f>_xll.RssMarket("1952","信用買残")</f>
        <v>187800</v>
      </c>
      <c r="N20">
        <f>_xll.RssMarket("1952","信用買残前週比")</f>
        <v>-2000</v>
      </c>
      <c r="O20">
        <f>_xll.RssMarket("1952","信用倍率")</f>
        <v>11.31</v>
      </c>
      <c r="P20" t="str">
        <f>_xll.RssMarket("1952","配当落日")</f>
        <v>2026/03/30</v>
      </c>
      <c r="Q20" t="str">
        <f>_xll.RssMarket("1952","中配落日")</f>
        <v>2026/09/29</v>
      </c>
      <c r="R20" t="str">
        <f>_xll.RssMarket("1952","権利落日")</f>
        <v>2024/12/27</v>
      </c>
      <c r="S20" t="str">
        <f>_xll.RssMarket("1952","決算発表日")</f>
        <v>2026/02/12</v>
      </c>
      <c r="T20">
        <f>_xll.RssMarket("1952","年初来高値")</f>
        <v>4400</v>
      </c>
      <c r="U20">
        <f>_xll.RssMarket("1952","年初来安値")</f>
        <v>1451</v>
      </c>
      <c r="V20">
        <f>_xll.RssMarket("1952","上場来高値")</f>
        <v>5190</v>
      </c>
      <c r="W20">
        <f>_xll.RssMarket("1952","上場来安値")</f>
        <v>310</v>
      </c>
    </row>
    <row r="21" spans="1:23" x14ac:dyDescent="0.2">
      <c r="A21">
        <v>1959</v>
      </c>
      <c r="B21">
        <f>_xll.RssMarket("1959","銘柄コード")</f>
        <v>1959</v>
      </c>
      <c r="C21" t="str">
        <f>_xll.RssMarket("1959","銘柄名称")</f>
        <v>クラフティア</v>
      </c>
      <c r="D21" t="str">
        <f>_xll.RssMarket("1959","現在日付")</f>
        <v>2026/03/05</v>
      </c>
      <c r="E21">
        <f>_xll.RssMarket("1959","現在値")</f>
        <v>10070</v>
      </c>
      <c r="F21">
        <f>_xll.RssMarket("1959","時価総額")</f>
        <v>713610</v>
      </c>
      <c r="G21">
        <f>_xll.RssMarket("1959","単位株数")</f>
        <v>100</v>
      </c>
      <c r="H21">
        <f>_xll.RssMarket("1959","配当")</f>
        <v>200</v>
      </c>
      <c r="I21">
        <f>_xll.RssMarket("1959","PER")</f>
        <v>19.62</v>
      </c>
      <c r="J21">
        <f>_xll.RssMarket("1959","PBR")</f>
        <v>2.2000000000000002</v>
      </c>
      <c r="K21">
        <f>_xll.RssMarket("1959","信用売残")</f>
        <v>15200</v>
      </c>
      <c r="L21">
        <f>_xll.RssMarket("1959","信用売残前週比")</f>
        <v>2200</v>
      </c>
      <c r="M21">
        <f>_xll.RssMarket("1959","信用買残")</f>
        <v>75700</v>
      </c>
      <c r="N21">
        <f>_xll.RssMarket("1959","信用買残前週比")</f>
        <v>2500</v>
      </c>
      <c r="O21">
        <f>_xll.RssMarket("1959","信用倍率")</f>
        <v>4.9800000000000004</v>
      </c>
      <c r="P21" t="str">
        <f>_xll.RssMarket("1959","配当落日")</f>
        <v>2026/03/30</v>
      </c>
      <c r="Q21" t="str">
        <f>_xll.RssMarket("1959","中配落日")</f>
        <v>2026/09/29</v>
      </c>
      <c r="R21" t="str">
        <f>_xll.RssMarket("1959","権利落日")</f>
        <v/>
      </c>
      <c r="S21" t="str">
        <f>_xll.RssMarket("1959","決算発表日")</f>
        <v>-</v>
      </c>
      <c r="T21">
        <f>_xll.RssMarket("1959","年初来高値")</f>
        <v>10580</v>
      </c>
      <c r="U21">
        <f>_xll.RssMarket("1959","年初来安値")</f>
        <v>4209</v>
      </c>
      <c r="V21">
        <f>_xll.RssMarket("1959","上場来高値")</f>
        <v>10580</v>
      </c>
      <c r="W21">
        <f>_xll.RssMarket("1959","上場来安値")</f>
        <v>276</v>
      </c>
    </row>
    <row r="22" spans="1:23" x14ac:dyDescent="0.2">
      <c r="A22" t="s">
        <v>13</v>
      </c>
      <c r="B22" t="str">
        <f>_xll.RssMarket("195A","銘柄コード")</f>
        <v>195A</v>
      </c>
      <c r="C22" t="str">
        <f>_xll.RssMarket("195A","銘柄名称")</f>
        <v>ＭＵＳＣＡＴＧＲＯＵＰ</v>
      </c>
      <c r="D22" t="str">
        <f>_xll.RssMarket("195A","現在日付")</f>
        <v>2026/03/05</v>
      </c>
      <c r="E22">
        <f>_xll.RssMarket("195A","現在値")</f>
        <v>1140</v>
      </c>
      <c r="F22">
        <f>_xll.RssMarket("195A","時価総額")</f>
        <v>3883</v>
      </c>
      <c r="G22">
        <f>_xll.RssMarket("195A","単位株数")</f>
        <v>100</v>
      </c>
      <c r="H22">
        <f>_xll.RssMarket("195A","配当")</f>
        <v>0</v>
      </c>
      <c r="I22">
        <f>_xll.RssMarket("195A","PER")</f>
        <v>0</v>
      </c>
      <c r="J22">
        <f>_xll.RssMarket("195A","PBR")</f>
        <v>3.41</v>
      </c>
      <c r="K22">
        <f>_xll.RssMarket("195A","信用売残")</f>
        <v>4100</v>
      </c>
      <c r="L22">
        <f>_xll.RssMarket("195A","信用売残前週比")</f>
        <v>4100</v>
      </c>
      <c r="M22">
        <f>_xll.RssMarket("195A","信用買残")</f>
        <v>389700</v>
      </c>
      <c r="N22">
        <f>_xll.RssMarket("195A","信用買残前週比")</f>
        <v>-11200</v>
      </c>
      <c r="O22">
        <f>_xll.RssMarket("195A","信用倍率")</f>
        <v>95.05</v>
      </c>
      <c r="P22" t="str">
        <f>_xll.RssMarket("195A","配当落日")</f>
        <v>2026/03/30</v>
      </c>
      <c r="Q22" t="str">
        <f>_xll.RssMarket("195A","中配落日")</f>
        <v>2026/09/29</v>
      </c>
      <c r="R22" t="str">
        <f>_xll.RssMarket("195A","権利落日")</f>
        <v/>
      </c>
      <c r="S22" t="str">
        <f>_xll.RssMarket("195A","決算発表日")</f>
        <v>2026/02/12</v>
      </c>
      <c r="T22">
        <f>_xll.RssMarket("195A","年初来高値")</f>
        <v>1459</v>
      </c>
      <c r="U22">
        <f>_xll.RssMarket("195A","年初来安値")</f>
        <v>650</v>
      </c>
      <c r="V22">
        <f>_xll.RssMarket("195A","上場来高値")</f>
        <v>1608</v>
      </c>
      <c r="W22">
        <f>_xll.RssMarket("195A","上場来安値")</f>
        <v>633</v>
      </c>
    </row>
    <row r="23" spans="1:23" x14ac:dyDescent="0.2">
      <c r="A23">
        <v>1960</v>
      </c>
      <c r="B23">
        <f>_xll.RssMarket("1960","銘柄コード")</f>
        <v>1960</v>
      </c>
      <c r="C23" t="str">
        <f>_xll.RssMarket("1960","銘柄名称")</f>
        <v>サンテック</v>
      </c>
      <c r="D23" t="str">
        <f>_xll.RssMarket("1960","現在日付")</f>
        <v>2026/03/05</v>
      </c>
      <c r="E23">
        <f>_xll.RssMarket("1960","現在値")</f>
        <v>1524</v>
      </c>
      <c r="F23">
        <f>_xll.RssMarket("1960","時価総額")</f>
        <v>24384</v>
      </c>
      <c r="G23">
        <f>_xll.RssMarket("1960","単位株数")</f>
        <v>100</v>
      </c>
      <c r="H23">
        <f>_xll.RssMarket("1960","配当")</f>
        <v>40</v>
      </c>
      <c r="I23">
        <f>_xll.RssMarket("1960","PER")</f>
        <v>11.41</v>
      </c>
      <c r="J23">
        <f>_xll.RssMarket("1960","PBR")</f>
        <v>0.75</v>
      </c>
      <c r="K23" t="str">
        <f>_xll.RssMarket("1960","信用売残")</f>
        <v>-</v>
      </c>
      <c r="L23" t="str">
        <f>_xll.RssMarket("1960","信用売残前週比")</f>
        <v>-</v>
      </c>
      <c r="M23">
        <f>_xll.RssMarket("1960","信用買残")</f>
        <v>513100</v>
      </c>
      <c r="N23">
        <f>_xll.RssMarket("1960","信用買残前週比")</f>
        <v>-19200</v>
      </c>
      <c r="O23">
        <f>_xll.RssMarket("1960","信用倍率")</f>
        <v>0</v>
      </c>
      <c r="P23" t="str">
        <f>_xll.RssMarket("1960","配当落日")</f>
        <v>2026/03/30</v>
      </c>
      <c r="Q23" t="str">
        <f>_xll.RssMarket("1960","中配落日")</f>
        <v/>
      </c>
      <c r="R23" t="str">
        <f>_xll.RssMarket("1960","権利落日")</f>
        <v/>
      </c>
      <c r="S23" t="str">
        <f>_xll.RssMarket("1960","決算発表日")</f>
        <v>2026/02/10</v>
      </c>
      <c r="T23">
        <f>_xll.RssMarket("1960","年初来高値")</f>
        <v>1674</v>
      </c>
      <c r="U23">
        <f>_xll.RssMarket("1960","年初来安値")</f>
        <v>681</v>
      </c>
      <c r="V23">
        <f>_xll.RssMarket("1960","上場来高値")</f>
        <v>1940</v>
      </c>
      <c r="W23">
        <f>_xll.RssMarket("1960","上場来安値")</f>
        <v>140</v>
      </c>
    </row>
    <row r="24" spans="1:23" x14ac:dyDescent="0.2">
      <c r="A24">
        <v>1961</v>
      </c>
      <c r="B24">
        <f>_xll.RssMarket("1961","銘柄コード")</f>
        <v>1961</v>
      </c>
      <c r="C24" t="str">
        <f>_xll.RssMarket("1961","銘柄名称")</f>
        <v>三機工業</v>
      </c>
      <c r="D24" t="str">
        <f>_xll.RssMarket("1961","現在日付")</f>
        <v>2026/03/05</v>
      </c>
      <c r="E24">
        <f>_xll.RssMarket("1961","現在値")</f>
        <v>7310</v>
      </c>
      <c r="F24">
        <f>_xll.RssMarket("1961","時価総額")</f>
        <v>392263</v>
      </c>
      <c r="G24">
        <f>_xll.RssMarket("1961","単位株数")</f>
        <v>100</v>
      </c>
      <c r="H24">
        <f>_xll.RssMarket("1961","配当")</f>
        <v>165</v>
      </c>
      <c r="I24">
        <f>_xll.RssMarket("1961","PER")</f>
        <v>16.989999999999998</v>
      </c>
      <c r="J24">
        <f>_xll.RssMarket("1961","PBR")</f>
        <v>3.5</v>
      </c>
      <c r="K24">
        <f>_xll.RssMarket("1961","信用売残")</f>
        <v>21700</v>
      </c>
      <c r="L24">
        <f>_xll.RssMarket("1961","信用売残前週比")</f>
        <v>4000</v>
      </c>
      <c r="M24">
        <f>_xll.RssMarket("1961","信用買残")</f>
        <v>150900</v>
      </c>
      <c r="N24">
        <f>_xll.RssMarket("1961","信用買残前週比")</f>
        <v>-11300</v>
      </c>
      <c r="O24">
        <f>_xll.RssMarket("1961","信用倍率")</f>
        <v>6.95</v>
      </c>
      <c r="P24" t="str">
        <f>_xll.RssMarket("1961","配当落日")</f>
        <v>2026/03/30</v>
      </c>
      <c r="Q24" t="str">
        <f>_xll.RssMarket("1961","中配落日")</f>
        <v>2026/09/29</v>
      </c>
      <c r="R24" t="str">
        <f>_xll.RssMarket("1961","権利落日")</f>
        <v>2026/04/28</v>
      </c>
      <c r="S24" t="str">
        <f>_xll.RssMarket("1961","決算発表日")</f>
        <v>2026/02/13</v>
      </c>
      <c r="T24">
        <f>_xll.RssMarket("1961","年初来高値")</f>
        <v>7940</v>
      </c>
      <c r="U24">
        <f>_xll.RssMarket("1961","年初来安値")</f>
        <v>2805</v>
      </c>
      <c r="V24">
        <f>_xll.RssMarket("1961","上場来高値")</f>
        <v>7940</v>
      </c>
      <c r="W24">
        <f>_xll.RssMarket("1961","上場来安値")</f>
        <v>52</v>
      </c>
    </row>
    <row r="25" spans="1:23" x14ac:dyDescent="0.2">
      <c r="A25">
        <v>1963</v>
      </c>
      <c r="B25">
        <f>_xll.RssMarket("1963","銘柄コード")</f>
        <v>1963</v>
      </c>
      <c r="C25" t="str">
        <f>_xll.RssMarket("1963","銘柄名称")</f>
        <v>日揮ホールディングス</v>
      </c>
      <c r="D25" t="str">
        <f>_xll.RssMarket("1963","現在日付")</f>
        <v>2026/03/05</v>
      </c>
      <c r="E25">
        <f>_xll.RssMarket("1963","現在値")</f>
        <v>2257.5</v>
      </c>
      <c r="F25">
        <f>_xll.RssMarket("1963","時価総額")</f>
        <v>551491</v>
      </c>
      <c r="G25">
        <f>_xll.RssMarket("1963","単位株数")</f>
        <v>100</v>
      </c>
      <c r="H25">
        <f>_xll.RssMarket("1963","配当")</f>
        <v>40</v>
      </c>
      <c r="I25">
        <f>_xll.RssMarket("1963","PER")</f>
        <v>18.2</v>
      </c>
      <c r="J25">
        <f>_xll.RssMarket("1963","PBR")</f>
        <v>1.32</v>
      </c>
      <c r="K25">
        <f>_xll.RssMarket("1963","信用売残")</f>
        <v>91000</v>
      </c>
      <c r="L25">
        <f>_xll.RssMarket("1963","信用売残前週比")</f>
        <v>19600</v>
      </c>
      <c r="M25">
        <f>_xll.RssMarket("1963","信用買残")</f>
        <v>1470500</v>
      </c>
      <c r="N25">
        <f>_xll.RssMarket("1963","信用買残前週比")</f>
        <v>-58500</v>
      </c>
      <c r="O25">
        <f>_xll.RssMarket("1963","信用倍率")</f>
        <v>16.16</v>
      </c>
      <c r="P25" t="str">
        <f>_xll.RssMarket("1963","配当落日")</f>
        <v>2026/03/30</v>
      </c>
      <c r="Q25" t="str">
        <f>_xll.RssMarket("1963","中配落日")</f>
        <v/>
      </c>
      <c r="R25" t="str">
        <f>_xll.RssMarket("1963","権利落日")</f>
        <v/>
      </c>
      <c r="S25" t="str">
        <f>_xll.RssMarket("1963","決算発表日")</f>
        <v>2026/02/10</v>
      </c>
      <c r="T25">
        <f>_xll.RssMarket("1963","年初来高値")</f>
        <v>2571</v>
      </c>
      <c r="U25">
        <f>_xll.RssMarket("1963","年初来安値")</f>
        <v>940.6</v>
      </c>
      <c r="V25">
        <f>_xll.RssMarket("1963","上場来高値")</f>
        <v>4259</v>
      </c>
      <c r="W25">
        <f>_xll.RssMarket("1963","上場来安値")</f>
        <v>160</v>
      </c>
    </row>
    <row r="26" spans="1:23" x14ac:dyDescent="0.2">
      <c r="A26">
        <v>1964</v>
      </c>
      <c r="B26">
        <f>_xll.RssMarket("1964","銘柄コード")</f>
        <v>1964</v>
      </c>
      <c r="C26" t="str">
        <f>_xll.RssMarket("1964","銘柄名称")</f>
        <v>中外炉工業</v>
      </c>
      <c r="D26" t="str">
        <f>_xll.RssMarket("1964","現在日付")</f>
        <v>2026/03/05</v>
      </c>
      <c r="E26">
        <f>_xll.RssMarket("1964","現在値")</f>
        <v>4800</v>
      </c>
      <c r="F26">
        <f>_xll.RssMarket("1964","時価総額")</f>
        <v>37440</v>
      </c>
      <c r="G26">
        <f>_xll.RssMarket("1964","単位株数")</f>
        <v>100</v>
      </c>
      <c r="H26">
        <f>_xll.RssMarket("1964","配当")</f>
        <v>150</v>
      </c>
      <c r="I26">
        <f>_xll.RssMarket("1964","PER")</f>
        <v>9.3800000000000008</v>
      </c>
      <c r="J26">
        <f>_xll.RssMarket("1964","PBR")</f>
        <v>1.23</v>
      </c>
      <c r="K26">
        <f>_xll.RssMarket("1964","信用売残")</f>
        <v>4700</v>
      </c>
      <c r="L26">
        <f>_xll.RssMarket("1964","信用売残前週比")</f>
        <v>300</v>
      </c>
      <c r="M26">
        <f>_xll.RssMarket("1964","信用買残")</f>
        <v>44900</v>
      </c>
      <c r="N26">
        <f>_xll.RssMarket("1964","信用買残前週比")</f>
        <v>-3600</v>
      </c>
      <c r="O26">
        <f>_xll.RssMarket("1964","信用倍率")</f>
        <v>9.5500000000000007</v>
      </c>
      <c r="P26" t="str">
        <f>_xll.RssMarket("1964","配当落日")</f>
        <v>2026/03/30</v>
      </c>
      <c r="Q26" t="str">
        <f>_xll.RssMarket("1964","中配落日")</f>
        <v/>
      </c>
      <c r="R26" t="str">
        <f>_xll.RssMarket("1964","権利落日")</f>
        <v/>
      </c>
      <c r="S26" t="str">
        <f>_xll.RssMarket("1964","決算発表日")</f>
        <v>-</v>
      </c>
      <c r="T26">
        <f>_xll.RssMarket("1964","年初来高値")</f>
        <v>5220</v>
      </c>
      <c r="U26">
        <f>_xll.RssMarket("1964","年初来安値")</f>
        <v>2723</v>
      </c>
      <c r="V26">
        <f>_xll.RssMarket("1964","上場来高値")</f>
        <v>5220</v>
      </c>
      <c r="W26">
        <f>_xll.RssMarket("1964","上場来安値")</f>
        <v>81</v>
      </c>
    </row>
    <row r="27" spans="1:23" x14ac:dyDescent="0.2">
      <c r="A27">
        <v>1965</v>
      </c>
      <c r="B27">
        <f>_xll.RssMarket("1965","銘柄コード")</f>
        <v>1965</v>
      </c>
      <c r="C27" t="str">
        <f>_xll.RssMarket("1965","銘柄名称")</f>
        <v>テクノ菱和</v>
      </c>
      <c r="D27" t="str">
        <f>_xll.RssMarket("1965","現在日付")</f>
        <v>2026/03/05</v>
      </c>
      <c r="E27">
        <f>_xll.RssMarket("1965","現在値")</f>
        <v>6960</v>
      </c>
      <c r="F27">
        <f>_xll.RssMarket("1965","時価総額")</f>
        <v>147751</v>
      </c>
      <c r="G27">
        <f>_xll.RssMarket("1965","単位株数")</f>
        <v>100</v>
      </c>
      <c r="H27">
        <f>_xll.RssMarket("1965","配当")</f>
        <v>108</v>
      </c>
      <c r="I27">
        <f>_xll.RssMarket("1965","PER")</f>
        <v>14.27</v>
      </c>
      <c r="J27">
        <f>_xll.RssMarket("1965","PBR")</f>
        <v>2.58</v>
      </c>
      <c r="K27">
        <f>_xll.RssMarket("1965","信用売残")</f>
        <v>11000</v>
      </c>
      <c r="L27">
        <f>_xll.RssMarket("1965","信用売残前週比")</f>
        <v>-400</v>
      </c>
      <c r="M27">
        <f>_xll.RssMarket("1965","信用買残")</f>
        <v>118100</v>
      </c>
      <c r="N27">
        <f>_xll.RssMarket("1965","信用買残前週比")</f>
        <v>1100</v>
      </c>
      <c r="O27">
        <f>_xll.RssMarket("1965","信用倍率")</f>
        <v>10.74</v>
      </c>
      <c r="P27" t="str">
        <f>_xll.RssMarket("1965","配当落日")</f>
        <v>2026/03/30</v>
      </c>
      <c r="Q27" t="str">
        <f>_xll.RssMarket("1965","中配落日")</f>
        <v>2026/09/29</v>
      </c>
      <c r="R27" t="str">
        <f>_xll.RssMarket("1965","権利落日")</f>
        <v/>
      </c>
      <c r="S27" t="str">
        <f>_xll.RssMarket("1965","決算発表日")</f>
        <v>2026/02/06</v>
      </c>
      <c r="T27">
        <f>_xll.RssMarket("1965","年初来高値")</f>
        <v>9340</v>
      </c>
      <c r="U27">
        <f>_xll.RssMarket("1965","年初来安値")</f>
        <v>2000</v>
      </c>
      <c r="V27">
        <f>_xll.RssMarket("1965","上場来高値")</f>
        <v>9340</v>
      </c>
      <c r="W27">
        <f>_xll.RssMarket("1965","上場来安値")</f>
        <v>284</v>
      </c>
    </row>
    <row r="28" spans="1:23" x14ac:dyDescent="0.2">
      <c r="A28">
        <v>1966</v>
      </c>
      <c r="B28">
        <f>_xll.RssMarket("1966","銘柄コード")</f>
        <v>1966</v>
      </c>
      <c r="C28" t="str">
        <f>_xll.RssMarket("1966","銘柄名称")</f>
        <v>高田工業所</v>
      </c>
      <c r="D28" t="str">
        <f>_xll.RssMarket("1966","現在日付")</f>
        <v>2026/03/05</v>
      </c>
      <c r="E28">
        <f>_xll.RssMarket("1966","現在値")</f>
        <v>1879</v>
      </c>
      <c r="F28">
        <f>_xll.RssMarket("1966","時価総額")</f>
        <v>13781</v>
      </c>
      <c r="G28">
        <f>_xll.RssMarket("1966","単位株数")</f>
        <v>100</v>
      </c>
      <c r="H28">
        <f>_xll.RssMarket("1966","配当")</f>
        <v>70</v>
      </c>
      <c r="I28">
        <f>_xll.RssMarket("1966","PER")</f>
        <v>13.76</v>
      </c>
      <c r="J28">
        <f>_xll.RssMarket("1966","PBR")</f>
        <v>0.68</v>
      </c>
      <c r="K28">
        <f>_xll.RssMarket("1966","信用売残")</f>
        <v>2300</v>
      </c>
      <c r="L28">
        <f>_xll.RssMarket("1966","信用売残前週比")</f>
        <v>-100</v>
      </c>
      <c r="M28">
        <f>_xll.RssMarket("1966","信用買残")</f>
        <v>82700</v>
      </c>
      <c r="N28">
        <f>_xll.RssMarket("1966","信用買残前週比")</f>
        <v>-6700</v>
      </c>
      <c r="O28">
        <f>_xll.RssMarket("1966","信用倍率")</f>
        <v>35.96</v>
      </c>
      <c r="P28" t="str">
        <f>_xll.RssMarket("1966","配当落日")</f>
        <v>2026/03/30</v>
      </c>
      <c r="Q28" t="str">
        <f>_xll.RssMarket("1966","中配落日")</f>
        <v>2026/09/29</v>
      </c>
      <c r="R28" t="str">
        <f>_xll.RssMarket("1966","権利落日")</f>
        <v/>
      </c>
      <c r="S28" t="str">
        <f>_xll.RssMarket("1966","決算発表日")</f>
        <v>2026/02/06</v>
      </c>
      <c r="T28">
        <f>_xll.RssMarket("1966","年初来高値")</f>
        <v>2049</v>
      </c>
      <c r="U28">
        <f>_xll.RssMarket("1966","年初来安値")</f>
        <v>1160</v>
      </c>
      <c r="V28">
        <f>_xll.RssMarket("1966","上場来高値")</f>
        <v>3600</v>
      </c>
      <c r="W28">
        <f>_xll.RssMarket("1966","上場来安値")</f>
        <v>52</v>
      </c>
    </row>
    <row r="29" spans="1:23" x14ac:dyDescent="0.2">
      <c r="A29">
        <v>1967</v>
      </c>
      <c r="B29">
        <f>_xll.RssMarket("1967","銘柄コード")</f>
        <v>1967</v>
      </c>
      <c r="C29" t="str">
        <f>_xll.RssMarket("1967","銘柄名称")</f>
        <v>ヤマト</v>
      </c>
      <c r="D29" t="str">
        <f>_xll.RssMarket("1967","現在日付")</f>
        <v>2026/03/05</v>
      </c>
      <c r="E29">
        <f>_xll.RssMarket("1967","現在値")</f>
        <v>2333</v>
      </c>
      <c r="F29">
        <f>_xll.RssMarket("1967","時価総額")</f>
        <v>56289</v>
      </c>
      <c r="G29">
        <f>_xll.RssMarket("1967","単位株数")</f>
        <v>100</v>
      </c>
      <c r="H29">
        <f>_xll.RssMarket("1967","配当")</f>
        <v>56</v>
      </c>
      <c r="I29">
        <f>_xll.RssMarket("1967","PER")</f>
        <v>12.14</v>
      </c>
      <c r="J29">
        <f>_xll.RssMarket("1967","PBR")</f>
        <v>1.34</v>
      </c>
      <c r="K29">
        <f>_xll.RssMarket("1967","信用売残")</f>
        <v>6000</v>
      </c>
      <c r="L29">
        <f>_xll.RssMarket("1967","信用売残前週比")</f>
        <v>1200</v>
      </c>
      <c r="M29">
        <f>_xll.RssMarket("1967","信用買残")</f>
        <v>144000</v>
      </c>
      <c r="N29">
        <f>_xll.RssMarket("1967","信用買残前週比")</f>
        <v>800</v>
      </c>
      <c r="O29">
        <f>_xll.RssMarket("1967","信用倍率")</f>
        <v>24</v>
      </c>
      <c r="P29" t="str">
        <f>_xll.RssMarket("1967","配当落日")</f>
        <v>2026/03/18</v>
      </c>
      <c r="Q29" t="str">
        <f>_xll.RssMarket("1967","中配落日")</f>
        <v>2026/09/17</v>
      </c>
      <c r="R29" t="str">
        <f>_xll.RssMarket("1967","権利落日")</f>
        <v/>
      </c>
      <c r="S29" t="str">
        <f>_xll.RssMarket("1967","決算発表日")</f>
        <v>-</v>
      </c>
      <c r="T29">
        <f>_xll.RssMarket("1967","年初来高値")</f>
        <v>2529</v>
      </c>
      <c r="U29">
        <f>_xll.RssMarket("1967","年初来安値")</f>
        <v>1150</v>
      </c>
      <c r="V29">
        <f>_xll.RssMarket("1967","上場来高値")</f>
        <v>2529</v>
      </c>
      <c r="W29">
        <f>_xll.RssMarket("1967","上場来安値")</f>
        <v>65</v>
      </c>
    </row>
    <row r="30" spans="1:23" x14ac:dyDescent="0.2">
      <c r="A30">
        <v>1968</v>
      </c>
      <c r="B30">
        <f>_xll.RssMarket("1968","銘柄コード")</f>
        <v>1968</v>
      </c>
      <c r="C30" t="str">
        <f>_xll.RssMarket("1968","銘柄名称")</f>
        <v>太平電業</v>
      </c>
      <c r="D30" t="str">
        <f>_xll.RssMarket("1968","現在日付")</f>
        <v>2026/03/05</v>
      </c>
      <c r="E30">
        <f>_xll.RssMarket("1968","現在値")</f>
        <v>2929</v>
      </c>
      <c r="F30">
        <f>_xll.RssMarket("1968","時価総額")</f>
        <v>190958</v>
      </c>
      <c r="G30">
        <f>_xll.RssMarket("1968","単位株数")</f>
        <v>100</v>
      </c>
      <c r="H30">
        <f>_xll.RssMarket("1968","配当")</f>
        <v>70</v>
      </c>
      <c r="I30">
        <f>_xll.RssMarket("1968","PER")</f>
        <v>17.43</v>
      </c>
      <c r="J30">
        <f>_xll.RssMarket("1968","PBR")</f>
        <v>1.57</v>
      </c>
      <c r="K30">
        <f>_xll.RssMarket("1968","信用売残")</f>
        <v>13700</v>
      </c>
      <c r="L30">
        <f>_xll.RssMarket("1968","信用売残前週比")</f>
        <v>-5100</v>
      </c>
      <c r="M30">
        <f>_xll.RssMarket("1968","信用買残")</f>
        <v>199300</v>
      </c>
      <c r="N30">
        <f>_xll.RssMarket("1968","信用買残前週比")</f>
        <v>2400</v>
      </c>
      <c r="O30">
        <f>_xll.RssMarket("1968","信用倍率")</f>
        <v>14.55</v>
      </c>
      <c r="P30" t="str">
        <f>_xll.RssMarket("1968","配当落日")</f>
        <v>2026/03/30</v>
      </c>
      <c r="Q30" t="str">
        <f>_xll.RssMarket("1968","中配落日")</f>
        <v/>
      </c>
      <c r="R30" t="str">
        <f>_xll.RssMarket("1968","権利落日")</f>
        <v>2025/09/29</v>
      </c>
      <c r="S30" t="str">
        <f>_xll.RssMarket("1968","決算発表日")</f>
        <v>2026/02/06</v>
      </c>
      <c r="T30">
        <f>_xll.RssMarket("1968","年初来高値")</f>
        <v>3165</v>
      </c>
      <c r="U30">
        <f>_xll.RssMarket("1968","年初来安値")</f>
        <v>2003</v>
      </c>
      <c r="V30">
        <f>_xll.RssMarket("1968","上場来高値")</f>
        <v>7050</v>
      </c>
      <c r="W30">
        <f>_xll.RssMarket("1968","上場来安値")</f>
        <v>225</v>
      </c>
    </row>
    <row r="31" spans="1:23" x14ac:dyDescent="0.2">
      <c r="A31">
        <v>1969</v>
      </c>
      <c r="B31">
        <f>_xll.RssMarket("1969","銘柄コード")</f>
        <v>1969</v>
      </c>
      <c r="C31" t="str">
        <f>_xll.RssMarket("1969","銘柄名称")</f>
        <v>高砂熱学</v>
      </c>
      <c r="D31" t="str">
        <f>_xll.RssMarket("1969","現在日付")</f>
        <v>2026/03/05</v>
      </c>
      <c r="E31">
        <f>_xll.RssMarket("1969","現在値")</f>
        <v>5072</v>
      </c>
      <c r="F31">
        <f>_xll.RssMarket("1969","時価総額")</f>
        <v>712508</v>
      </c>
      <c r="G31">
        <f>_xll.RssMarket("1969","単位株数")</f>
        <v>100</v>
      </c>
      <c r="H31">
        <f>_xll.RssMarket("1969","配当")</f>
        <v>112</v>
      </c>
      <c r="I31">
        <f>_xll.RssMarket("1969","PER")</f>
        <v>18.18</v>
      </c>
      <c r="J31">
        <f>_xll.RssMarket("1969","PBR")</f>
        <v>3.45</v>
      </c>
      <c r="K31">
        <f>_xll.RssMarket("1969","信用売残")</f>
        <v>40900</v>
      </c>
      <c r="L31">
        <f>_xll.RssMarket("1969","信用売残前週比")</f>
        <v>2000</v>
      </c>
      <c r="M31">
        <f>_xll.RssMarket("1969","信用買残")</f>
        <v>438700</v>
      </c>
      <c r="N31">
        <f>_xll.RssMarket("1969","信用買残前週比")</f>
        <v>48700</v>
      </c>
      <c r="O31">
        <f>_xll.RssMarket("1969","信用倍率")</f>
        <v>10.73</v>
      </c>
      <c r="P31" t="str">
        <f>_xll.RssMarket("1969","配当落日")</f>
        <v>2026/03/30</v>
      </c>
      <c r="Q31" t="str">
        <f>_xll.RssMarket("1969","中配落日")</f>
        <v>2026/09/29</v>
      </c>
      <c r="R31" t="str">
        <f>_xll.RssMarket("1969","権利落日")</f>
        <v>2025/09/29</v>
      </c>
      <c r="S31" t="str">
        <f>_xll.RssMarket("1969","決算発表日")</f>
        <v>2026/02/13</v>
      </c>
      <c r="T31">
        <f>_xll.RssMarket("1969","年初来高値")</f>
        <v>5749</v>
      </c>
      <c r="U31">
        <f>_xll.RssMarket("1969","年初来安値")</f>
        <v>3955</v>
      </c>
      <c r="V31">
        <f>_xll.RssMarket("1969","上場来高値")</f>
        <v>9167</v>
      </c>
      <c r="W31">
        <f>_xll.RssMarket("1969","上場来安値")</f>
        <v>200</v>
      </c>
    </row>
    <row r="32" spans="1:23" x14ac:dyDescent="0.2">
      <c r="A32" t="s">
        <v>14</v>
      </c>
      <c r="B32" t="str">
        <f>_xll.RssMarket("196A","銘柄コード")</f>
        <v>196A</v>
      </c>
      <c r="C32" t="str">
        <f>_xll.RssMarket("196A","銘柄名称")</f>
        <v>ＭＦＳ</v>
      </c>
      <c r="D32" t="str">
        <f>_xll.RssMarket("196A","現在日付")</f>
        <v>2026/03/05</v>
      </c>
      <c r="E32">
        <f>_xll.RssMarket("196A","現在値")</f>
        <v>249</v>
      </c>
      <c r="F32">
        <f>_xll.RssMarket("196A","時価総額")</f>
        <v>2539</v>
      </c>
      <c r="G32">
        <f>_xll.RssMarket("196A","単位株数")</f>
        <v>100</v>
      </c>
      <c r="H32">
        <f>_xll.RssMarket("196A","配当")</f>
        <v>0</v>
      </c>
      <c r="I32">
        <f>_xll.RssMarket("196A","PER")</f>
        <v>16.93</v>
      </c>
      <c r="J32">
        <f>_xll.RssMarket("196A","PBR")</f>
        <v>1.04</v>
      </c>
      <c r="K32" t="str">
        <f>_xll.RssMarket("196A","信用売残")</f>
        <v>-</v>
      </c>
      <c r="L32" t="str">
        <f>_xll.RssMarket("196A","信用売残前週比")</f>
        <v>-</v>
      </c>
      <c r="M32">
        <f>_xll.RssMarket("196A","信用買残")</f>
        <v>1002400</v>
      </c>
      <c r="N32">
        <f>_xll.RssMarket("196A","信用買残前週比")</f>
        <v>1300</v>
      </c>
      <c r="O32">
        <f>_xll.RssMarket("196A","信用倍率")</f>
        <v>0</v>
      </c>
      <c r="P32" t="str">
        <f>_xll.RssMarket("196A","配当落日")</f>
        <v>2026/06/29</v>
      </c>
      <c r="Q32" t="str">
        <f>_xll.RssMarket("196A","中配落日")</f>
        <v>2026/12/29</v>
      </c>
      <c r="R32" t="str">
        <f>_xll.RssMarket("196A","権利落日")</f>
        <v/>
      </c>
      <c r="S32" t="str">
        <f>_xll.RssMarket("196A","決算発表日")</f>
        <v>2026/02/13</v>
      </c>
      <c r="T32">
        <f>_xll.RssMarket("196A","年初来高値")</f>
        <v>578</v>
      </c>
      <c r="U32">
        <f>_xll.RssMarket("196A","年初来安値")</f>
        <v>231</v>
      </c>
      <c r="V32">
        <f>_xll.RssMarket("196A","上場来高値")</f>
        <v>578</v>
      </c>
      <c r="W32">
        <f>_xll.RssMarket("196A","上場来安値")</f>
        <v>231</v>
      </c>
    </row>
    <row r="33" spans="1:23" x14ac:dyDescent="0.2">
      <c r="A33">
        <v>1972</v>
      </c>
      <c r="B33">
        <f>_xll.RssMarket("1972","銘柄コード")</f>
        <v>1972</v>
      </c>
      <c r="C33" t="str">
        <f>_xll.RssMarket("1972","銘柄名称")</f>
        <v>三晃金属</v>
      </c>
      <c r="D33" t="str">
        <f>_xll.RssMarket("1972","現在日付")</f>
        <v>2026/03/05</v>
      </c>
      <c r="E33">
        <f>_xll.RssMarket("1972","現在値")</f>
        <v>1430</v>
      </c>
      <c r="F33">
        <f>_xll.RssMarket("1972","時価総額")</f>
        <v>28314</v>
      </c>
      <c r="G33">
        <f>_xll.RssMarket("1972","単位株数")</f>
        <v>100</v>
      </c>
      <c r="H33">
        <f>_xll.RssMarket("1972","配当")</f>
        <v>69</v>
      </c>
      <c r="I33">
        <f>_xll.RssMarket("1972","PER")</f>
        <v>10.28</v>
      </c>
      <c r="J33">
        <f>_xll.RssMarket("1972","PBR")</f>
        <v>1.02</v>
      </c>
      <c r="K33">
        <f>_xll.RssMarket("1972","信用売残")</f>
        <v>2900</v>
      </c>
      <c r="L33">
        <f>_xll.RssMarket("1972","信用売残前週比")</f>
        <v>700</v>
      </c>
      <c r="M33">
        <f>_xll.RssMarket("1972","信用買残")</f>
        <v>479200</v>
      </c>
      <c r="N33">
        <f>_xll.RssMarket("1972","信用買残前週比")</f>
        <v>-4500</v>
      </c>
      <c r="O33">
        <f>_xll.RssMarket("1972","信用倍率")</f>
        <v>165.24</v>
      </c>
      <c r="P33" t="str">
        <f>_xll.RssMarket("1972","配当落日")</f>
        <v>2026/03/30</v>
      </c>
      <c r="Q33" t="str">
        <f>_xll.RssMarket("1972","中配落日")</f>
        <v>2026/09/29</v>
      </c>
      <c r="R33" t="str">
        <f>_xll.RssMarket("1972","権利落日")</f>
        <v>2025/09/29</v>
      </c>
      <c r="S33" t="str">
        <f>_xll.RssMarket("1972","決算発表日")</f>
        <v>-</v>
      </c>
      <c r="T33">
        <f>_xll.RssMarket("1972","年初来高値")</f>
        <v>1583</v>
      </c>
      <c r="U33">
        <f>_xll.RssMarket("1972","年初来安値")</f>
        <v>1351</v>
      </c>
      <c r="V33">
        <f>_xll.RssMarket("1972","上場来高値")</f>
        <v>8670</v>
      </c>
      <c r="W33">
        <f>_xll.RssMarket("1972","上場来安値")</f>
        <v>60</v>
      </c>
    </row>
    <row r="34" spans="1:23" x14ac:dyDescent="0.2">
      <c r="A34">
        <v>1975</v>
      </c>
      <c r="B34">
        <f>_xll.RssMarket("1975","銘柄コード")</f>
        <v>1975</v>
      </c>
      <c r="C34" t="str">
        <f>_xll.RssMarket("1975","銘柄名称")</f>
        <v>朝日工業社</v>
      </c>
      <c r="D34" t="str">
        <f>_xll.RssMarket("1975","現在日付")</f>
        <v>2026/03/05</v>
      </c>
      <c r="E34">
        <f>_xll.RssMarket("1975","現在値")</f>
        <v>4295</v>
      </c>
      <c r="F34">
        <f>_xll.RssMarket("1975","時価総額")</f>
        <v>116824</v>
      </c>
      <c r="G34">
        <f>_xll.RssMarket("1975","単位株数")</f>
        <v>100</v>
      </c>
      <c r="H34">
        <f>_xll.RssMarket("1975","配当")</f>
        <v>135</v>
      </c>
      <c r="I34">
        <f>_xll.RssMarket("1975","PER")</f>
        <v>13.89</v>
      </c>
      <c r="J34">
        <f>_xll.RssMarket("1975","PBR")</f>
        <v>2.52</v>
      </c>
      <c r="K34">
        <f>_xll.RssMarket("1975","信用売残")</f>
        <v>12800</v>
      </c>
      <c r="L34">
        <f>_xll.RssMarket("1975","信用売残前週比")</f>
        <v>400</v>
      </c>
      <c r="M34">
        <f>_xll.RssMarket("1975","信用買残")</f>
        <v>100600</v>
      </c>
      <c r="N34">
        <f>_xll.RssMarket("1975","信用買残前週比")</f>
        <v>-19600</v>
      </c>
      <c r="O34">
        <f>_xll.RssMarket("1975","信用倍率")</f>
        <v>7.86</v>
      </c>
      <c r="P34" t="str">
        <f>_xll.RssMarket("1975","配当落日")</f>
        <v>2026/03/30</v>
      </c>
      <c r="Q34" t="str">
        <f>_xll.RssMarket("1975","中配落日")</f>
        <v>2026/09/29</v>
      </c>
      <c r="R34" t="str">
        <f>_xll.RssMarket("1975","権利落日")</f>
        <v>2024/03/28</v>
      </c>
      <c r="S34" t="str">
        <f>_xll.RssMarket("1975","決算発表日")</f>
        <v>2026/02/12</v>
      </c>
      <c r="T34">
        <f>_xll.RssMarket("1975","年初来高値")</f>
        <v>4825</v>
      </c>
      <c r="U34">
        <f>_xll.RssMarket("1975","年初来安値")</f>
        <v>1620</v>
      </c>
      <c r="V34">
        <f>_xll.RssMarket("1975","上場来高値")</f>
        <v>4825</v>
      </c>
      <c r="W34">
        <f>_xll.RssMarket("1975","上場来安値")</f>
        <v>173</v>
      </c>
    </row>
    <row r="35" spans="1:23" x14ac:dyDescent="0.2">
      <c r="A35">
        <v>1976</v>
      </c>
      <c r="B35">
        <f>_xll.RssMarket("1976","銘柄コード")</f>
        <v>1976</v>
      </c>
      <c r="C35" t="str">
        <f>_xll.RssMarket("1976","銘柄名称")</f>
        <v>明星工業</v>
      </c>
      <c r="D35" t="str">
        <f>_xll.RssMarket("1976","現在日付")</f>
        <v>2026/03/05</v>
      </c>
      <c r="E35">
        <f>_xll.RssMarket("1976","現在値")</f>
        <v>1919</v>
      </c>
      <c r="F35">
        <f>_xll.RssMarket("1976","時価総額")</f>
        <v>105769</v>
      </c>
      <c r="G35">
        <f>_xll.RssMarket("1976","単位株数")</f>
        <v>100</v>
      </c>
      <c r="H35">
        <f>_xll.RssMarket("1976","配当")</f>
        <v>60</v>
      </c>
      <c r="I35">
        <f>_xll.RssMarket("1976","PER")</f>
        <v>16.309999999999999</v>
      </c>
      <c r="J35">
        <f>_xll.RssMarket("1976","PBR")</f>
        <v>1.32</v>
      </c>
      <c r="K35">
        <f>_xll.RssMarket("1976","信用売残")</f>
        <v>77800</v>
      </c>
      <c r="L35">
        <f>_xll.RssMarket("1976","信用売残前週比")</f>
        <v>6100</v>
      </c>
      <c r="M35">
        <f>_xll.RssMarket("1976","信用買残")</f>
        <v>55700</v>
      </c>
      <c r="N35">
        <f>_xll.RssMarket("1976","信用買残前週比")</f>
        <v>2900</v>
      </c>
      <c r="O35">
        <f>_xll.RssMarket("1976","信用倍率")</f>
        <v>0.72</v>
      </c>
      <c r="P35" t="str">
        <f>_xll.RssMarket("1976","配当落日")</f>
        <v>2026/03/30</v>
      </c>
      <c r="Q35" t="str">
        <f>_xll.RssMarket("1976","中配落日")</f>
        <v>2026/09/29</v>
      </c>
      <c r="R35" t="str">
        <f>_xll.RssMarket("1976","権利落日")</f>
        <v/>
      </c>
      <c r="S35" t="str">
        <f>_xll.RssMarket("1976","決算発表日")</f>
        <v>-</v>
      </c>
      <c r="T35">
        <f>_xll.RssMarket("1976","年初来高値")</f>
        <v>2049</v>
      </c>
      <c r="U35">
        <f>_xll.RssMarket("1976","年初来安値")</f>
        <v>1086</v>
      </c>
      <c r="V35">
        <f>_xll.RssMarket("1976","上場来高値")</f>
        <v>2200</v>
      </c>
      <c r="W35">
        <f>_xll.RssMarket("1976","上場来安値")</f>
        <v>105</v>
      </c>
    </row>
    <row r="36" spans="1:23" x14ac:dyDescent="0.2">
      <c r="A36">
        <v>1979</v>
      </c>
      <c r="B36">
        <f>_xll.RssMarket("1979","銘柄コード")</f>
        <v>1979</v>
      </c>
      <c r="C36" t="str">
        <f>_xll.RssMarket("1979","銘柄名称")</f>
        <v>大氣社</v>
      </c>
      <c r="D36" t="str">
        <f>_xll.RssMarket("1979","現在日付")</f>
        <v>2026/03/05</v>
      </c>
      <c r="E36">
        <f>_xll.RssMarket("1979","現在値")</f>
        <v>3670</v>
      </c>
      <c r="F36">
        <f>_xll.RssMarket("1979","時価総額")</f>
        <v>232912</v>
      </c>
      <c r="G36">
        <f>_xll.RssMarket("1979","単位株数")</f>
        <v>100</v>
      </c>
      <c r="H36">
        <f>_xll.RssMarket("1979","配当")</f>
        <v>94</v>
      </c>
      <c r="I36">
        <f>_xll.RssMarket("1979","PER")</f>
        <v>15.44</v>
      </c>
      <c r="J36">
        <f>_xll.RssMarket("1979","PBR")</f>
        <v>1.55</v>
      </c>
      <c r="K36">
        <f>_xll.RssMarket("1979","信用売残")</f>
        <v>19800</v>
      </c>
      <c r="L36">
        <f>_xll.RssMarket("1979","信用売残前週比")</f>
        <v>6100</v>
      </c>
      <c r="M36">
        <f>_xll.RssMarket("1979","信用買残")</f>
        <v>55400</v>
      </c>
      <c r="N36">
        <f>_xll.RssMarket("1979","信用買残前週比")</f>
        <v>-1100</v>
      </c>
      <c r="O36">
        <f>_xll.RssMarket("1979","信用倍率")</f>
        <v>2.8</v>
      </c>
      <c r="P36" t="str">
        <f>_xll.RssMarket("1979","配当落日")</f>
        <v>2026/03/30</v>
      </c>
      <c r="Q36" t="str">
        <f>_xll.RssMarket("1979","中配落日")</f>
        <v>2026/09/29</v>
      </c>
      <c r="R36" t="str">
        <f>_xll.RssMarket("1979","権利落日")</f>
        <v>2025/03/28</v>
      </c>
      <c r="S36" t="str">
        <f>_xll.RssMarket("1979","決算発表日")</f>
        <v>2026/02/10</v>
      </c>
      <c r="T36">
        <f>_xll.RssMarket("1979","年初来高値")</f>
        <v>3980</v>
      </c>
      <c r="U36">
        <f>_xll.RssMarket("1979","年初来安値")</f>
        <v>1999</v>
      </c>
      <c r="V36">
        <f>_xll.RssMarket("1979","上場来高値")</f>
        <v>5440</v>
      </c>
      <c r="W36">
        <f>_xll.RssMarket("1979","上場来安値")</f>
        <v>298</v>
      </c>
    </row>
    <row r="37" spans="1:23" x14ac:dyDescent="0.2">
      <c r="A37" t="s">
        <v>15</v>
      </c>
      <c r="B37" t="str">
        <f>_xll.RssMarket("197A","銘柄コード")</f>
        <v>197A</v>
      </c>
      <c r="C37" t="str">
        <f>_xll.RssMarket("197A","銘柄名称")</f>
        <v>タウンズ</v>
      </c>
      <c r="D37" t="str">
        <f>_xll.RssMarket("197A","現在日付")</f>
        <v>2026/03/05</v>
      </c>
      <c r="E37">
        <f>_xll.RssMarket("197A","現在値")</f>
        <v>538</v>
      </c>
      <c r="F37">
        <f>_xll.RssMarket("197A","時価総額")</f>
        <v>57253</v>
      </c>
      <c r="G37">
        <f>_xll.RssMarket("197A","単位株数")</f>
        <v>100</v>
      </c>
      <c r="H37">
        <f>_xll.RssMarket("197A","配当")</f>
        <v>28</v>
      </c>
      <c r="I37">
        <f>_xll.RssMarket("197A","PER")</f>
        <v>6.65</v>
      </c>
      <c r="J37">
        <f>_xll.RssMarket("197A","PBR")</f>
        <v>3.28</v>
      </c>
      <c r="K37">
        <f>_xll.RssMarket("197A","信用売残")</f>
        <v>112700</v>
      </c>
      <c r="L37">
        <f>_xll.RssMarket("197A","信用売残前週比")</f>
        <v>5400</v>
      </c>
      <c r="M37">
        <f>_xll.RssMarket("197A","信用買残")</f>
        <v>2122700</v>
      </c>
      <c r="N37">
        <f>_xll.RssMarket("197A","信用買残前週比")</f>
        <v>-115500</v>
      </c>
      <c r="O37">
        <f>_xll.RssMarket("197A","信用倍率")</f>
        <v>18.829999999999998</v>
      </c>
      <c r="P37" t="str">
        <f>_xll.RssMarket("197A","配当落日")</f>
        <v>2026/06/29</v>
      </c>
      <c r="Q37" t="str">
        <f>_xll.RssMarket("197A","中配落日")</f>
        <v>2026/12/29</v>
      </c>
      <c r="R37" t="str">
        <f>_xll.RssMarket("197A","権利落日")</f>
        <v/>
      </c>
      <c r="S37" t="str">
        <f>_xll.RssMarket("197A","決算発表日")</f>
        <v>2026/02/13</v>
      </c>
      <c r="T37">
        <f>_xll.RssMarket("197A","年初来高値")</f>
        <v>733</v>
      </c>
      <c r="U37">
        <f>_xll.RssMarket("197A","年初来安値")</f>
        <v>418</v>
      </c>
      <c r="V37">
        <f>_xll.RssMarket("197A","上場来高値")</f>
        <v>733</v>
      </c>
      <c r="W37">
        <f>_xll.RssMarket("197A","上場来安値")</f>
        <v>401</v>
      </c>
    </row>
    <row r="38" spans="1:23" x14ac:dyDescent="0.2">
      <c r="A38">
        <v>1980</v>
      </c>
      <c r="B38">
        <f>_xll.RssMarket("1980","銘柄コード")</f>
        <v>1980</v>
      </c>
      <c r="C38" t="str">
        <f>_xll.RssMarket("1980","銘柄名称")</f>
        <v>ダイダン</v>
      </c>
      <c r="D38" t="str">
        <f>_xll.RssMarket("1980","現在日付")</f>
        <v>2026/03/05</v>
      </c>
      <c r="E38">
        <f>_xll.RssMarket("1980","現在値")</f>
        <v>3330</v>
      </c>
      <c r="F38">
        <f>_xll.RssMarket("1980","時価総額")</f>
        <v>459178</v>
      </c>
      <c r="G38">
        <f>_xll.RssMarket("1980","単位株数")</f>
        <v>100</v>
      </c>
      <c r="H38">
        <f>_xll.RssMarket("1980","配当")</f>
        <v>72.33</v>
      </c>
      <c r="I38">
        <f>_xll.RssMarket("1980","PER")</f>
        <v>18.09</v>
      </c>
      <c r="J38">
        <f>_xll.RssMarket("1980","PBR")</f>
        <v>3.7</v>
      </c>
      <c r="K38">
        <f>_xll.RssMarket("1980","信用売残")</f>
        <v>56700</v>
      </c>
      <c r="L38">
        <f>_xll.RssMarket("1980","信用売残前週比")</f>
        <v>5400</v>
      </c>
      <c r="M38">
        <f>_xll.RssMarket("1980","信用買残")</f>
        <v>645700</v>
      </c>
      <c r="N38">
        <f>_xll.RssMarket("1980","信用買残前週比")</f>
        <v>-1400</v>
      </c>
      <c r="O38">
        <f>_xll.RssMarket("1980","信用倍率")</f>
        <v>11.39</v>
      </c>
      <c r="P38" t="str">
        <f>_xll.RssMarket("1980","配当落日")</f>
        <v>2026/03/30</v>
      </c>
      <c r="Q38" t="str">
        <f>_xll.RssMarket("1980","中配落日")</f>
        <v>2026/09/29</v>
      </c>
      <c r="R38" t="str">
        <f>_xll.RssMarket("1980","権利落日")</f>
        <v>2025/12/29</v>
      </c>
      <c r="S38" t="str">
        <f>_xll.RssMarket("1980","決算発表日")</f>
        <v>2026/02/06</v>
      </c>
      <c r="T38">
        <f>_xll.RssMarket("1980","年初来高値")</f>
        <v>3680</v>
      </c>
      <c r="U38">
        <f>_xll.RssMarket("1980","年初来安値")</f>
        <v>2458</v>
      </c>
      <c r="V38">
        <f>_xll.RssMarket("1980","上場来高値")</f>
        <v>7790</v>
      </c>
      <c r="W38">
        <f>_xll.RssMarket("1980","上場来安値")</f>
        <v>352</v>
      </c>
    </row>
    <row r="39" spans="1:23" x14ac:dyDescent="0.2">
      <c r="A39">
        <v>1981</v>
      </c>
      <c r="B39">
        <f>_xll.RssMarket("1981","銘柄コード")</f>
        <v>1981</v>
      </c>
      <c r="C39" t="str">
        <f>_xll.RssMarket("1981","銘柄名称")</f>
        <v>協和日成</v>
      </c>
      <c r="D39" t="str">
        <f>_xll.RssMarket("1981","現在日付")</f>
        <v>2026/03/05</v>
      </c>
      <c r="E39">
        <f>_xll.RssMarket("1981","現在値")</f>
        <v>1594</v>
      </c>
      <c r="F39">
        <f>_xll.RssMarket("1981","時価総額")</f>
        <v>17129</v>
      </c>
      <c r="G39">
        <f>_xll.RssMarket("1981","単位株数")</f>
        <v>100</v>
      </c>
      <c r="H39">
        <f>_xll.RssMarket("1981","配当")</f>
        <v>45</v>
      </c>
      <c r="I39">
        <f>_xll.RssMarket("1981","PER")</f>
        <v>13.22</v>
      </c>
      <c r="J39">
        <f>_xll.RssMarket("1981","PBR")</f>
        <v>0.86</v>
      </c>
      <c r="K39" t="str">
        <f>_xll.RssMarket("1981","信用売残")</f>
        <v>-</v>
      </c>
      <c r="L39" t="str">
        <f>_xll.RssMarket("1981","信用売残前週比")</f>
        <v>-</v>
      </c>
      <c r="M39">
        <f>_xll.RssMarket("1981","信用買残")</f>
        <v>9900</v>
      </c>
      <c r="N39">
        <f>_xll.RssMarket("1981","信用買残前週比")</f>
        <v>-2100</v>
      </c>
      <c r="O39">
        <f>_xll.RssMarket("1981","信用倍率")</f>
        <v>0</v>
      </c>
      <c r="P39" t="str">
        <f>_xll.RssMarket("1981","配当落日")</f>
        <v>2026/03/30</v>
      </c>
      <c r="Q39" t="str">
        <f>_xll.RssMarket("1981","中配落日")</f>
        <v/>
      </c>
      <c r="R39" t="str">
        <f>_xll.RssMarket("1981","権利落日")</f>
        <v/>
      </c>
      <c r="S39" t="str">
        <f>_xll.RssMarket("1981","決算発表日")</f>
        <v>2026/02/12</v>
      </c>
      <c r="T39">
        <f>_xll.RssMarket("1981","年初来高値")</f>
        <v>1947</v>
      </c>
      <c r="U39">
        <f>_xll.RssMarket("1981","年初来安値")</f>
        <v>1083</v>
      </c>
      <c r="V39">
        <f>_xll.RssMarket("1981","上場来高値")</f>
        <v>2480</v>
      </c>
      <c r="W39">
        <f>_xll.RssMarket("1981","上場来安値")</f>
        <v>80</v>
      </c>
    </row>
    <row r="40" spans="1:23" x14ac:dyDescent="0.2">
      <c r="A40">
        <v>1982</v>
      </c>
      <c r="B40">
        <f>_xll.RssMarket("1982","銘柄コード")</f>
        <v>1982</v>
      </c>
      <c r="C40" t="str">
        <f>_xll.RssMarket("1982","銘柄名称")</f>
        <v>日比谷総合設備</v>
      </c>
      <c r="D40" t="str">
        <f>_xll.RssMarket("1982","現在日付")</f>
        <v>2026/03/05</v>
      </c>
      <c r="E40">
        <f>_xll.RssMarket("1982","現在値")</f>
        <v>6270</v>
      </c>
      <c r="F40">
        <f>_xll.RssMarket("1982","時価総額")</f>
        <v>148952</v>
      </c>
      <c r="G40">
        <f>_xll.RssMarket("1982","単位株数")</f>
        <v>100</v>
      </c>
      <c r="H40">
        <f>_xll.RssMarket("1982","配当")</f>
        <v>130</v>
      </c>
      <c r="I40">
        <f>_xll.RssMarket("1982","PER")</f>
        <v>18.489999999999998</v>
      </c>
      <c r="J40">
        <f>_xll.RssMarket("1982","PBR")</f>
        <v>1.87</v>
      </c>
      <c r="K40">
        <f>_xll.RssMarket("1982","信用売残")</f>
        <v>5400</v>
      </c>
      <c r="L40">
        <f>_xll.RssMarket("1982","信用売残前週比")</f>
        <v>-2800</v>
      </c>
      <c r="M40">
        <f>_xll.RssMarket("1982","信用買残")</f>
        <v>30800</v>
      </c>
      <c r="N40">
        <f>_xll.RssMarket("1982","信用買残前週比")</f>
        <v>-10900</v>
      </c>
      <c r="O40">
        <f>_xll.RssMarket("1982","信用倍率")</f>
        <v>5.7</v>
      </c>
      <c r="P40" t="str">
        <f>_xll.RssMarket("1982","配当落日")</f>
        <v>2026/03/30</v>
      </c>
      <c r="Q40" t="str">
        <f>_xll.RssMarket("1982","中配落日")</f>
        <v>2026/09/29</v>
      </c>
      <c r="R40" t="str">
        <f>_xll.RssMarket("1982","権利落日")</f>
        <v>2026/03/30</v>
      </c>
      <c r="S40" t="str">
        <f>_xll.RssMarket("1982","決算発表日")</f>
        <v>2026/02/10</v>
      </c>
      <c r="T40">
        <f>_xll.RssMarket("1982","年初来高値")</f>
        <v>6970</v>
      </c>
      <c r="U40">
        <f>_xll.RssMarket("1982","年初来安値")</f>
        <v>2686</v>
      </c>
      <c r="V40">
        <f>_xll.RssMarket("1982","上場来高値")</f>
        <v>30200</v>
      </c>
      <c r="W40">
        <f>_xll.RssMarket("1982","上場来安値")</f>
        <v>390</v>
      </c>
    </row>
    <row r="41" spans="1:23" x14ac:dyDescent="0.2">
      <c r="A41" t="s">
        <v>16</v>
      </c>
      <c r="B41" t="str">
        <f>_xll.RssMarket("198A","銘柄コード")</f>
        <v>198A</v>
      </c>
      <c r="C41" t="str">
        <f>_xll.RssMarket("198A","銘柄名称")</f>
        <v>ＰＯＳＴＰＲＩＭＥ</v>
      </c>
      <c r="D41" t="str">
        <f>_xll.RssMarket("198A","現在日付")</f>
        <v>2026/03/05</v>
      </c>
      <c r="E41">
        <f>_xll.RssMarket("198A","現在値")</f>
        <v>216</v>
      </c>
      <c r="F41">
        <f>_xll.RssMarket("198A","時価総額")</f>
        <v>2214</v>
      </c>
      <c r="G41">
        <f>_xll.RssMarket("198A","単位株数")</f>
        <v>100</v>
      </c>
      <c r="H41">
        <f>_xll.RssMarket("198A","配当")</f>
        <v>0</v>
      </c>
      <c r="I41">
        <f>_xll.RssMarket("198A","PER")</f>
        <v>0</v>
      </c>
      <c r="J41">
        <f>_xll.RssMarket("198A","PBR")</f>
        <v>2.4900000000000002</v>
      </c>
      <c r="K41">
        <f>_xll.RssMarket("198A","信用売残")</f>
        <v>4800</v>
      </c>
      <c r="L41">
        <f>_xll.RssMarket("198A","信用売残前週比")</f>
        <v>2300</v>
      </c>
      <c r="M41">
        <f>_xll.RssMarket("198A","信用買残")</f>
        <v>2185000</v>
      </c>
      <c r="N41">
        <f>_xll.RssMarket("198A","信用買残前週比")</f>
        <v>73500</v>
      </c>
      <c r="O41">
        <f>_xll.RssMarket("198A","信用倍率")</f>
        <v>455.21</v>
      </c>
      <c r="P41" t="str">
        <f>_xll.RssMarket("198A","配当落日")</f>
        <v>2026/05/28</v>
      </c>
      <c r="Q41" t="str">
        <f>_xll.RssMarket("198A","中配落日")</f>
        <v>2026/11/27</v>
      </c>
      <c r="R41" t="str">
        <f>_xll.RssMarket("198A","権利落日")</f>
        <v/>
      </c>
      <c r="S41" t="str">
        <f>_xll.RssMarket("198A","決算発表日")</f>
        <v>-</v>
      </c>
      <c r="T41">
        <f>_xll.RssMarket("198A","年初来高値")</f>
        <v>839</v>
      </c>
      <c r="U41">
        <f>_xll.RssMarket("198A","年初来安値")</f>
        <v>140</v>
      </c>
      <c r="V41">
        <f>_xll.RssMarket("198A","上場来高値")</f>
        <v>1427</v>
      </c>
      <c r="W41">
        <f>_xll.RssMarket("198A","上場来安値")</f>
        <v>140</v>
      </c>
    </row>
    <row r="42" spans="1:23" x14ac:dyDescent="0.2">
      <c r="A42">
        <v>1992</v>
      </c>
      <c r="B42">
        <f>_xll.RssMarket("1992","銘柄コード")</f>
        <v>1992</v>
      </c>
      <c r="C42" t="str">
        <f>_xll.RssMarket("1992","銘柄名称")</f>
        <v>神田通信機</v>
      </c>
      <c r="D42" t="str">
        <f>_xll.RssMarket("1992","現在日付")</f>
        <v>2026/03/05</v>
      </c>
      <c r="E42">
        <f>_xll.RssMarket("1992","現在値")</f>
        <v>2849</v>
      </c>
      <c r="F42">
        <f>_xll.RssMarket("1992","時価総額")</f>
        <v>7473</v>
      </c>
      <c r="G42">
        <f>_xll.RssMarket("1992","単位株数")</f>
        <v>100</v>
      </c>
      <c r="H42">
        <f>_xll.RssMarket("1992","配当")</f>
        <v>76</v>
      </c>
      <c r="I42">
        <f>_xll.RssMarket("1992","PER")</f>
        <v>18.64</v>
      </c>
      <c r="J42">
        <f>_xll.RssMarket("1992","PBR")</f>
        <v>1.05</v>
      </c>
      <c r="K42" t="str">
        <f>_xll.RssMarket("1992","信用売残")</f>
        <v>-</v>
      </c>
      <c r="L42" t="str">
        <f>_xll.RssMarket("1992","信用売残前週比")</f>
        <v>-</v>
      </c>
      <c r="M42">
        <f>_xll.RssMarket("1992","信用買残")</f>
        <v>100</v>
      </c>
      <c r="N42">
        <f>_xll.RssMarket("1992","信用買残前週比")</f>
        <v>-300</v>
      </c>
      <c r="O42">
        <f>_xll.RssMarket("1992","信用倍率")</f>
        <v>0</v>
      </c>
      <c r="P42" t="str">
        <f>_xll.RssMarket("1992","配当落日")</f>
        <v>2026/03/30</v>
      </c>
      <c r="Q42" t="str">
        <f>_xll.RssMarket("1992","中配落日")</f>
        <v>2026/09/29</v>
      </c>
      <c r="R42" t="str">
        <f>_xll.RssMarket("1992","権利落日")</f>
        <v>2019/10/30</v>
      </c>
      <c r="S42" t="str">
        <f>_xll.RssMarket("1992","決算発表日")</f>
        <v>2026/02/09</v>
      </c>
      <c r="T42">
        <f>_xll.RssMarket("1992","年初来高値")</f>
        <v>2930</v>
      </c>
      <c r="U42">
        <f>_xll.RssMarket("1992","年初来安値")</f>
        <v>2374</v>
      </c>
      <c r="V42">
        <f>_xll.RssMarket("1992","上場来高値")</f>
        <v>3900</v>
      </c>
      <c r="W42">
        <f>_xll.RssMarket("1992","上場来安値")</f>
        <v>83</v>
      </c>
    </row>
    <row r="43" spans="1:23" x14ac:dyDescent="0.2">
      <c r="A43">
        <v>1994</v>
      </c>
      <c r="B43">
        <f>_xll.RssMarket("1994","銘柄コード")</f>
        <v>1994</v>
      </c>
      <c r="C43" t="str">
        <f>_xll.RssMarket("1994","銘柄名称")</f>
        <v>高橋カーテンウォール</v>
      </c>
      <c r="D43" t="str">
        <f>_xll.RssMarket("1994","現在日付")</f>
        <v>2026/03/05</v>
      </c>
      <c r="E43">
        <f>_xll.RssMarket("1994","現在値")</f>
        <v>581</v>
      </c>
      <c r="F43">
        <f>_xll.RssMarket("1994","時価総額")</f>
        <v>5550</v>
      </c>
      <c r="G43">
        <f>_xll.RssMarket("1994","単位株数")</f>
        <v>100</v>
      </c>
      <c r="H43">
        <f>_xll.RssMarket("1994","配当")</f>
        <v>20</v>
      </c>
      <c r="I43">
        <f>_xll.RssMarket("1994","PER")</f>
        <v>27.02</v>
      </c>
      <c r="J43">
        <f>_xll.RssMarket("1994","PBR")</f>
        <v>0.42</v>
      </c>
      <c r="K43" t="str">
        <f>_xll.RssMarket("1994","信用売残")</f>
        <v>-</v>
      </c>
      <c r="L43" t="str">
        <f>_xll.RssMarket("1994","信用売残前週比")</f>
        <v>-</v>
      </c>
      <c r="M43">
        <f>_xll.RssMarket("1994","信用買残")</f>
        <v>71200</v>
      </c>
      <c r="N43">
        <f>_xll.RssMarket("1994","信用買残前週比")</f>
        <v>3100</v>
      </c>
      <c r="O43">
        <f>_xll.RssMarket("1994","信用倍率")</f>
        <v>0</v>
      </c>
      <c r="P43" t="str">
        <f>_xll.RssMarket("1994","配当落日")</f>
        <v>2026/12/29</v>
      </c>
      <c r="Q43" t="str">
        <f>_xll.RssMarket("1994","中配落日")</f>
        <v>2026/06/29</v>
      </c>
      <c r="R43" t="str">
        <f>_xll.RssMarket("1994","権利落日")</f>
        <v/>
      </c>
      <c r="S43" t="str">
        <f>_xll.RssMarket("1994","決算発表日")</f>
        <v>2026/02/10</v>
      </c>
      <c r="T43">
        <f>_xll.RssMarket("1994","年初来高値")</f>
        <v>621</v>
      </c>
      <c r="U43">
        <f>_xll.RssMarket("1994","年初来安値")</f>
        <v>457</v>
      </c>
      <c r="V43">
        <f>_xll.RssMarket("1994","上場来高値")</f>
        <v>22600</v>
      </c>
      <c r="W43">
        <f>_xll.RssMarket("1994","上場来安値")</f>
        <v>65</v>
      </c>
    </row>
    <row r="44" spans="1:23" x14ac:dyDescent="0.2">
      <c r="A44">
        <v>1997</v>
      </c>
      <c r="B44">
        <f>_xll.RssMarket("1997","銘柄コード")</f>
        <v>1997</v>
      </c>
      <c r="C44" t="str">
        <f>_xll.RssMarket("1997","銘柄名称")</f>
        <v>暁飯島工業</v>
      </c>
      <c r="D44" t="str">
        <f>_xll.RssMarket("1997","現在日付")</f>
        <v>2026/03/05</v>
      </c>
      <c r="E44">
        <f>_xll.RssMarket("1997","現在値")</f>
        <v>4040</v>
      </c>
      <c r="F44">
        <f>_xll.RssMarket("1997","時価総額")</f>
        <v>8888</v>
      </c>
      <c r="G44">
        <f>_xll.RssMarket("1997","単位株数")</f>
        <v>100</v>
      </c>
      <c r="H44">
        <f>_xll.RssMarket("1997","配当")</f>
        <v>95</v>
      </c>
      <c r="I44">
        <f>_xll.RssMarket("1997","PER")</f>
        <v>10.210000000000001</v>
      </c>
      <c r="J44">
        <f>_xll.RssMarket("1997","PBR")</f>
        <v>1.08</v>
      </c>
      <c r="K44" t="str">
        <f>_xll.RssMarket("1997","信用売残")</f>
        <v>-</v>
      </c>
      <c r="L44" t="str">
        <f>_xll.RssMarket("1997","信用売残前週比")</f>
        <v>-</v>
      </c>
      <c r="M44">
        <f>_xll.RssMarket("1997","信用買残")</f>
        <v>13100</v>
      </c>
      <c r="N44">
        <f>_xll.RssMarket("1997","信用買残前週比")</f>
        <v>-600</v>
      </c>
      <c r="O44">
        <f>_xll.RssMarket("1997","信用倍率")</f>
        <v>0</v>
      </c>
      <c r="P44" t="str">
        <f>_xll.RssMarket("1997","配当落日")</f>
        <v>2026/08/28</v>
      </c>
      <c r="Q44" t="str">
        <f>_xll.RssMarket("1997","中配落日")</f>
        <v>2027/02/25</v>
      </c>
      <c r="R44" t="str">
        <f>_xll.RssMarket("1997","権利落日")</f>
        <v>2016/08/29</v>
      </c>
      <c r="S44" t="str">
        <f>_xll.RssMarket("1997","決算発表日")</f>
        <v>-</v>
      </c>
      <c r="T44">
        <f>_xll.RssMarket("1997","年初来高値")</f>
        <v>4435</v>
      </c>
      <c r="U44">
        <f>_xll.RssMarket("1997","年初来安値")</f>
        <v>1990</v>
      </c>
      <c r="V44">
        <f>_xll.RssMarket("1997","上場来高値")</f>
        <v>4435</v>
      </c>
      <c r="W44">
        <f>_xll.RssMarket("1997","上場来安値")</f>
        <v>35</v>
      </c>
    </row>
    <row r="45" spans="1:23" x14ac:dyDescent="0.2">
      <c r="A45">
        <v>2001</v>
      </c>
      <c r="B45">
        <f>_xll.RssMarket("2001","銘柄コード")</f>
        <v>2001</v>
      </c>
      <c r="C45" t="str">
        <f>_xll.RssMarket("2001","銘柄名称")</f>
        <v>ニップン</v>
      </c>
      <c r="D45" t="str">
        <f>_xll.RssMarket("2001","現在日付")</f>
        <v>2026/03/05</v>
      </c>
      <c r="E45">
        <f>_xll.RssMarket("2001","現在値")</f>
        <v>2779</v>
      </c>
      <c r="F45">
        <f>_xll.RssMarket("2001","時価総額")</f>
        <v>235456</v>
      </c>
      <c r="G45">
        <f>_xll.RssMarket("2001","単位株数")</f>
        <v>100</v>
      </c>
      <c r="H45">
        <f>_xll.RssMarket("2001","配当")</f>
        <v>66</v>
      </c>
      <c r="I45">
        <f>_xll.RssMarket("2001","PER")</f>
        <v>11.41</v>
      </c>
      <c r="J45">
        <f>_xll.RssMarket("2001","PBR")</f>
        <v>0.88</v>
      </c>
      <c r="K45">
        <f>_xll.RssMarket("2001","信用売残")</f>
        <v>31100</v>
      </c>
      <c r="L45">
        <f>_xll.RssMarket("2001","信用売残前週比")</f>
        <v>10700</v>
      </c>
      <c r="M45">
        <f>_xll.RssMarket("2001","信用買残")</f>
        <v>54900</v>
      </c>
      <c r="N45">
        <f>_xll.RssMarket("2001","信用買残前週比")</f>
        <v>-10400</v>
      </c>
      <c r="O45">
        <f>_xll.RssMarket("2001","信用倍率")</f>
        <v>1.77</v>
      </c>
      <c r="P45" t="str">
        <f>_xll.RssMarket("2001","配当落日")</f>
        <v>2026/03/30</v>
      </c>
      <c r="Q45" t="str">
        <f>_xll.RssMarket("2001","中配落日")</f>
        <v>2026/09/29</v>
      </c>
      <c r="R45" t="str">
        <f>_xll.RssMarket("2001","権利落日")</f>
        <v/>
      </c>
      <c r="S45" t="str">
        <f>_xll.RssMarket("2001","決算発表日")</f>
        <v>2026/02/05</v>
      </c>
      <c r="T45">
        <f>_xll.RssMarket("2001","年初来高値")</f>
        <v>2880</v>
      </c>
      <c r="U45">
        <f>_xll.RssMarket("2001","年初来安値")</f>
        <v>2090</v>
      </c>
      <c r="V45">
        <f>_xll.RssMarket("2001","上場来高値")</f>
        <v>2880</v>
      </c>
      <c r="W45">
        <f>_xll.RssMarket("2001","上場来安値")</f>
        <v>79</v>
      </c>
    </row>
    <row r="46" spans="1:23" x14ac:dyDescent="0.2">
      <c r="A46">
        <v>2002</v>
      </c>
      <c r="B46">
        <f>_xll.RssMarket("2002","銘柄コード")</f>
        <v>2002</v>
      </c>
      <c r="C46" t="str">
        <f>_xll.RssMarket("2002","銘柄名称")</f>
        <v>日清製粉Ｇ本社</v>
      </c>
      <c r="D46" t="str">
        <f>_xll.RssMarket("2002","現在日付")</f>
        <v>2026/03/05</v>
      </c>
      <c r="E46">
        <f>_xll.RssMarket("2002","現在値")</f>
        <v>2111.5</v>
      </c>
      <c r="F46">
        <f>_xll.RssMarket("2002","時価総額")</f>
        <v>613724</v>
      </c>
      <c r="G46">
        <f>_xll.RssMarket("2002","単位株数")</f>
        <v>100</v>
      </c>
      <c r="H46">
        <f>_xll.RssMarket("2002","配当")</f>
        <v>60</v>
      </c>
      <c r="I46">
        <f>_xll.RssMarket("2002","PER")</f>
        <v>19.989999999999998</v>
      </c>
      <c r="J46">
        <f>_xll.RssMarket("2002","PBR")</f>
        <v>1.22</v>
      </c>
      <c r="K46">
        <f>_xll.RssMarket("2002","信用売残")</f>
        <v>63500</v>
      </c>
      <c r="L46">
        <f>_xll.RssMarket("2002","信用売残前週比")</f>
        <v>-3400</v>
      </c>
      <c r="M46">
        <f>_xll.RssMarket("2002","信用買残")</f>
        <v>170600</v>
      </c>
      <c r="N46">
        <f>_xll.RssMarket("2002","信用買残前週比")</f>
        <v>-13500</v>
      </c>
      <c r="O46">
        <f>_xll.RssMarket("2002","信用倍率")</f>
        <v>2.69</v>
      </c>
      <c r="P46" t="str">
        <f>_xll.RssMarket("2002","配当落日")</f>
        <v>2026/03/30</v>
      </c>
      <c r="Q46" t="str">
        <f>_xll.RssMarket("2002","中配落日")</f>
        <v>2026/09/29</v>
      </c>
      <c r="R46" t="str">
        <f>_xll.RssMarket("2002","権利落日")</f>
        <v/>
      </c>
      <c r="S46" t="str">
        <f>_xll.RssMarket("2002","決算発表日")</f>
        <v>-</v>
      </c>
      <c r="T46">
        <f>_xll.RssMarket("2002","年初来高値")</f>
        <v>2192</v>
      </c>
      <c r="U46">
        <f>_xll.RssMarket("2002","年初来安値")</f>
        <v>1642</v>
      </c>
      <c r="V46">
        <f>_xll.RssMarket("2002","上場来高値")</f>
        <v>2677</v>
      </c>
      <c r="W46">
        <f>_xll.RssMarket("2002","上場来安値")</f>
        <v>100</v>
      </c>
    </row>
    <row r="47" spans="1:23" x14ac:dyDescent="0.2">
      <c r="A47">
        <v>2003</v>
      </c>
      <c r="B47">
        <f>_xll.RssMarket("2003","銘柄コード")</f>
        <v>2003</v>
      </c>
      <c r="C47" t="str">
        <f>_xll.RssMarket("2003","銘柄名称")</f>
        <v>日東富士製粉</v>
      </c>
      <c r="D47" t="str">
        <f>_xll.RssMarket("2003","現在日付")</f>
        <v>2026/03/05</v>
      </c>
      <c r="E47">
        <f>_xll.RssMarket("2003","現在値")</f>
        <v>7130</v>
      </c>
      <c r="F47">
        <f>_xll.RssMarket("2003","時価総額")</f>
        <v>66913</v>
      </c>
      <c r="G47">
        <f>_xll.RssMarket("2003","単位株数")</f>
        <v>100</v>
      </c>
      <c r="H47">
        <f>_xll.RssMarket("2003","配当")</f>
        <v>280</v>
      </c>
      <c r="I47">
        <f>_xll.RssMarket("2003","PER")</f>
        <v>20.93</v>
      </c>
      <c r="J47">
        <f>_xll.RssMarket("2003","PBR")</f>
        <v>1.32</v>
      </c>
      <c r="K47">
        <f>_xll.RssMarket("2003","信用売残")</f>
        <v>3600</v>
      </c>
      <c r="L47">
        <f>_xll.RssMarket("2003","信用売残前週比")</f>
        <v>-2400</v>
      </c>
      <c r="M47">
        <f>_xll.RssMarket("2003","信用買残")</f>
        <v>9100</v>
      </c>
      <c r="N47">
        <f>_xll.RssMarket("2003","信用買残前週比")</f>
        <v>-100</v>
      </c>
      <c r="O47">
        <f>_xll.RssMarket("2003","信用倍率")</f>
        <v>2.5299999999999998</v>
      </c>
      <c r="P47" t="str">
        <f>_xll.RssMarket("2003","配当落日")</f>
        <v>2026/03/30</v>
      </c>
      <c r="Q47" t="str">
        <f>_xll.RssMarket("2003","中配落日")</f>
        <v>2026/09/29</v>
      </c>
      <c r="R47" t="str">
        <f>_xll.RssMarket("2003","権利落日")</f>
        <v>2026/03/30</v>
      </c>
      <c r="S47" t="str">
        <f>_xll.RssMarket("2003","決算発表日")</f>
        <v>-</v>
      </c>
      <c r="T47">
        <f>_xll.RssMarket("2003","年初来高値")</f>
        <v>7770</v>
      </c>
      <c r="U47">
        <f>_xll.RssMarket("2003","年初来安値")</f>
        <v>5810</v>
      </c>
      <c r="V47">
        <f>_xll.RssMarket("2003","上場来高値")</f>
        <v>8000</v>
      </c>
      <c r="W47">
        <f>_xll.RssMarket("2003","上場来安値")</f>
        <v>30</v>
      </c>
    </row>
    <row r="48" spans="1:23" x14ac:dyDescent="0.2">
      <c r="A48">
        <v>2004</v>
      </c>
      <c r="B48">
        <f>_xll.RssMarket("2004","銘柄コード")</f>
        <v>2004</v>
      </c>
      <c r="C48" t="str">
        <f>_xll.RssMarket("2004","銘柄名称")</f>
        <v>昭和産業</v>
      </c>
      <c r="D48" t="str">
        <f>_xll.RssMarket("2004","現在日付")</f>
        <v>2026/03/05</v>
      </c>
      <c r="E48">
        <f>_xll.RssMarket("2004","現在値")</f>
        <v>3360</v>
      </c>
      <c r="F48">
        <f>_xll.RssMarket("2004","時価総額")</f>
        <v>110864</v>
      </c>
      <c r="G48">
        <f>_xll.RssMarket("2004","単位株数")</f>
        <v>100</v>
      </c>
      <c r="H48">
        <f>_xll.RssMarket("2004","配当")</f>
        <v>100</v>
      </c>
      <c r="I48">
        <f>_xll.RssMarket("2004","PER")</f>
        <v>11.49</v>
      </c>
      <c r="J48">
        <f>_xll.RssMarket("2004","PBR")</f>
        <v>0.76</v>
      </c>
      <c r="K48">
        <f>_xll.RssMarket("2004","信用売残")</f>
        <v>14700</v>
      </c>
      <c r="L48">
        <f>_xll.RssMarket("2004","信用売残前週比")</f>
        <v>2000</v>
      </c>
      <c r="M48">
        <f>_xll.RssMarket("2004","信用買残")</f>
        <v>218000</v>
      </c>
      <c r="N48">
        <f>_xll.RssMarket("2004","信用買残前週比")</f>
        <v>-27500</v>
      </c>
      <c r="O48">
        <f>_xll.RssMarket("2004","信用倍率")</f>
        <v>14.83</v>
      </c>
      <c r="P48" t="str">
        <f>_xll.RssMarket("2004","配当落日")</f>
        <v>2026/03/30</v>
      </c>
      <c r="Q48" t="str">
        <f>_xll.RssMarket("2004","中配落日")</f>
        <v>2026/09/29</v>
      </c>
      <c r="R48" t="str">
        <f>_xll.RssMarket("2004","権利落日")</f>
        <v/>
      </c>
      <c r="S48" t="str">
        <f>_xll.RssMarket("2004","決算発表日")</f>
        <v>2026/02/06</v>
      </c>
      <c r="T48">
        <f>_xll.RssMarket("2004","年初来高値")</f>
        <v>3455</v>
      </c>
      <c r="U48">
        <f>_xll.RssMarket("2004","年初来安値")</f>
        <v>2570</v>
      </c>
      <c r="V48">
        <f>_xll.RssMarket("2004","上場来高値")</f>
        <v>3645</v>
      </c>
      <c r="W48">
        <f>_xll.RssMarket("2004","上場来安値")</f>
        <v>48</v>
      </c>
    </row>
    <row r="49" spans="1:23" x14ac:dyDescent="0.2">
      <c r="A49">
        <v>2009</v>
      </c>
      <c r="B49">
        <f>_xll.RssMarket("2009","銘柄コード")</f>
        <v>2009</v>
      </c>
      <c r="C49" t="str">
        <f>_xll.RssMarket("2009","銘柄名称")</f>
        <v>鳥越製粉</v>
      </c>
      <c r="D49" t="str">
        <f>_xll.RssMarket("2009","現在日付")</f>
        <v>2026/03/05</v>
      </c>
      <c r="E49">
        <f>_xll.RssMarket("2009","現在値")</f>
        <v>1097</v>
      </c>
      <c r="F49">
        <f>_xll.RssMarket("2009","時価総額")</f>
        <v>28561</v>
      </c>
      <c r="G49">
        <f>_xll.RssMarket("2009","単位株数")</f>
        <v>100</v>
      </c>
      <c r="H49">
        <f>_xll.RssMarket("2009","配当")</f>
        <v>49</v>
      </c>
      <c r="I49">
        <f>_xll.RssMarket("2009","PER")</f>
        <v>22.8</v>
      </c>
      <c r="J49">
        <f>_xll.RssMarket("2009","PBR")</f>
        <v>0.69</v>
      </c>
      <c r="K49" t="str">
        <f>_xll.RssMarket("2009","信用売残")</f>
        <v>-</v>
      </c>
      <c r="L49" t="str">
        <f>_xll.RssMarket("2009","信用売残前週比")</f>
        <v>-</v>
      </c>
      <c r="M49">
        <f>_xll.RssMarket("2009","信用買残")</f>
        <v>72900</v>
      </c>
      <c r="N49">
        <f>_xll.RssMarket("2009","信用買残前週比")</f>
        <v>-7500</v>
      </c>
      <c r="O49">
        <f>_xll.RssMarket("2009","信用倍率")</f>
        <v>0</v>
      </c>
      <c r="P49" t="str">
        <f>_xll.RssMarket("2009","配当落日")</f>
        <v>2026/12/29</v>
      </c>
      <c r="Q49" t="str">
        <f>_xll.RssMarket("2009","中配落日")</f>
        <v/>
      </c>
      <c r="R49" t="str">
        <f>_xll.RssMarket("2009","権利落日")</f>
        <v/>
      </c>
      <c r="S49" t="str">
        <f>_xll.RssMarket("2009","決算発表日")</f>
        <v>2026/02/13</v>
      </c>
      <c r="T49">
        <f>_xll.RssMarket("2009","年初来高値")</f>
        <v>1166</v>
      </c>
      <c r="U49">
        <f>_xll.RssMarket("2009","年初来安値")</f>
        <v>704</v>
      </c>
      <c r="V49">
        <f>_xll.RssMarket("2009","上場来高値")</f>
        <v>1290</v>
      </c>
      <c r="W49">
        <f>_xll.RssMarket("2009","上場来安値")</f>
        <v>70</v>
      </c>
    </row>
    <row r="50" spans="1:23" x14ac:dyDescent="0.2">
      <c r="A50" t="s">
        <v>17</v>
      </c>
      <c r="B50" t="str">
        <f>_xll.RssMarket("202A","銘柄コード")</f>
        <v>202A</v>
      </c>
      <c r="C50" t="str">
        <f>_xll.RssMarket("202A","銘柄名称")</f>
        <v>豆蔵</v>
      </c>
      <c r="D50" t="str">
        <f>_xll.RssMarket("202A","現在日付")</f>
        <v>2026/03/05</v>
      </c>
      <c r="E50">
        <f>_xll.RssMarket("202A","現在値")</f>
        <v>3545</v>
      </c>
      <c r="F50">
        <f>_xll.RssMarket("202A","時価総額")</f>
        <v>56897</v>
      </c>
      <c r="G50">
        <f>_xll.RssMarket("202A","単位株数")</f>
        <v>100</v>
      </c>
      <c r="H50">
        <f>_xll.RssMarket("202A","配当")</f>
        <v>30</v>
      </c>
      <c r="I50">
        <f>_xll.RssMarket("202A","PER")</f>
        <v>17.77</v>
      </c>
      <c r="J50">
        <f>_xll.RssMarket("202A","PBR")</f>
        <v>17.600000000000001</v>
      </c>
      <c r="K50" t="str">
        <f>_xll.RssMarket("202A","信用売残")</f>
        <v>-</v>
      </c>
      <c r="L50" t="str">
        <f>_xll.RssMarket("202A","信用売残前週比")</f>
        <v>-</v>
      </c>
      <c r="M50">
        <f>_xll.RssMarket("202A","信用買残")</f>
        <v>203200</v>
      </c>
      <c r="N50">
        <f>_xll.RssMarket("202A","信用買残前週比")</f>
        <v>-18500</v>
      </c>
      <c r="O50">
        <f>_xll.RssMarket("202A","信用倍率")</f>
        <v>0</v>
      </c>
      <c r="P50" t="str">
        <f>_xll.RssMarket("202A","配当落日")</f>
        <v>2026/03/30</v>
      </c>
      <c r="Q50" t="str">
        <f>_xll.RssMarket("202A","中配落日")</f>
        <v>2026/09/29</v>
      </c>
      <c r="R50" t="str">
        <f>_xll.RssMarket("202A","権利落日")</f>
        <v/>
      </c>
      <c r="S50" t="str">
        <f>_xll.RssMarket("202A","決算発表日")</f>
        <v>2026/02/12</v>
      </c>
      <c r="T50">
        <f>_xll.RssMarket("202A","年初来高値")</f>
        <v>5000</v>
      </c>
      <c r="U50">
        <f>_xll.RssMarket("202A","年初来安値")</f>
        <v>1090</v>
      </c>
      <c r="V50">
        <f>_xll.RssMarket("202A","上場来高値")</f>
        <v>5000</v>
      </c>
      <c r="W50">
        <f>_xll.RssMarket("202A","上場来安値")</f>
        <v>1000</v>
      </c>
    </row>
    <row r="51" spans="1:23" x14ac:dyDescent="0.2">
      <c r="A51">
        <v>2053</v>
      </c>
      <c r="B51">
        <f>_xll.RssMarket("2053","銘柄コード")</f>
        <v>2053</v>
      </c>
      <c r="C51" t="str">
        <f>_xll.RssMarket("2053","銘柄名称")</f>
        <v>中部飼料</v>
      </c>
      <c r="D51" t="str">
        <f>_xll.RssMarket("2053","現在日付")</f>
        <v>2026/03/05</v>
      </c>
      <c r="E51">
        <f>_xll.RssMarket("2053","現在値")</f>
        <v>1867</v>
      </c>
      <c r="F51">
        <f>_xll.RssMarket("2053","時価総額")</f>
        <v>56704</v>
      </c>
      <c r="G51">
        <f>_xll.RssMarket("2053","単位株数")</f>
        <v>100</v>
      </c>
      <c r="H51">
        <f>_xll.RssMarket("2053","配当")</f>
        <v>60</v>
      </c>
      <c r="I51">
        <f>_xll.RssMarket("2053","PER")</f>
        <v>13.06</v>
      </c>
      <c r="J51">
        <f>_xll.RssMarket("2053","PBR")</f>
        <v>0.78</v>
      </c>
      <c r="K51">
        <f>_xll.RssMarket("2053","信用売残")</f>
        <v>10300</v>
      </c>
      <c r="L51">
        <f>_xll.RssMarket("2053","信用売残前週比")</f>
        <v>3500</v>
      </c>
      <c r="M51">
        <f>_xll.RssMarket("2053","信用買残")</f>
        <v>135400</v>
      </c>
      <c r="N51">
        <f>_xll.RssMarket("2053","信用買残前週比")</f>
        <v>-7500</v>
      </c>
      <c r="O51">
        <f>_xll.RssMarket("2053","信用倍率")</f>
        <v>13.15</v>
      </c>
      <c r="P51" t="str">
        <f>_xll.RssMarket("2053","配当落日")</f>
        <v>2026/03/30</v>
      </c>
      <c r="Q51" t="str">
        <f>_xll.RssMarket("2053","中配落日")</f>
        <v>2026/09/29</v>
      </c>
      <c r="R51" t="str">
        <f>_xll.RssMarket("2053","権利落日")</f>
        <v/>
      </c>
      <c r="S51" t="str">
        <f>_xll.RssMarket("2053","決算発表日")</f>
        <v>-</v>
      </c>
      <c r="T51">
        <f>_xll.RssMarket("2053","年初来高値")</f>
        <v>1998</v>
      </c>
      <c r="U51">
        <f>_xll.RssMarket("2053","年初来安値")</f>
        <v>1191</v>
      </c>
      <c r="V51">
        <f>_xll.RssMarket("2053","上場来高値")</f>
        <v>2569</v>
      </c>
      <c r="W51">
        <f>_xll.RssMarket("2053","上場来安値")</f>
        <v>55</v>
      </c>
    </row>
    <row r="52" spans="1:23" x14ac:dyDescent="0.2">
      <c r="A52">
        <v>2055</v>
      </c>
      <c r="B52">
        <f>_xll.RssMarket("2055","銘柄コード")</f>
        <v>2055</v>
      </c>
      <c r="C52" t="str">
        <f>_xll.RssMarket("2055","銘柄名称")</f>
        <v>日和産業</v>
      </c>
      <c r="D52" t="str">
        <f>_xll.RssMarket("2055","現在日付")</f>
        <v>2026/03/05</v>
      </c>
      <c r="E52">
        <f>_xll.RssMarket("2055","現在値")</f>
        <v>386</v>
      </c>
      <c r="F52">
        <f>_xll.RssMarket("2055","時価総額")</f>
        <v>8040</v>
      </c>
      <c r="G52">
        <f>_xll.RssMarket("2055","単位株数")</f>
        <v>100</v>
      </c>
      <c r="H52">
        <f>_xll.RssMarket("2055","配当")</f>
        <v>6</v>
      </c>
      <c r="I52">
        <f>_xll.RssMarket("2055","PER")</f>
        <v>10.29</v>
      </c>
      <c r="J52">
        <f>_xll.RssMarket("2055","PBR")</f>
        <v>0.37</v>
      </c>
      <c r="K52">
        <f>_xll.RssMarket("2055","信用売残")</f>
        <v>400</v>
      </c>
      <c r="L52">
        <f>_xll.RssMarket("2055","信用売残前週比")</f>
        <v>-900</v>
      </c>
      <c r="M52">
        <f>_xll.RssMarket("2055","信用買残")</f>
        <v>897300</v>
      </c>
      <c r="N52">
        <f>_xll.RssMarket("2055","信用買残前週比")</f>
        <v>-600300</v>
      </c>
      <c r="O52">
        <f>_xll.RssMarket("2055","信用倍率")</f>
        <v>2243.25</v>
      </c>
      <c r="P52" t="str">
        <f>_xll.RssMarket("2055","配当落日")</f>
        <v>2026/03/30</v>
      </c>
      <c r="Q52" t="str">
        <f>_xll.RssMarket("2055","中配落日")</f>
        <v>2026/09/29</v>
      </c>
      <c r="R52" t="str">
        <f>_xll.RssMarket("2055","権利落日")</f>
        <v/>
      </c>
      <c r="S52" t="str">
        <f>_xll.RssMarket("2055","決算発表日")</f>
        <v>2026/02/12</v>
      </c>
      <c r="T52">
        <f>_xll.RssMarket("2055","年初来高値")</f>
        <v>415</v>
      </c>
      <c r="U52">
        <f>_xll.RssMarket("2055","年初来安値")</f>
        <v>258</v>
      </c>
      <c r="V52">
        <f>_xll.RssMarket("2055","上場来高値")</f>
        <v>2900</v>
      </c>
      <c r="W52">
        <f>_xll.RssMarket("2055","上場来安値")</f>
        <v>49</v>
      </c>
    </row>
    <row r="53" spans="1:23" x14ac:dyDescent="0.2">
      <c r="A53" t="s">
        <v>18</v>
      </c>
      <c r="B53" t="str">
        <f>_xll.RssMarket("205A","銘柄コード")</f>
        <v>205A</v>
      </c>
      <c r="C53" t="str">
        <f>_xll.RssMarket("205A","銘柄名称")</f>
        <v>ロゴスホールディングス</v>
      </c>
      <c r="D53" t="str">
        <f>_xll.RssMarket("205A","現在日付")</f>
        <v>2026/03/05</v>
      </c>
      <c r="E53">
        <f>_xll.RssMarket("205A","現在値")</f>
        <v>1654</v>
      </c>
      <c r="F53">
        <f>_xll.RssMarket("205A","時価総額")</f>
        <v>6490</v>
      </c>
      <c r="G53">
        <f>_xll.RssMarket("205A","単位株数")</f>
        <v>100</v>
      </c>
      <c r="H53">
        <f>_xll.RssMarket("205A","配当")</f>
        <v>63.39</v>
      </c>
      <c r="I53">
        <f>_xll.RssMarket("205A","PER")</f>
        <v>7.82</v>
      </c>
      <c r="J53">
        <f>_xll.RssMarket("205A","PBR")</f>
        <v>2.11</v>
      </c>
      <c r="K53" t="str">
        <f>_xll.RssMarket("205A","信用売残")</f>
        <v>-</v>
      </c>
      <c r="L53" t="str">
        <f>_xll.RssMarket("205A","信用売残前週比")</f>
        <v>-</v>
      </c>
      <c r="M53">
        <f>_xll.RssMarket("205A","信用買残")</f>
        <v>135100</v>
      </c>
      <c r="N53">
        <f>_xll.RssMarket("205A","信用買残前週比")</f>
        <v>-2400</v>
      </c>
      <c r="O53">
        <f>_xll.RssMarket("205A","信用倍率")</f>
        <v>0</v>
      </c>
      <c r="P53" t="str">
        <f>_xll.RssMarket("205A","配当落日")</f>
        <v>2026/05/28</v>
      </c>
      <c r="Q53" t="str">
        <f>_xll.RssMarket("205A","中配落日")</f>
        <v>2026/11/27</v>
      </c>
      <c r="R53" t="str">
        <f>_xll.RssMarket("205A","権利落日")</f>
        <v/>
      </c>
      <c r="S53" t="str">
        <f>_xll.RssMarket("205A","決算発表日")</f>
        <v>-</v>
      </c>
      <c r="T53">
        <f>_xll.RssMarket("205A","年初来高値")</f>
        <v>2439</v>
      </c>
      <c r="U53">
        <f>_xll.RssMarket("205A","年初来安値")</f>
        <v>919</v>
      </c>
      <c r="V53">
        <f>_xll.RssMarket("205A","上場来高値")</f>
        <v>3400</v>
      </c>
      <c r="W53">
        <f>_xll.RssMarket("205A","上場来安値")</f>
        <v>919</v>
      </c>
    </row>
    <row r="54" spans="1:23" x14ac:dyDescent="0.2">
      <c r="A54">
        <v>2060</v>
      </c>
      <c r="B54">
        <f>_xll.RssMarket("2060","銘柄コード")</f>
        <v>2060</v>
      </c>
      <c r="C54" t="str">
        <f>_xll.RssMarket("2060","銘柄名称")</f>
        <v>フィード・ワン</v>
      </c>
      <c r="D54" t="str">
        <f>_xll.RssMarket("2060","現在日付")</f>
        <v>2026/03/05</v>
      </c>
      <c r="E54">
        <f>_xll.RssMarket("2060","現在値")</f>
        <v>1274</v>
      </c>
      <c r="F54">
        <f>_xll.RssMarket("2060","時価総額")</f>
        <v>49019</v>
      </c>
      <c r="G54">
        <f>_xll.RssMarket("2060","単位株数")</f>
        <v>100</v>
      </c>
      <c r="H54">
        <f>_xll.RssMarket("2060","配当")</f>
        <v>42</v>
      </c>
      <c r="I54">
        <f>_xll.RssMarket("2060","PER")</f>
        <v>8.1199999999999992</v>
      </c>
      <c r="J54">
        <f>_xll.RssMarket("2060","PBR")</f>
        <v>0.84</v>
      </c>
      <c r="K54">
        <f>_xll.RssMarket("2060","信用売残")</f>
        <v>5600</v>
      </c>
      <c r="L54">
        <f>_xll.RssMarket("2060","信用売残前週比")</f>
        <v>-600</v>
      </c>
      <c r="M54">
        <f>_xll.RssMarket("2060","信用買残")</f>
        <v>328000</v>
      </c>
      <c r="N54">
        <f>_xll.RssMarket("2060","信用買残前週比")</f>
        <v>-27900</v>
      </c>
      <c r="O54">
        <f>_xll.RssMarket("2060","信用倍率")</f>
        <v>58.57</v>
      </c>
      <c r="P54" t="str">
        <f>_xll.RssMarket("2060","配当落日")</f>
        <v>2026/03/30</v>
      </c>
      <c r="Q54" t="str">
        <f>_xll.RssMarket("2060","中配落日")</f>
        <v>2026/09/29</v>
      </c>
      <c r="R54" t="str">
        <f>_xll.RssMarket("2060","権利落日")</f>
        <v/>
      </c>
      <c r="S54" t="str">
        <f>_xll.RssMarket("2060","決算発表日")</f>
        <v>-</v>
      </c>
      <c r="T54">
        <f>_xll.RssMarket("2060","年初来高値")</f>
        <v>1333</v>
      </c>
      <c r="U54">
        <f>_xll.RssMarket("2060","年初来安値")</f>
        <v>762</v>
      </c>
      <c r="V54">
        <f>_xll.RssMarket("2060","上場来高値")</f>
        <v>1333</v>
      </c>
      <c r="W54">
        <f>_xll.RssMarket("2060","上場来安値")</f>
        <v>103</v>
      </c>
    </row>
    <row r="55" spans="1:23" x14ac:dyDescent="0.2">
      <c r="A55" t="s">
        <v>19</v>
      </c>
      <c r="B55" t="str">
        <f>_xll.RssMarket("206A","銘柄コード")</f>
        <v>206A</v>
      </c>
      <c r="C55" t="str">
        <f>_xll.RssMarket("206A","銘柄名称")</f>
        <v>ＰＲＩＳＭＢＩＯＬＡＢ</v>
      </c>
      <c r="D55" t="str">
        <f>_xll.RssMarket("206A","現在日付")</f>
        <v>2026/03/05</v>
      </c>
      <c r="E55">
        <f>_xll.RssMarket("206A","現在値")</f>
        <v>192</v>
      </c>
      <c r="F55">
        <f>_xll.RssMarket("206A","時価総額")</f>
        <v>7091</v>
      </c>
      <c r="G55">
        <f>_xll.RssMarket("206A","単位株数")</f>
        <v>100</v>
      </c>
      <c r="H55">
        <f>_xll.RssMarket("206A","配当")</f>
        <v>0</v>
      </c>
      <c r="I55">
        <f>_xll.RssMarket("206A","PER")</f>
        <v>0</v>
      </c>
      <c r="J55">
        <f>_xll.RssMarket("206A","PBR")</f>
        <v>2.61</v>
      </c>
      <c r="K55" t="str">
        <f>_xll.RssMarket("206A","信用売残")</f>
        <v>-</v>
      </c>
      <c r="L55" t="str">
        <f>_xll.RssMarket("206A","信用売残前週比")</f>
        <v>-</v>
      </c>
      <c r="M55">
        <f>_xll.RssMarket("206A","信用買残")</f>
        <v>2120000</v>
      </c>
      <c r="N55">
        <f>_xll.RssMarket("206A","信用買残前週比")</f>
        <v>93100</v>
      </c>
      <c r="O55">
        <f>_xll.RssMarket("206A","信用倍率")</f>
        <v>0</v>
      </c>
      <c r="P55" t="str">
        <f>_xll.RssMarket("206A","配当落日")</f>
        <v>2026/09/29</v>
      </c>
      <c r="Q55" t="str">
        <f>_xll.RssMarket("206A","中配落日")</f>
        <v>2026/03/30</v>
      </c>
      <c r="R55" t="str">
        <f>_xll.RssMarket("206A","権利落日")</f>
        <v/>
      </c>
      <c r="S55" t="str">
        <f>_xll.RssMarket("206A","決算発表日")</f>
        <v>2026/02/13</v>
      </c>
      <c r="T55">
        <f>_xll.RssMarket("206A","年初来高値")</f>
        <v>330</v>
      </c>
      <c r="U55">
        <f>_xll.RssMarket("206A","年初来安値")</f>
        <v>132</v>
      </c>
      <c r="V55">
        <f>_xll.RssMarket("206A","上場来高値")</f>
        <v>672</v>
      </c>
      <c r="W55">
        <f>_xll.RssMarket("206A","上場来安値")</f>
        <v>132</v>
      </c>
    </row>
    <row r="56" spans="1:23" x14ac:dyDescent="0.2">
      <c r="A56" t="s">
        <v>20</v>
      </c>
      <c r="B56" t="str">
        <f>_xll.RssMarket("208A","銘柄コード")</f>
        <v>208A</v>
      </c>
      <c r="C56" t="str">
        <f>_xll.RssMarket("208A","銘柄名称")</f>
        <v>構造計画研究所ＨＤ</v>
      </c>
      <c r="D56" t="str">
        <f>_xll.RssMarket("208A","現在日付")</f>
        <v>2026/03/05</v>
      </c>
      <c r="E56">
        <f>_xll.RssMarket("208A","現在値")</f>
        <v>3090</v>
      </c>
      <c r="F56">
        <f>_xll.RssMarket("208A","時価総額")</f>
        <v>33990</v>
      </c>
      <c r="G56">
        <f>_xll.RssMarket("208A","単位株数")</f>
        <v>100</v>
      </c>
      <c r="H56">
        <f>_xll.RssMarket("208A","配当")</f>
        <v>90</v>
      </c>
      <c r="I56">
        <f>_xll.RssMarket("208A","PER")</f>
        <v>13.44</v>
      </c>
      <c r="J56">
        <f>_xll.RssMarket("208A","PBR")</f>
        <v>3.24</v>
      </c>
      <c r="K56" t="str">
        <f>_xll.RssMarket("208A","信用売残")</f>
        <v>-</v>
      </c>
      <c r="L56" t="str">
        <f>_xll.RssMarket("208A","信用売残前週比")</f>
        <v>-</v>
      </c>
      <c r="M56">
        <f>_xll.RssMarket("208A","信用買残")</f>
        <v>78100</v>
      </c>
      <c r="N56">
        <f>_xll.RssMarket("208A","信用買残前週比")</f>
        <v>1500</v>
      </c>
      <c r="O56">
        <f>_xll.RssMarket("208A","信用倍率")</f>
        <v>0</v>
      </c>
      <c r="P56" t="str">
        <f>_xll.RssMarket("208A","配当落日")</f>
        <v>2026/06/29</v>
      </c>
      <c r="Q56" t="str">
        <f>_xll.RssMarket("208A","中配落日")</f>
        <v>2026/12/29</v>
      </c>
      <c r="R56" t="str">
        <f>_xll.RssMarket("208A","権利落日")</f>
        <v>2025/02/27</v>
      </c>
      <c r="S56" t="str">
        <f>_xll.RssMarket("208A","決算発表日")</f>
        <v>2026/02/13</v>
      </c>
      <c r="T56">
        <f>_xll.RssMarket("208A","年初来高値")</f>
        <v>3570</v>
      </c>
      <c r="U56">
        <f>_xll.RssMarket("208A","年初来安値")</f>
        <v>2258</v>
      </c>
      <c r="V56">
        <f>_xll.RssMarket("208A","上場来高値")</f>
        <v>4950</v>
      </c>
      <c r="W56">
        <f>_xll.RssMarket("208A","上場来安値")</f>
        <v>2258</v>
      </c>
    </row>
    <row r="57" spans="1:23" x14ac:dyDescent="0.2">
      <c r="A57">
        <v>2108</v>
      </c>
      <c r="B57">
        <f>_xll.RssMarket("2108","銘柄コード")</f>
        <v>2108</v>
      </c>
      <c r="C57" t="str">
        <f>_xll.RssMarket("2108","銘柄名称")</f>
        <v>日本甜菜糖</v>
      </c>
      <c r="D57" t="str">
        <f>_xll.RssMarket("2108","現在日付")</f>
        <v>2026/03/05</v>
      </c>
      <c r="E57">
        <f>_xll.RssMarket("2108","現在値")</f>
        <v>4300</v>
      </c>
      <c r="F57">
        <f>_xll.RssMarket("2108","時価総額")</f>
        <v>55083</v>
      </c>
      <c r="G57">
        <f>_xll.RssMarket("2108","単位株数")</f>
        <v>100</v>
      </c>
      <c r="H57">
        <f>_xll.RssMarket("2108","配当")</f>
        <v>160</v>
      </c>
      <c r="I57">
        <f>_xll.RssMarket("2108","PER")</f>
        <v>11.05</v>
      </c>
      <c r="J57">
        <f>_xll.RssMarket("2108","PBR")</f>
        <v>0.71</v>
      </c>
      <c r="K57">
        <f>_xll.RssMarket("2108","信用売残")</f>
        <v>34000</v>
      </c>
      <c r="L57">
        <f>_xll.RssMarket("2108","信用売残前週比")</f>
        <v>-9500</v>
      </c>
      <c r="M57">
        <f>_xll.RssMarket("2108","信用買残")</f>
        <v>387800</v>
      </c>
      <c r="N57">
        <f>_xll.RssMarket("2108","信用買残前週比")</f>
        <v>-15800</v>
      </c>
      <c r="O57">
        <f>_xll.RssMarket("2108","信用倍率")</f>
        <v>11.41</v>
      </c>
      <c r="P57" t="str">
        <f>_xll.RssMarket("2108","配当落日")</f>
        <v>2026/03/30</v>
      </c>
      <c r="Q57" t="str">
        <f>_xll.RssMarket("2108","中配落日")</f>
        <v/>
      </c>
      <c r="R57" t="str">
        <f>_xll.RssMarket("2108","権利落日")</f>
        <v/>
      </c>
      <c r="S57" t="str">
        <f>_xll.RssMarket("2108","決算発表日")</f>
        <v>2026/02/13</v>
      </c>
      <c r="T57">
        <f>_xll.RssMarket("2108","年初来高値")</f>
        <v>4550</v>
      </c>
      <c r="U57">
        <f>_xll.RssMarket("2108","年初来安値")</f>
        <v>2021</v>
      </c>
      <c r="V57">
        <f>_xll.RssMarket("2108","上場来高値")</f>
        <v>4550</v>
      </c>
      <c r="W57">
        <f>_xll.RssMarket("2108","上場来安値")</f>
        <v>44</v>
      </c>
    </row>
    <row r="58" spans="1:23" x14ac:dyDescent="0.2">
      <c r="A58">
        <v>2109</v>
      </c>
      <c r="B58">
        <f>_xll.RssMarket("2109","銘柄コード")</f>
        <v>2109</v>
      </c>
      <c r="C58" t="str">
        <f>_xll.RssMarket("2109","銘柄名称")</f>
        <v>ＤＭ三井製糖</v>
      </c>
      <c r="D58" t="str">
        <f>_xll.RssMarket("2109","現在日付")</f>
        <v>2026/03/05</v>
      </c>
      <c r="E58">
        <f>_xll.RssMarket("2109","現在値")</f>
        <v>3455</v>
      </c>
      <c r="F58">
        <f>_xll.RssMarket("2109","時価総額")</f>
        <v>108710</v>
      </c>
      <c r="G58">
        <f>_xll.RssMarket("2109","単位株数")</f>
        <v>100</v>
      </c>
      <c r="H58">
        <f>_xll.RssMarket("2109","配当")</f>
        <v>130</v>
      </c>
      <c r="I58">
        <f>_xll.RssMarket("2109","PER")</f>
        <v>13.43</v>
      </c>
      <c r="J58">
        <f>_xll.RssMarket("2109","PBR")</f>
        <v>0.95</v>
      </c>
      <c r="K58">
        <f>_xll.RssMarket("2109","信用売残")</f>
        <v>4800</v>
      </c>
      <c r="L58">
        <f>_xll.RssMarket("2109","信用売残前週比")</f>
        <v>800</v>
      </c>
      <c r="M58">
        <f>_xll.RssMarket("2109","信用買残")</f>
        <v>28400</v>
      </c>
      <c r="N58">
        <f>_xll.RssMarket("2109","信用買残前週比")</f>
        <v>-2100</v>
      </c>
      <c r="O58">
        <f>_xll.RssMarket("2109","信用倍率")</f>
        <v>5.92</v>
      </c>
      <c r="P58" t="str">
        <f>_xll.RssMarket("2109","配当落日")</f>
        <v>2026/03/30</v>
      </c>
      <c r="Q58" t="str">
        <f>_xll.RssMarket("2109","中配落日")</f>
        <v>2026/09/29</v>
      </c>
      <c r="R58" t="str">
        <f>_xll.RssMarket("2109","権利落日")</f>
        <v/>
      </c>
      <c r="S58" t="str">
        <f>_xll.RssMarket("2109","決算発表日")</f>
        <v>-</v>
      </c>
      <c r="T58">
        <f>_xll.RssMarket("2109","年初来高値")</f>
        <v>3665</v>
      </c>
      <c r="U58">
        <f>_xll.RssMarket("2109","年初来安値")</f>
        <v>3000</v>
      </c>
      <c r="V58">
        <f>_xll.RssMarket("2109","上場来高値")</f>
        <v>4940</v>
      </c>
      <c r="W58">
        <f>_xll.RssMarket("2109","上場来安値")</f>
        <v>35</v>
      </c>
    </row>
    <row r="59" spans="1:23" x14ac:dyDescent="0.2">
      <c r="A59">
        <v>2112</v>
      </c>
      <c r="B59">
        <f>_xll.RssMarket("2112","銘柄コード")</f>
        <v>2112</v>
      </c>
      <c r="C59" t="str">
        <f>_xll.RssMarket("2112","銘柄名称")</f>
        <v>塩水港精糖</v>
      </c>
      <c r="D59" t="str">
        <f>_xll.RssMarket("2112","現在日付")</f>
        <v>2026/03/05</v>
      </c>
      <c r="E59">
        <f>_xll.RssMarket("2112","現在値")</f>
        <v>574</v>
      </c>
      <c r="F59">
        <f>_xll.RssMarket("2112","時価総額")</f>
        <v>20090</v>
      </c>
      <c r="G59">
        <f>_xll.RssMarket("2112","単位株数")</f>
        <v>100</v>
      </c>
      <c r="H59">
        <f>_xll.RssMarket("2112","配当")</f>
        <v>20</v>
      </c>
      <c r="I59">
        <f>_xll.RssMarket("2112","PER")</f>
        <v>5.85</v>
      </c>
      <c r="J59">
        <f>_xll.RssMarket("2112","PBR")</f>
        <v>0.86</v>
      </c>
      <c r="K59">
        <f>_xll.RssMarket("2112","信用売残")</f>
        <v>8600</v>
      </c>
      <c r="L59">
        <f>_xll.RssMarket("2112","信用売残前週比")</f>
        <v>-1600</v>
      </c>
      <c r="M59">
        <f>_xll.RssMarket("2112","信用買残")</f>
        <v>314600</v>
      </c>
      <c r="N59">
        <f>_xll.RssMarket("2112","信用買残前週比")</f>
        <v>-7200</v>
      </c>
      <c r="O59">
        <f>_xll.RssMarket("2112","信用倍率")</f>
        <v>36.58</v>
      </c>
      <c r="P59" t="str">
        <f>_xll.RssMarket("2112","配当落日")</f>
        <v>2026/03/30</v>
      </c>
      <c r="Q59" t="str">
        <f>_xll.RssMarket("2112","中配落日")</f>
        <v>2026/09/29</v>
      </c>
      <c r="R59" t="str">
        <f>_xll.RssMarket("2112","権利落日")</f>
        <v/>
      </c>
      <c r="S59" t="str">
        <f>_xll.RssMarket("2112","決算発表日")</f>
        <v>2026/02/06</v>
      </c>
      <c r="T59">
        <f>_xll.RssMarket("2112","年初来高値")</f>
        <v>595</v>
      </c>
      <c r="U59">
        <f>_xll.RssMarket("2112","年初来安値")</f>
        <v>272</v>
      </c>
      <c r="V59">
        <f>_xll.RssMarket("2112","上場来高値")</f>
        <v>2610</v>
      </c>
      <c r="W59">
        <f>_xll.RssMarket("2112","上場来安値")</f>
        <v>43</v>
      </c>
    </row>
    <row r="60" spans="1:23" x14ac:dyDescent="0.2">
      <c r="A60">
        <v>2114</v>
      </c>
      <c r="B60">
        <f>_xll.RssMarket("2114","銘柄コード")</f>
        <v>2114</v>
      </c>
      <c r="C60" t="str">
        <f>_xll.RssMarket("2114","銘柄名称")</f>
        <v>フジ日本</v>
      </c>
      <c r="D60" t="str">
        <f>_xll.RssMarket("2114","現在日付")</f>
        <v>2026/03/05</v>
      </c>
      <c r="E60">
        <f>_xll.RssMarket("2114","現在値")</f>
        <v>665</v>
      </c>
      <c r="F60">
        <f>_xll.RssMarket("2114","時価総額")</f>
        <v>34205</v>
      </c>
      <c r="G60">
        <f>_xll.RssMarket("2114","単位株数")</f>
        <v>100</v>
      </c>
      <c r="H60">
        <f>_xll.RssMarket("2114","配当")</f>
        <v>18</v>
      </c>
      <c r="I60">
        <f>_xll.RssMarket("2114","PER")</f>
        <v>11.36</v>
      </c>
      <c r="J60">
        <f>_xll.RssMarket("2114","PBR")</f>
        <v>1.32</v>
      </c>
      <c r="K60">
        <f>_xll.RssMarket("2114","信用売残")</f>
        <v>3200</v>
      </c>
      <c r="L60">
        <f>_xll.RssMarket("2114","信用売残前週比")</f>
        <v>1700</v>
      </c>
      <c r="M60">
        <f>_xll.RssMarket("2114","信用買残")</f>
        <v>33700</v>
      </c>
      <c r="N60">
        <f>_xll.RssMarket("2114","信用買残前週比")</f>
        <v>-600</v>
      </c>
      <c r="O60">
        <f>_xll.RssMarket("2114","信用倍率")</f>
        <v>10.53</v>
      </c>
      <c r="P60" t="str">
        <f>_xll.RssMarket("2114","配当落日")</f>
        <v>2026/03/30</v>
      </c>
      <c r="Q60" t="str">
        <f>_xll.RssMarket("2114","中配落日")</f>
        <v>2026/09/29</v>
      </c>
      <c r="R60" t="str">
        <f>_xll.RssMarket("2114","権利落日")</f>
        <v>2025/12/29</v>
      </c>
      <c r="S60" t="str">
        <f>_xll.RssMarket("2114","決算発表日")</f>
        <v>-</v>
      </c>
      <c r="T60">
        <f>_xll.RssMarket("2114","年初来高値")</f>
        <v>678</v>
      </c>
      <c r="U60">
        <f>_xll.RssMarket("2114","年初来安値")</f>
        <v>592</v>
      </c>
      <c r="V60">
        <f>_xll.RssMarket("2114","上場来高値")</f>
        <v>1310</v>
      </c>
      <c r="W60">
        <f>_xll.RssMarket("2114","上場来安値")</f>
        <v>80</v>
      </c>
    </row>
    <row r="61" spans="1:23" x14ac:dyDescent="0.2">
      <c r="A61">
        <v>2117</v>
      </c>
      <c r="B61">
        <f>_xll.RssMarket("2117","銘柄コード")</f>
        <v>2117</v>
      </c>
      <c r="C61" t="str">
        <f>_xll.RssMarket("2117","銘柄名称")</f>
        <v>ウェルネオシュガー</v>
      </c>
      <c r="D61" t="str">
        <f>_xll.RssMarket("2117","現在日付")</f>
        <v>2026/03/05</v>
      </c>
      <c r="E61">
        <f>_xll.RssMarket("2117","現在値")</f>
        <v>2944</v>
      </c>
      <c r="F61">
        <f>_xll.RssMarket("2117","時価総額")</f>
        <v>96563</v>
      </c>
      <c r="G61">
        <f>_xll.RssMarket("2117","単位株数")</f>
        <v>100</v>
      </c>
      <c r="H61">
        <f>_xll.RssMarket("2117","配当")</f>
        <v>108</v>
      </c>
      <c r="I61">
        <f>_xll.RssMarket("2117","PER")</f>
        <v>15.3</v>
      </c>
      <c r="J61">
        <f>_xll.RssMarket("2117","PBR")</f>
        <v>1.27</v>
      </c>
      <c r="K61">
        <f>_xll.RssMarket("2117","信用売残")</f>
        <v>8600</v>
      </c>
      <c r="L61">
        <f>_xll.RssMarket("2117","信用売残前週比")</f>
        <v>1200</v>
      </c>
      <c r="M61">
        <f>_xll.RssMarket("2117","信用買残")</f>
        <v>33300</v>
      </c>
      <c r="N61">
        <f>_xll.RssMarket("2117","信用買残前週比")</f>
        <v>-300</v>
      </c>
      <c r="O61">
        <f>_xll.RssMarket("2117","信用倍率")</f>
        <v>3.87</v>
      </c>
      <c r="P61" t="str">
        <f>_xll.RssMarket("2117","配当落日")</f>
        <v>2026/03/30</v>
      </c>
      <c r="Q61" t="str">
        <f>_xll.RssMarket("2117","中配落日")</f>
        <v>2026/09/29</v>
      </c>
      <c r="R61" t="str">
        <f>_xll.RssMarket("2117","権利落日")</f>
        <v>2016/02/25</v>
      </c>
      <c r="S61" t="str">
        <f>_xll.RssMarket("2117","決算発表日")</f>
        <v>2026/02/09</v>
      </c>
      <c r="T61">
        <f>_xll.RssMarket("2117","年初来高値")</f>
        <v>3050</v>
      </c>
      <c r="U61">
        <f>_xll.RssMarket("2117","年初来安値")</f>
        <v>2100</v>
      </c>
      <c r="V61">
        <f>_xll.RssMarket("2117","上場来高値")</f>
        <v>5490</v>
      </c>
      <c r="W61">
        <f>_xll.RssMarket("2117","上場来安値")</f>
        <v>1295</v>
      </c>
    </row>
    <row r="62" spans="1:23" x14ac:dyDescent="0.2">
      <c r="A62" t="s">
        <v>21</v>
      </c>
      <c r="B62" t="str">
        <f>_xll.RssMarket("211A","銘柄コード")</f>
        <v>211A</v>
      </c>
      <c r="C62" t="str">
        <f>_xll.RssMarket("211A","銘柄名称")</f>
        <v>カドス・コーポレーション</v>
      </c>
      <c r="D62" t="str">
        <f>_xll.RssMarket("211A","現在日付")</f>
        <v>2026/03/05</v>
      </c>
      <c r="E62">
        <f>_xll.RssMarket("211A","現在値")</f>
        <v>4520</v>
      </c>
      <c r="F62">
        <f>_xll.RssMarket("211A","時価総額")</f>
        <v>4576</v>
      </c>
      <c r="G62">
        <f>_xll.RssMarket("211A","単位株数")</f>
        <v>100</v>
      </c>
      <c r="H62">
        <f>_xll.RssMarket("211A","配当")</f>
        <v>180</v>
      </c>
      <c r="I62">
        <f>_xll.RssMarket("211A","PER")</f>
        <v>6.69</v>
      </c>
      <c r="J62">
        <f>_xll.RssMarket("211A","PBR")</f>
        <v>1.04</v>
      </c>
      <c r="K62" t="str">
        <f>_xll.RssMarket("211A","信用売残")</f>
        <v>-</v>
      </c>
      <c r="L62" t="str">
        <f>_xll.RssMarket("211A","信用売残前週比")</f>
        <v>-</v>
      </c>
      <c r="M62">
        <f>_xll.RssMarket("211A","信用買残")</f>
        <v>55700</v>
      </c>
      <c r="N62">
        <f>_xll.RssMarket("211A","信用買残前週比")</f>
        <v>200</v>
      </c>
      <c r="O62">
        <f>_xll.RssMarket("211A","信用倍率")</f>
        <v>0</v>
      </c>
      <c r="P62" t="str">
        <f>_xll.RssMarket("211A","配当落日")</f>
        <v>2026/07/30</v>
      </c>
      <c r="Q62" t="str">
        <f>_xll.RssMarket("211A","中配落日")</f>
        <v>2027/01/28</v>
      </c>
      <c r="R62" t="str">
        <f>_xll.RssMarket("211A","権利落日")</f>
        <v/>
      </c>
      <c r="S62" t="str">
        <f>_xll.RssMarket("211A","決算発表日")</f>
        <v>2026/03/13</v>
      </c>
      <c r="T62">
        <f>_xll.RssMarket("211A","年初来高値")</f>
        <v>5350</v>
      </c>
      <c r="U62">
        <f>_xll.RssMarket("211A","年初来安値")</f>
        <v>2575</v>
      </c>
      <c r="V62">
        <f>_xll.RssMarket("211A","上場来高値")</f>
        <v>5350</v>
      </c>
      <c r="W62">
        <f>_xll.RssMarket("211A","上場来安値")</f>
        <v>1680</v>
      </c>
    </row>
    <row r="63" spans="1:23" x14ac:dyDescent="0.2">
      <c r="A63">
        <v>2120</v>
      </c>
      <c r="B63">
        <f>_xll.RssMarket("2120","銘柄コード")</f>
        <v>2120</v>
      </c>
      <c r="C63" t="str">
        <f>_xll.RssMarket("2120","銘柄名称")</f>
        <v>ＬＩＦＵＬＬ</v>
      </c>
      <c r="D63" t="str">
        <f>_xll.RssMarket("2120","現在日付")</f>
        <v>2026/03/05</v>
      </c>
      <c r="E63">
        <f>_xll.RssMarket("2120","現在値")</f>
        <v>210</v>
      </c>
      <c r="F63">
        <f>_xll.RssMarket("2120","時価総額")</f>
        <v>28258</v>
      </c>
      <c r="G63">
        <f>_xll.RssMarket("2120","単位株数")</f>
        <v>100</v>
      </c>
      <c r="H63">
        <f>_xll.RssMarket("2120","配当")</f>
        <v>5.21</v>
      </c>
      <c r="I63">
        <f>_xll.RssMarket("2120","PER")</f>
        <v>14.18</v>
      </c>
      <c r="J63">
        <f>_xll.RssMarket("2120","PBR")</f>
        <v>1.03</v>
      </c>
      <c r="K63">
        <f>_xll.RssMarket("2120","信用売残")</f>
        <v>1085600</v>
      </c>
      <c r="L63">
        <f>_xll.RssMarket("2120","信用売残前週比")</f>
        <v>591500</v>
      </c>
      <c r="M63">
        <f>_xll.RssMarket("2120","信用買残")</f>
        <v>3508600</v>
      </c>
      <c r="N63">
        <f>_xll.RssMarket("2120","信用買残前週比")</f>
        <v>-189900</v>
      </c>
      <c r="O63">
        <f>_xll.RssMarket("2120","信用倍率")</f>
        <v>3.23</v>
      </c>
      <c r="P63" t="str">
        <f>_xll.RssMarket("2120","配当落日")</f>
        <v>2026/09/29</v>
      </c>
      <c r="Q63" t="str">
        <f>_xll.RssMarket("2120","中配落日")</f>
        <v>2026/03/30</v>
      </c>
      <c r="R63" t="str">
        <f>_xll.RssMarket("2120","権利落日")</f>
        <v>2015/05/27</v>
      </c>
      <c r="S63" t="str">
        <f>_xll.RssMarket("2120","決算発表日")</f>
        <v>2026/02/12</v>
      </c>
      <c r="T63">
        <f>_xll.RssMarket("2120","年初来高値")</f>
        <v>240</v>
      </c>
      <c r="U63">
        <f>_xll.RssMarket("2120","年初来安値")</f>
        <v>120</v>
      </c>
      <c r="V63">
        <f>_xll.RssMarket("2120","上場来高値")</f>
        <v>410000</v>
      </c>
      <c r="W63">
        <f>_xll.RssMarket("2120","上場来安値")</f>
        <v>100</v>
      </c>
    </row>
    <row r="64" spans="1:23" x14ac:dyDescent="0.2">
      <c r="A64">
        <v>2121</v>
      </c>
      <c r="B64">
        <f>_xll.RssMarket("2121","銘柄コード")</f>
        <v>2121</v>
      </c>
      <c r="C64" t="str">
        <f>_xll.RssMarket("2121","銘柄名称")</f>
        <v>ＭＩＸＩ</v>
      </c>
      <c r="D64" t="str">
        <f>_xll.RssMarket("2121","現在日付")</f>
        <v>2026/03/05</v>
      </c>
      <c r="E64">
        <f>_xll.RssMarket("2121","現在値")</f>
        <v>2595</v>
      </c>
      <c r="F64">
        <f>_xll.RssMarket("2121","時価総額")</f>
        <v>185103</v>
      </c>
      <c r="G64">
        <f>_xll.RssMarket("2121","単位株数")</f>
        <v>100</v>
      </c>
      <c r="H64">
        <f>_xll.RssMarket("2121","配当")</f>
        <v>120</v>
      </c>
      <c r="I64">
        <f>_xll.RssMarket("2121","PER")</f>
        <v>12.33</v>
      </c>
      <c r="J64">
        <f>_xll.RssMarket("2121","PBR")</f>
        <v>0.98</v>
      </c>
      <c r="K64">
        <f>_xll.RssMarket("2121","信用売残")</f>
        <v>17600</v>
      </c>
      <c r="L64">
        <f>_xll.RssMarket("2121","信用売残前週比")</f>
        <v>-1900</v>
      </c>
      <c r="M64">
        <f>_xll.RssMarket("2121","信用買残")</f>
        <v>494300</v>
      </c>
      <c r="N64">
        <f>_xll.RssMarket("2121","信用買残前週比")</f>
        <v>2300</v>
      </c>
      <c r="O64">
        <f>_xll.RssMarket("2121","信用倍率")</f>
        <v>28.09</v>
      </c>
      <c r="P64" t="str">
        <f>_xll.RssMarket("2121","配当落日")</f>
        <v>2026/03/30</v>
      </c>
      <c r="Q64" t="str">
        <f>_xll.RssMarket("2121","中配落日")</f>
        <v>2026/09/29</v>
      </c>
      <c r="R64" t="str">
        <f>_xll.RssMarket("2121","権利落日")</f>
        <v/>
      </c>
      <c r="S64" t="str">
        <f>_xll.RssMarket("2121","決算発表日")</f>
        <v>-</v>
      </c>
      <c r="T64">
        <f>_xll.RssMarket("2121","年初来高値")</f>
        <v>3945</v>
      </c>
      <c r="U64">
        <f>_xll.RssMarket("2121","年初来安値")</f>
        <v>2581</v>
      </c>
      <c r="V64">
        <f>_xll.RssMarket("2121","上場来高値")</f>
        <v>3250000</v>
      </c>
      <c r="W64">
        <f>_xll.RssMarket("2121","上場来安値")</f>
        <v>1064</v>
      </c>
    </row>
    <row r="65" spans="1:23" x14ac:dyDescent="0.2">
      <c r="A65">
        <v>2122</v>
      </c>
      <c r="B65">
        <f>_xll.RssMarket("2122","銘柄コード")</f>
        <v>2122</v>
      </c>
      <c r="C65" t="str">
        <f>_xll.RssMarket("2122","銘柄名称")</f>
        <v>インタースペース</v>
      </c>
      <c r="D65" t="str">
        <f>_xll.RssMarket("2122","現在日付")</f>
        <v>2026/03/05</v>
      </c>
      <c r="E65">
        <f>_xll.RssMarket("2122","現在値")</f>
        <v>1305</v>
      </c>
      <c r="F65">
        <f>_xll.RssMarket("2122","時価総額")</f>
        <v>9092</v>
      </c>
      <c r="G65">
        <f>_xll.RssMarket("2122","単位株数")</f>
        <v>100</v>
      </c>
      <c r="H65">
        <f>_xll.RssMarket("2122","配当")</f>
        <v>30</v>
      </c>
      <c r="I65">
        <f>_xll.RssMarket("2122","PER")</f>
        <v>19.5</v>
      </c>
      <c r="J65">
        <f>_xll.RssMarket("2122","PBR")</f>
        <v>1.45</v>
      </c>
      <c r="K65" t="str">
        <f>_xll.RssMarket("2122","信用売残")</f>
        <v>-</v>
      </c>
      <c r="L65" t="str">
        <f>_xll.RssMarket("2122","信用売残前週比")</f>
        <v>-</v>
      </c>
      <c r="M65">
        <f>_xll.RssMarket("2122","信用買残")</f>
        <v>51100</v>
      </c>
      <c r="N65">
        <f>_xll.RssMarket("2122","信用買残前週比")</f>
        <v>-5600</v>
      </c>
      <c r="O65">
        <f>_xll.RssMarket("2122","信用倍率")</f>
        <v>0</v>
      </c>
      <c r="P65" t="str">
        <f>_xll.RssMarket("2122","配当落日")</f>
        <v>2026/09/29</v>
      </c>
      <c r="Q65" t="str">
        <f>_xll.RssMarket("2122","中配落日")</f>
        <v>2026/03/30</v>
      </c>
      <c r="R65" t="str">
        <f>_xll.RssMarket("2122","権利落日")</f>
        <v/>
      </c>
      <c r="S65" t="str">
        <f>_xll.RssMarket("2122","決算発表日")</f>
        <v>2026/02/10</v>
      </c>
      <c r="T65">
        <f>_xll.RssMarket("2122","年初来高値")</f>
        <v>1483</v>
      </c>
      <c r="U65">
        <f>_xll.RssMarket("2122","年初来安値")</f>
        <v>868</v>
      </c>
      <c r="V65">
        <f>_xll.RssMarket("2122","上場来高値")</f>
        <v>1260000</v>
      </c>
      <c r="W65">
        <f>_xll.RssMarket("2122","上場来安値")</f>
        <v>600</v>
      </c>
    </row>
    <row r="66" spans="1:23" x14ac:dyDescent="0.2">
      <c r="A66">
        <v>2124</v>
      </c>
      <c r="B66">
        <f>_xll.RssMarket("2124","銘柄コード")</f>
        <v>2124</v>
      </c>
      <c r="C66" t="str">
        <f>_xll.RssMarket("2124","銘柄名称")</f>
        <v>ジェイエイシーリクルートメント</v>
      </c>
      <c r="D66" t="str">
        <f>_xll.RssMarket("2124","現在日付")</f>
        <v>2026/03/05</v>
      </c>
      <c r="E66">
        <f>_xll.RssMarket("2124","現在値")</f>
        <v>874</v>
      </c>
      <c r="F66">
        <f>_xll.RssMarket("2124","時価総額")</f>
        <v>144696</v>
      </c>
      <c r="G66">
        <f>_xll.RssMarket("2124","単位株数")</f>
        <v>100</v>
      </c>
      <c r="H66">
        <f>_xll.RssMarket("2124","配当")</f>
        <v>38</v>
      </c>
      <c r="I66">
        <f>_xll.RssMarket("2124","PER")</f>
        <v>16.09</v>
      </c>
      <c r="J66">
        <f>_xll.RssMarket("2124","PBR")</f>
        <v>6.19</v>
      </c>
      <c r="K66">
        <f>_xll.RssMarket("2124","信用売残")</f>
        <v>49100</v>
      </c>
      <c r="L66">
        <f>_xll.RssMarket("2124","信用売残前週比")</f>
        <v>15100</v>
      </c>
      <c r="M66">
        <f>_xll.RssMarket("2124","信用買残")</f>
        <v>418100</v>
      </c>
      <c r="N66">
        <f>_xll.RssMarket("2124","信用買残前週比")</f>
        <v>73000</v>
      </c>
      <c r="O66">
        <f>_xll.RssMarket("2124","信用倍率")</f>
        <v>8.52</v>
      </c>
      <c r="P66" t="str">
        <f>_xll.RssMarket("2124","配当落日")</f>
        <v>2026/12/29</v>
      </c>
      <c r="Q66" t="str">
        <f>_xll.RssMarket("2124","中配落日")</f>
        <v>2026/06/29</v>
      </c>
      <c r="R66" t="str">
        <f>_xll.RssMarket("2124","権利落日")</f>
        <v>2023/12/28</v>
      </c>
      <c r="S66" t="str">
        <f>_xll.RssMarket("2124","決算発表日")</f>
        <v>2026/02/13</v>
      </c>
      <c r="T66">
        <f>_xll.RssMarket("2124","年初来高値")</f>
        <v>1179</v>
      </c>
      <c r="U66">
        <f>_xll.RssMarket("2124","年初来安値")</f>
        <v>645</v>
      </c>
      <c r="V66">
        <f>_xll.RssMarket("2124","上場来高値")</f>
        <v>27990</v>
      </c>
      <c r="W66">
        <f>_xll.RssMarket("2124","上場来安値")</f>
        <v>589</v>
      </c>
    </row>
    <row r="67" spans="1:23" x14ac:dyDescent="0.2">
      <c r="A67">
        <v>2127</v>
      </c>
      <c r="B67">
        <f>_xll.RssMarket("2127","銘柄コード")</f>
        <v>2127</v>
      </c>
      <c r="C67" t="str">
        <f>_xll.RssMarket("2127","銘柄名称")</f>
        <v>日本Ｍ＆Ａセンターホールデ</v>
      </c>
      <c r="D67" t="str">
        <f>_xll.RssMarket("2127","現在日付")</f>
        <v>2026/03/05</v>
      </c>
      <c r="E67">
        <f>_xll.RssMarket("2127","現在値")</f>
        <v>644.4</v>
      </c>
      <c r="F67">
        <f>_xll.RssMarket("2127","時価総額")</f>
        <v>217120</v>
      </c>
      <c r="G67">
        <f>_xll.RssMarket("2127","単位株数")</f>
        <v>100</v>
      </c>
      <c r="H67">
        <f>_xll.RssMarket("2127","配当")</f>
        <v>29</v>
      </c>
      <c r="I67">
        <f>_xll.RssMarket("2127","PER")</f>
        <v>17.32</v>
      </c>
      <c r="J67">
        <f>_xll.RssMarket("2127","PBR")</f>
        <v>4.26</v>
      </c>
      <c r="K67">
        <f>_xll.RssMarket("2127","信用売残")</f>
        <v>202800</v>
      </c>
      <c r="L67">
        <f>_xll.RssMarket("2127","信用売残前週比")</f>
        <v>-100100</v>
      </c>
      <c r="M67">
        <f>_xll.RssMarket("2127","信用買残")</f>
        <v>3098300</v>
      </c>
      <c r="N67">
        <f>_xll.RssMarket("2127","信用買残前週比")</f>
        <v>-247200</v>
      </c>
      <c r="O67">
        <f>_xll.RssMarket("2127","信用倍率")</f>
        <v>15.28</v>
      </c>
      <c r="P67" t="str">
        <f>_xll.RssMarket("2127","配当落日")</f>
        <v>2026/03/30</v>
      </c>
      <c r="Q67" t="str">
        <f>_xll.RssMarket("2127","中配落日")</f>
        <v>2026/09/29</v>
      </c>
      <c r="R67" t="str">
        <f>_xll.RssMarket("2127","権利落日")</f>
        <v>2021/03/30</v>
      </c>
      <c r="S67" t="str">
        <f>_xll.RssMarket("2127","決算発表日")</f>
        <v>-</v>
      </c>
      <c r="T67">
        <f>_xll.RssMarket("2127","年初来高値")</f>
        <v>813</v>
      </c>
      <c r="U67">
        <f>_xll.RssMarket("2127","年初来安値")</f>
        <v>483.2</v>
      </c>
      <c r="V67">
        <f>_xll.RssMarket("2127","上場来高値")</f>
        <v>3390000</v>
      </c>
      <c r="W67">
        <f>_xll.RssMarket("2127","上場来安値")</f>
        <v>483.2</v>
      </c>
    </row>
    <row r="68" spans="1:23" x14ac:dyDescent="0.2">
      <c r="A68" t="s">
        <v>22</v>
      </c>
      <c r="B68" t="str">
        <f>_xll.RssMarket("212A","銘柄コード")</f>
        <v>212A</v>
      </c>
      <c r="C68" t="str">
        <f>_xll.RssMarket("212A","銘柄名称")</f>
        <v>フィットイージー</v>
      </c>
      <c r="D68" t="str">
        <f>_xll.RssMarket("212A","現在日付")</f>
        <v>2026/03/05</v>
      </c>
      <c r="E68">
        <f>_xll.RssMarket("212A","現在値")</f>
        <v>2500</v>
      </c>
      <c r="F68">
        <f>_xll.RssMarket("212A","時価総額")</f>
        <v>41300</v>
      </c>
      <c r="G68">
        <f>_xll.RssMarket("212A","単位株数")</f>
        <v>100</v>
      </c>
      <c r="H68">
        <f>_xll.RssMarket("212A","配当")</f>
        <v>46</v>
      </c>
      <c r="I68">
        <f>_xll.RssMarket("212A","PER")</f>
        <v>19.21</v>
      </c>
      <c r="J68">
        <f>_xll.RssMarket("212A","PBR")</f>
        <v>7.02</v>
      </c>
      <c r="K68">
        <f>_xll.RssMarket("212A","信用売残")</f>
        <v>2900</v>
      </c>
      <c r="L68">
        <f>_xll.RssMarket("212A","信用売残前週比")</f>
        <v>-100</v>
      </c>
      <c r="M68">
        <f>_xll.RssMarket("212A","信用買残")</f>
        <v>809500</v>
      </c>
      <c r="N68">
        <f>_xll.RssMarket("212A","信用買残前週比")</f>
        <v>-12400</v>
      </c>
      <c r="O68">
        <f>_xll.RssMarket("212A","信用倍率")</f>
        <v>279.14</v>
      </c>
      <c r="P68" t="str">
        <f>_xll.RssMarket("212A","配当落日")</f>
        <v>2026/10/29</v>
      </c>
      <c r="Q68" t="str">
        <f>_xll.RssMarket("212A","中配落日")</f>
        <v>2026/04/28</v>
      </c>
      <c r="R68" t="str">
        <f>_xll.RssMarket("212A","権利落日")</f>
        <v/>
      </c>
      <c r="S68" t="str">
        <f>_xll.RssMarket("212A","決算発表日")</f>
        <v>2026/03/13</v>
      </c>
      <c r="T68">
        <f>_xll.RssMarket("212A","年初来高値")</f>
        <v>3600</v>
      </c>
      <c r="U68">
        <f>_xll.RssMarket("212A","年初来安値")</f>
        <v>1199</v>
      </c>
      <c r="V68">
        <f>_xll.RssMarket("212A","上場来高値")</f>
        <v>3600</v>
      </c>
      <c r="W68">
        <f>_xll.RssMarket("212A","上場来安値")</f>
        <v>700</v>
      </c>
    </row>
    <row r="69" spans="1:23" x14ac:dyDescent="0.2">
      <c r="A69">
        <v>2130</v>
      </c>
      <c r="B69">
        <f>_xll.RssMarket("2130","銘柄コード")</f>
        <v>2130</v>
      </c>
      <c r="C69" t="str">
        <f>_xll.RssMarket("2130","銘柄名称")</f>
        <v>メンバーズ</v>
      </c>
      <c r="D69" t="str">
        <f>_xll.RssMarket("2130","現在日付")</f>
        <v>2026/03/05</v>
      </c>
      <c r="E69">
        <f>_xll.RssMarket("2130","現在値")</f>
        <v>1131</v>
      </c>
      <c r="F69">
        <f>_xll.RssMarket("2130","時価総額")</f>
        <v>15181</v>
      </c>
      <c r="G69">
        <f>_xll.RssMarket("2130","単位株数")</f>
        <v>100</v>
      </c>
      <c r="H69">
        <f>_xll.RssMarket("2130","配当")</f>
        <v>33</v>
      </c>
      <c r="I69">
        <f>_xll.RssMarket("2130","PER")</f>
        <v>15.05</v>
      </c>
      <c r="J69">
        <f>_xll.RssMarket("2130","PBR")</f>
        <v>2.59</v>
      </c>
      <c r="K69">
        <f>_xll.RssMarket("2130","信用売残")</f>
        <v>7400</v>
      </c>
      <c r="L69">
        <f>_xll.RssMarket("2130","信用売残前週比")</f>
        <v>-1300</v>
      </c>
      <c r="M69">
        <f>_xll.RssMarket("2130","信用買残")</f>
        <v>391600</v>
      </c>
      <c r="N69">
        <f>_xll.RssMarket("2130","信用買残前週比")</f>
        <v>2400</v>
      </c>
      <c r="O69">
        <f>_xll.RssMarket("2130","信用倍率")</f>
        <v>52.92</v>
      </c>
      <c r="P69" t="str">
        <f>_xll.RssMarket("2130","配当落日")</f>
        <v>2026/03/30</v>
      </c>
      <c r="Q69" t="str">
        <f>_xll.RssMarket("2130","中配落日")</f>
        <v>2026/09/29</v>
      </c>
      <c r="R69" t="str">
        <f>_xll.RssMarket("2130","権利落日")</f>
        <v>2016/12/28</v>
      </c>
      <c r="S69" t="str">
        <f>_xll.RssMarket("2130","決算発表日")</f>
        <v>-</v>
      </c>
      <c r="T69">
        <f>_xll.RssMarket("2130","年初来高値")</f>
        <v>1478</v>
      </c>
      <c r="U69">
        <f>_xll.RssMarket("2130","年初来安値")</f>
        <v>876</v>
      </c>
      <c r="V69">
        <f>_xll.RssMarket("2130","上場来高値")</f>
        <v>3655</v>
      </c>
      <c r="W69">
        <f>_xll.RssMarket("2130","上場来安値")</f>
        <v>483</v>
      </c>
    </row>
    <row r="70" spans="1:23" x14ac:dyDescent="0.2">
      <c r="A70">
        <v>2134</v>
      </c>
      <c r="B70">
        <f>_xll.RssMarket("2134","銘柄コード")</f>
        <v>2134</v>
      </c>
      <c r="C70" t="str">
        <f>_xll.RssMarket("2134","銘柄名称")</f>
        <v>北浜キャピタルパートナー</v>
      </c>
      <c r="D70" t="str">
        <f>_xll.RssMarket("2134","現在日付")</f>
        <v>2026/03/05</v>
      </c>
      <c r="E70">
        <f>_xll.RssMarket("2134","現在値")</f>
        <v>34</v>
      </c>
      <c r="F70">
        <f>_xll.RssMarket("2134","時価総額")</f>
        <v>18621</v>
      </c>
      <c r="G70">
        <f>_xll.RssMarket("2134","単位株数")</f>
        <v>100</v>
      </c>
      <c r="H70">
        <f>_xll.RssMarket("2134","配当")</f>
        <v>0</v>
      </c>
      <c r="I70">
        <f>_xll.RssMarket("2134","PER")</f>
        <v>0</v>
      </c>
      <c r="J70">
        <f>_xll.RssMarket("2134","PBR")</f>
        <v>3.13</v>
      </c>
      <c r="K70" t="str">
        <f>_xll.RssMarket("2134","信用売残")</f>
        <v>-</v>
      </c>
      <c r="L70" t="str">
        <f>_xll.RssMarket("2134","信用売残前週比")</f>
        <v>-</v>
      </c>
      <c r="M70">
        <f>_xll.RssMarket("2134","信用買残")</f>
        <v>12498400</v>
      </c>
      <c r="N70">
        <f>_xll.RssMarket("2134","信用買残前週比")</f>
        <v>395000</v>
      </c>
      <c r="O70">
        <f>_xll.RssMarket("2134","信用倍率")</f>
        <v>0</v>
      </c>
      <c r="P70" t="str">
        <f>_xll.RssMarket("2134","配当落日")</f>
        <v>2026/03/30</v>
      </c>
      <c r="Q70" t="str">
        <f>_xll.RssMarket("2134","中配落日")</f>
        <v>2026/09/29</v>
      </c>
      <c r="R70" t="str">
        <f>_xll.RssMarket("2134","権利落日")</f>
        <v/>
      </c>
      <c r="S70" t="str">
        <f>_xll.RssMarket("2134","決算発表日")</f>
        <v>2026/02/16</v>
      </c>
      <c r="T70">
        <f>_xll.RssMarket("2134","年初来高値")</f>
        <v>111</v>
      </c>
      <c r="U70">
        <f>_xll.RssMarket("2134","年初来安値")</f>
        <v>15</v>
      </c>
      <c r="V70">
        <f>_xll.RssMarket("2134","上場来高値")</f>
        <v>2060000</v>
      </c>
      <c r="W70">
        <f>_xll.RssMarket("2134","上場来安値")</f>
        <v>8</v>
      </c>
    </row>
    <row r="71" spans="1:23" x14ac:dyDescent="0.2">
      <c r="A71">
        <v>2136</v>
      </c>
      <c r="B71">
        <f>_xll.RssMarket("2136","銘柄コード")</f>
        <v>2136</v>
      </c>
      <c r="C71" t="str">
        <f>_xll.RssMarket("2136","銘柄名称")</f>
        <v>ヒップ</v>
      </c>
      <c r="D71" t="str">
        <f>_xll.RssMarket("2136","現在日付")</f>
        <v>2026/03/05</v>
      </c>
      <c r="E71">
        <f>_xll.RssMarket("2136","現在値")</f>
        <v>1554</v>
      </c>
      <c r="F71">
        <f>_xll.RssMarket("2136","時価総額")</f>
        <v>6177</v>
      </c>
      <c r="G71">
        <f>_xll.RssMarket("2136","単位株数")</f>
        <v>100</v>
      </c>
      <c r="H71">
        <f>_xll.RssMarket("2136","配当")</f>
        <v>70</v>
      </c>
      <c r="I71">
        <f>_xll.RssMarket("2136","PER")</f>
        <v>15.55</v>
      </c>
      <c r="J71">
        <f>_xll.RssMarket("2136","PBR")</f>
        <v>1.52</v>
      </c>
      <c r="K71" t="str">
        <f>_xll.RssMarket("2136","信用売残")</f>
        <v>-</v>
      </c>
      <c r="L71" t="str">
        <f>_xll.RssMarket("2136","信用売残前週比")</f>
        <v>-</v>
      </c>
      <c r="M71">
        <f>_xll.RssMarket("2136","信用買残")</f>
        <v>30000</v>
      </c>
      <c r="N71">
        <f>_xll.RssMarket("2136","信用買残前週比")</f>
        <v>-1200</v>
      </c>
      <c r="O71">
        <f>_xll.RssMarket("2136","信用倍率")</f>
        <v>0</v>
      </c>
      <c r="P71" t="str">
        <f>_xll.RssMarket("2136","配当落日")</f>
        <v>2026/03/30</v>
      </c>
      <c r="Q71" t="str">
        <f>_xll.RssMarket("2136","中配落日")</f>
        <v>2026/09/29</v>
      </c>
      <c r="R71" t="str">
        <f>_xll.RssMarket("2136","権利落日")</f>
        <v/>
      </c>
      <c r="S71" t="str">
        <f>_xll.RssMarket("2136","決算発表日")</f>
        <v>-</v>
      </c>
      <c r="T71">
        <f>_xll.RssMarket("2136","年初来高値")</f>
        <v>1661</v>
      </c>
      <c r="U71">
        <f>_xll.RssMarket("2136","年初来安値")</f>
        <v>895</v>
      </c>
      <c r="V71">
        <f>_xll.RssMarket("2136","上場来高値")</f>
        <v>595000</v>
      </c>
      <c r="W71">
        <f>_xll.RssMarket("2136","上場来安値")</f>
        <v>314</v>
      </c>
    </row>
    <row r="72" spans="1:23" x14ac:dyDescent="0.2">
      <c r="A72">
        <v>2138</v>
      </c>
      <c r="B72">
        <f>_xll.RssMarket("2138","銘柄コード")</f>
        <v>2138</v>
      </c>
      <c r="C72" t="str">
        <f>_xll.RssMarket("2138","銘柄名称")</f>
        <v>クルーズ</v>
      </c>
      <c r="D72" t="str">
        <f>_xll.RssMarket("2138","現在日付")</f>
        <v>2026/03/05</v>
      </c>
      <c r="E72">
        <f>_xll.RssMarket("2138","現在値")</f>
        <v>567</v>
      </c>
      <c r="F72">
        <f>_xll.RssMarket("2138","時価総額")</f>
        <v>7346</v>
      </c>
      <c r="G72">
        <f>_xll.RssMarket("2138","単位株数")</f>
        <v>100</v>
      </c>
      <c r="H72">
        <f>_xll.RssMarket("2138","配当")</f>
        <v>0</v>
      </c>
      <c r="I72">
        <f>_xll.RssMarket("2138","PER")</f>
        <v>0</v>
      </c>
      <c r="J72">
        <f>_xll.RssMarket("2138","PBR")</f>
        <v>0.6</v>
      </c>
      <c r="K72">
        <f>_xll.RssMarket("2138","信用売残")</f>
        <v>36700</v>
      </c>
      <c r="L72">
        <f>_xll.RssMarket("2138","信用売残前週比")</f>
        <v>-1800</v>
      </c>
      <c r="M72">
        <f>_xll.RssMarket("2138","信用買残")</f>
        <v>412200</v>
      </c>
      <c r="N72">
        <f>_xll.RssMarket("2138","信用買残前週比")</f>
        <v>-1000</v>
      </c>
      <c r="O72">
        <f>_xll.RssMarket("2138","信用倍率")</f>
        <v>11.23</v>
      </c>
      <c r="P72" t="str">
        <f>_xll.RssMarket("2138","配当落日")</f>
        <v>2026/03/30</v>
      </c>
      <c r="Q72" t="str">
        <f>_xll.RssMarket("2138","中配落日")</f>
        <v>2026/09/29</v>
      </c>
      <c r="R72" t="str">
        <f>_xll.RssMarket("2138","権利落日")</f>
        <v/>
      </c>
      <c r="S72" t="str">
        <f>_xll.RssMarket("2138","決算発表日")</f>
        <v>2026/02/10</v>
      </c>
      <c r="T72">
        <f>_xll.RssMarket("2138","年初来高値")</f>
        <v>722</v>
      </c>
      <c r="U72">
        <f>_xll.RssMarket("2138","年初来安値")</f>
        <v>444</v>
      </c>
      <c r="V72">
        <f>_xll.RssMarket("2138","上場来高値")</f>
        <v>624000</v>
      </c>
      <c r="W72">
        <f>_xll.RssMarket("2138","上場来安値")</f>
        <v>444</v>
      </c>
    </row>
    <row r="73" spans="1:23" x14ac:dyDescent="0.2">
      <c r="A73">
        <v>2139</v>
      </c>
      <c r="B73">
        <f>_xll.RssMarket("2139","銘柄コード")</f>
        <v>2139</v>
      </c>
      <c r="C73" t="str">
        <f>_xll.RssMarket("2139","銘柄名称")</f>
        <v>中広</v>
      </c>
      <c r="D73" t="str">
        <f>_xll.RssMarket("2139","現在日付")</f>
        <v>2026/03/05</v>
      </c>
      <c r="E73">
        <f>_xll.RssMarket("2139","現在値")</f>
        <v>543</v>
      </c>
      <c r="F73">
        <f>_xll.RssMarket("2139","時価総額")</f>
        <v>3824</v>
      </c>
      <c r="G73">
        <f>_xll.RssMarket("2139","単位株数")</f>
        <v>100</v>
      </c>
      <c r="H73">
        <f>_xll.RssMarket("2139","配当")</f>
        <v>12</v>
      </c>
      <c r="I73">
        <f>_xll.RssMarket("2139","PER")</f>
        <v>23.1</v>
      </c>
      <c r="J73">
        <f>_xll.RssMarket("2139","PBR")</f>
        <v>1.85</v>
      </c>
      <c r="K73">
        <f>_xll.RssMarket("2139","信用売残")</f>
        <v>10300</v>
      </c>
      <c r="L73">
        <f>_xll.RssMarket("2139","信用売残前週比")</f>
        <v>-5600</v>
      </c>
      <c r="M73">
        <f>_xll.RssMarket("2139","信用買残")</f>
        <v>106100</v>
      </c>
      <c r="N73">
        <f>_xll.RssMarket("2139","信用買残前週比")</f>
        <v>-2200</v>
      </c>
      <c r="O73">
        <f>_xll.RssMarket("2139","信用倍率")</f>
        <v>10.3</v>
      </c>
      <c r="P73" t="str">
        <f>_xll.RssMarket("2139","配当落日")</f>
        <v>2026/03/30</v>
      </c>
      <c r="Q73" t="str">
        <f>_xll.RssMarket("2139","中配落日")</f>
        <v>2026/09/29</v>
      </c>
      <c r="R73" t="str">
        <f>_xll.RssMarket("2139","権利落日")</f>
        <v/>
      </c>
      <c r="S73" t="str">
        <f>_xll.RssMarket("2139","決算発表日")</f>
        <v>-</v>
      </c>
      <c r="T73">
        <f>_xll.RssMarket("2139","年初来高値")</f>
        <v>565</v>
      </c>
      <c r="U73">
        <f>_xll.RssMarket("2139","年初来安値")</f>
        <v>392</v>
      </c>
      <c r="V73">
        <f>_xll.RssMarket("2139","上場来高値")</f>
        <v>898</v>
      </c>
      <c r="W73">
        <f>_xll.RssMarket("2139","上場来安値")</f>
        <v>314</v>
      </c>
    </row>
    <row r="74" spans="1:23" x14ac:dyDescent="0.2">
      <c r="A74">
        <v>2146</v>
      </c>
      <c r="B74">
        <f>_xll.RssMarket("2146","銘柄コード")</f>
        <v>2146</v>
      </c>
      <c r="C74" t="str">
        <f>_xll.RssMarket("2146","銘柄名称")</f>
        <v>ＵＴグループ</v>
      </c>
      <c r="D74" t="str">
        <f>_xll.RssMarket("2146","現在日付")</f>
        <v>2026/03/05</v>
      </c>
      <c r="E74">
        <f>_xll.RssMarket("2146","現在値")</f>
        <v>206</v>
      </c>
      <c r="F74">
        <f>_xll.RssMarket("2146","時価総額")</f>
        <v>123496</v>
      </c>
      <c r="G74">
        <f>_xll.RssMarket("2146","単位株数")</f>
        <v>100</v>
      </c>
      <c r="H74">
        <f>_xll.RssMarket("2146","配当")</f>
        <v>10.85</v>
      </c>
      <c r="I74">
        <f>_xll.RssMarket("2146","PER")</f>
        <v>20.190000000000001</v>
      </c>
      <c r="J74">
        <f>_xll.RssMarket("2146","PBR")</f>
        <v>4.67</v>
      </c>
      <c r="K74">
        <f>_xll.RssMarket("2146","信用売残")</f>
        <v>1142300</v>
      </c>
      <c r="L74">
        <f>_xll.RssMarket("2146","信用売残前週比")</f>
        <v>-487000</v>
      </c>
      <c r="M74">
        <f>_xll.RssMarket("2146","信用買残")</f>
        <v>4744100</v>
      </c>
      <c r="N74">
        <f>_xll.RssMarket("2146","信用買残前週比")</f>
        <v>-735300</v>
      </c>
      <c r="O74">
        <f>_xll.RssMarket("2146","信用倍率")</f>
        <v>4.1500000000000004</v>
      </c>
      <c r="P74" t="str">
        <f>_xll.RssMarket("2146","配当落日")</f>
        <v>2026/03/30</v>
      </c>
      <c r="Q74" t="str">
        <f>_xll.RssMarket("2146","中配落日")</f>
        <v>2026/09/29</v>
      </c>
      <c r="R74" t="str">
        <f>_xll.RssMarket("2146","権利落日")</f>
        <v>2025/12/29</v>
      </c>
      <c r="S74" t="str">
        <f>_xll.RssMarket("2146","決算発表日")</f>
        <v>2026/02/12</v>
      </c>
      <c r="T74">
        <f>_xll.RssMarket("2146","年初来高値")</f>
        <v>221</v>
      </c>
      <c r="U74">
        <f>_xll.RssMarket("2146","年初来安値")</f>
        <v>195</v>
      </c>
      <c r="V74">
        <f>_xll.RssMarket("2146","上場来高値")</f>
        <v>242000</v>
      </c>
      <c r="W74">
        <f>_xll.RssMarket("2146","上場来安値")</f>
        <v>195</v>
      </c>
    </row>
    <row r="75" spans="1:23" x14ac:dyDescent="0.2">
      <c r="A75">
        <v>2148</v>
      </c>
      <c r="B75">
        <f>_xll.RssMarket("2148","銘柄コード")</f>
        <v>2148</v>
      </c>
      <c r="C75" t="str">
        <f>_xll.RssMarket("2148","銘柄名称")</f>
        <v>アイティメディア</v>
      </c>
      <c r="D75" t="str">
        <f>_xll.RssMarket("2148","現在日付")</f>
        <v>2026/03/05</v>
      </c>
      <c r="E75">
        <f>_xll.RssMarket("2148","現在値")</f>
        <v>1893</v>
      </c>
      <c r="F75">
        <f>_xll.RssMarket("2148","時価総額")</f>
        <v>39899</v>
      </c>
      <c r="G75">
        <f>_xll.RssMarket("2148","単位株数")</f>
        <v>100</v>
      </c>
      <c r="H75">
        <f>_xll.RssMarket("2148","配当")</f>
        <v>100</v>
      </c>
      <c r="I75">
        <f>_xll.RssMarket("2148","PER")</f>
        <v>24.52</v>
      </c>
      <c r="J75">
        <f>_xll.RssMarket("2148","PBR")</f>
        <v>4.6100000000000003</v>
      </c>
      <c r="K75">
        <f>_xll.RssMarket("2148","信用売残")</f>
        <v>9200</v>
      </c>
      <c r="L75">
        <f>_xll.RssMarket("2148","信用売残前週比")</f>
        <v>0</v>
      </c>
      <c r="M75">
        <f>_xll.RssMarket("2148","信用買残")</f>
        <v>162100</v>
      </c>
      <c r="N75">
        <f>_xll.RssMarket("2148","信用買残前週比")</f>
        <v>16300</v>
      </c>
      <c r="O75">
        <f>_xll.RssMarket("2148","信用倍率")</f>
        <v>17.62</v>
      </c>
      <c r="P75" t="str">
        <f>_xll.RssMarket("2148","配当落日")</f>
        <v>2026/03/30</v>
      </c>
      <c r="Q75" t="str">
        <f>_xll.RssMarket("2148","中配落日")</f>
        <v>2026/09/29</v>
      </c>
      <c r="R75" t="str">
        <f>_xll.RssMarket("2148","権利落日")</f>
        <v>2015/11/26</v>
      </c>
      <c r="S75" t="str">
        <f>_xll.RssMarket("2148","決算発表日")</f>
        <v>2026/02/06</v>
      </c>
      <c r="T75">
        <f>_xll.RssMarket("2148","年初来高値")</f>
        <v>1910</v>
      </c>
      <c r="U75">
        <f>_xll.RssMarket("2148","年初来安値")</f>
        <v>1266</v>
      </c>
      <c r="V75">
        <f>_xll.RssMarket("2148","上場来高値")</f>
        <v>735000</v>
      </c>
      <c r="W75">
        <f>_xll.RssMarket("2148","上場来安値")</f>
        <v>211</v>
      </c>
    </row>
    <row r="76" spans="1:23" x14ac:dyDescent="0.2">
      <c r="A76">
        <v>2150</v>
      </c>
      <c r="B76" t="str">
        <f>_xll.RssMarket("2150","銘柄コード")</f>
        <v/>
      </c>
      <c r="C76" t="str">
        <f>_xll.RssMarket("2150","銘柄名称")</f>
        <v/>
      </c>
      <c r="D76" t="str">
        <f>_xll.RssMarket("2150","現在日付")</f>
        <v/>
      </c>
      <c r="E76" t="str">
        <f>_xll.RssMarket("2150","現在値")</f>
        <v/>
      </c>
      <c r="F76" t="str">
        <f>_xll.RssMarket("2150","時価総額")</f>
        <v/>
      </c>
      <c r="G76" t="str">
        <f>_xll.RssMarket("2150","単位株数")</f>
        <v/>
      </c>
      <c r="H76" t="str">
        <f>_xll.RssMarket("2150","配当")</f>
        <v/>
      </c>
      <c r="I76" t="str">
        <f>_xll.RssMarket("2150","PER")</f>
        <v/>
      </c>
      <c r="J76" t="str">
        <f>_xll.RssMarket("2150","PBR")</f>
        <v/>
      </c>
      <c r="K76" t="str">
        <f>_xll.RssMarket("2150","信用売残")</f>
        <v/>
      </c>
      <c r="L76" t="str">
        <f>_xll.RssMarket("2150","信用売残前週比")</f>
        <v/>
      </c>
      <c r="M76" t="str">
        <f>_xll.RssMarket("2150","信用買残")</f>
        <v/>
      </c>
      <c r="N76" t="str">
        <f>_xll.RssMarket("2150","信用買残前週比")</f>
        <v/>
      </c>
      <c r="O76" t="str">
        <f>_xll.RssMarket("2150","信用倍率")</f>
        <v/>
      </c>
      <c r="P76" t="str">
        <f>_xll.RssMarket("2150","配当落日")</f>
        <v/>
      </c>
      <c r="Q76" t="str">
        <f>_xll.RssMarket("2150","中配落日")</f>
        <v/>
      </c>
      <c r="R76" t="str">
        <f>_xll.RssMarket("2150","権利落日")</f>
        <v/>
      </c>
      <c r="S76" t="str">
        <f>_xll.RssMarket("2150","決算発表日")</f>
        <v/>
      </c>
      <c r="T76" t="str">
        <f>_xll.RssMarket("2150","年初来高値")</f>
        <v/>
      </c>
      <c r="U76" t="str">
        <f>_xll.RssMarket("2150","年初来安値")</f>
        <v/>
      </c>
      <c r="V76" t="str">
        <f>_xll.RssMarket("2150","上場来高値")</f>
        <v/>
      </c>
      <c r="W76" t="str">
        <f>_xll.RssMarket("2150","上場来安値")</f>
        <v/>
      </c>
    </row>
    <row r="77" spans="1:23" x14ac:dyDescent="0.2">
      <c r="A77">
        <v>2152</v>
      </c>
      <c r="B77">
        <f>_xll.RssMarket("2152","銘柄コード")</f>
        <v>2152</v>
      </c>
      <c r="C77" t="str">
        <f>_xll.RssMarket("2152","銘柄名称")</f>
        <v>幼児活動研究会</v>
      </c>
      <c r="D77" t="str">
        <f>_xll.RssMarket("2152","現在日付")</f>
        <v>2026/03/05</v>
      </c>
      <c r="E77">
        <f>_xll.RssMarket("2152","現在値")</f>
        <v>1448</v>
      </c>
      <c r="F77">
        <f>_xll.RssMarket("2152","時価総額")</f>
        <v>17063</v>
      </c>
      <c r="G77">
        <f>_xll.RssMarket("2152","単位株数")</f>
        <v>100</v>
      </c>
      <c r="H77">
        <f>_xll.RssMarket("2152","配当")</f>
        <v>24</v>
      </c>
      <c r="I77">
        <f>_xll.RssMarket("2152","PER")</f>
        <v>15.8</v>
      </c>
      <c r="J77">
        <f>_xll.RssMarket("2152","PBR")</f>
        <v>1.49</v>
      </c>
      <c r="K77" t="str">
        <f>_xll.RssMarket("2152","信用売残")</f>
        <v>-</v>
      </c>
      <c r="L77" t="str">
        <f>_xll.RssMarket("2152","信用売残前週比")</f>
        <v>-</v>
      </c>
      <c r="M77">
        <f>_xll.RssMarket("2152","信用買残")</f>
        <v>27900</v>
      </c>
      <c r="N77">
        <f>_xll.RssMarket("2152","信用買残前週比")</f>
        <v>-1200</v>
      </c>
      <c r="O77">
        <f>_xll.RssMarket("2152","信用倍率")</f>
        <v>0</v>
      </c>
      <c r="P77" t="str">
        <f>_xll.RssMarket("2152","配当落日")</f>
        <v>2026/03/30</v>
      </c>
      <c r="Q77" t="str">
        <f>_xll.RssMarket("2152","中配落日")</f>
        <v>2026/09/29</v>
      </c>
      <c r="R77" t="str">
        <f>_xll.RssMarket("2152","権利落日")</f>
        <v>2018/03/28</v>
      </c>
      <c r="S77" t="str">
        <f>_xll.RssMarket("2152","決算発表日")</f>
        <v>-</v>
      </c>
      <c r="T77">
        <f>_xll.RssMarket("2152","年初来高値")</f>
        <v>1685</v>
      </c>
      <c r="U77">
        <f>_xll.RssMarket("2152","年初来安値")</f>
        <v>1170</v>
      </c>
      <c r="V77">
        <f>_xll.RssMarket("2152","上場来高値")</f>
        <v>7430</v>
      </c>
      <c r="W77">
        <f>_xll.RssMarket("2152","上場来安値")</f>
        <v>615</v>
      </c>
    </row>
    <row r="78" spans="1:23" x14ac:dyDescent="0.2">
      <c r="A78">
        <v>2153</v>
      </c>
      <c r="B78">
        <f>_xll.RssMarket("2153","銘柄コード")</f>
        <v>2153</v>
      </c>
      <c r="C78" t="str">
        <f>_xll.RssMarket("2153","銘柄名称")</f>
        <v>Ｅ・Ｊホールディングス</v>
      </c>
      <c r="D78" t="str">
        <f>_xll.RssMarket("2153","現在日付")</f>
        <v>2026/03/05</v>
      </c>
      <c r="E78">
        <f>_xll.RssMarket("2153","現在値")</f>
        <v>1855</v>
      </c>
      <c r="F78">
        <f>_xll.RssMarket("2153","時価総額")</f>
        <v>34092</v>
      </c>
      <c r="G78">
        <f>_xll.RssMarket("2153","単位株数")</f>
        <v>100</v>
      </c>
      <c r="H78">
        <f>_xll.RssMarket("2153","配当")</f>
        <v>69</v>
      </c>
      <c r="I78">
        <f>_xll.RssMarket("2153","PER")</f>
        <v>9.99</v>
      </c>
      <c r="J78">
        <f>_xll.RssMarket("2153","PBR")</f>
        <v>0.95</v>
      </c>
      <c r="K78">
        <f>_xll.RssMarket("2153","信用売残")</f>
        <v>1200</v>
      </c>
      <c r="L78">
        <f>_xll.RssMarket("2153","信用売残前週比")</f>
        <v>200</v>
      </c>
      <c r="M78">
        <f>_xll.RssMarket("2153","信用買残")</f>
        <v>209600</v>
      </c>
      <c r="N78">
        <f>_xll.RssMarket("2153","信用買残前週比")</f>
        <v>10500</v>
      </c>
      <c r="O78">
        <f>_xll.RssMarket("2153","信用倍率")</f>
        <v>174.67</v>
      </c>
      <c r="P78" t="str">
        <f>_xll.RssMarket("2153","配当落日")</f>
        <v>2026/05/28</v>
      </c>
      <c r="Q78" t="str">
        <f>_xll.RssMarket("2153","中配落日")</f>
        <v>2026/11/27</v>
      </c>
      <c r="R78" t="str">
        <f>_xll.RssMarket("2153","権利落日")</f>
        <v>2020/11/27</v>
      </c>
      <c r="S78" t="str">
        <f>_xll.RssMarket("2153","決算発表日")</f>
        <v>-</v>
      </c>
      <c r="T78">
        <f>_xll.RssMarket("2153","年初来高値")</f>
        <v>1937</v>
      </c>
      <c r="U78">
        <f>_xll.RssMarket("2153","年初来安値")</f>
        <v>1411</v>
      </c>
      <c r="V78">
        <f>_xll.RssMarket("2153","上場来高値")</f>
        <v>30350</v>
      </c>
      <c r="W78">
        <f>_xll.RssMarket("2153","上場来安値")</f>
        <v>422</v>
      </c>
    </row>
    <row r="79" spans="1:23" x14ac:dyDescent="0.2">
      <c r="A79">
        <v>2154</v>
      </c>
      <c r="B79">
        <f>_xll.RssMarket("2154","銘柄コード")</f>
        <v>2154</v>
      </c>
      <c r="C79" t="str">
        <f>_xll.RssMarket("2154","銘柄名称")</f>
        <v>オープンアップグループ</v>
      </c>
      <c r="D79" t="str">
        <f>_xll.RssMarket("2154","現在日付")</f>
        <v>2026/03/05</v>
      </c>
      <c r="E79">
        <f>_xll.RssMarket("2154","現在値")</f>
        <v>1827</v>
      </c>
      <c r="F79">
        <f>_xll.RssMarket("2154","時価総額")</f>
        <v>165933</v>
      </c>
      <c r="G79">
        <f>_xll.RssMarket("2154","単位株数")</f>
        <v>100</v>
      </c>
      <c r="H79">
        <f>_xll.RssMarket("2154","配当")</f>
        <v>85</v>
      </c>
      <c r="I79">
        <f>_xll.RssMarket("2154","PER")</f>
        <v>13.15</v>
      </c>
      <c r="J79">
        <f>_xll.RssMarket("2154","PBR")</f>
        <v>2</v>
      </c>
      <c r="K79">
        <f>_xll.RssMarket("2154","信用売残")</f>
        <v>27600</v>
      </c>
      <c r="L79">
        <f>_xll.RssMarket("2154","信用売残前週比")</f>
        <v>300</v>
      </c>
      <c r="M79">
        <f>_xll.RssMarket("2154","信用買残")</f>
        <v>103900</v>
      </c>
      <c r="N79">
        <f>_xll.RssMarket("2154","信用買残前週比")</f>
        <v>-10500</v>
      </c>
      <c r="O79">
        <f>_xll.RssMarket("2154","信用倍率")</f>
        <v>3.76</v>
      </c>
      <c r="P79" t="str">
        <f>_xll.RssMarket("2154","配当落日")</f>
        <v>2026/06/29</v>
      </c>
      <c r="Q79" t="str">
        <f>_xll.RssMarket("2154","中配落日")</f>
        <v>2026/12/29</v>
      </c>
      <c r="R79" t="str">
        <f>_xll.RssMarket("2154","権利落日")</f>
        <v>2019/06/26</v>
      </c>
      <c r="S79" t="str">
        <f>_xll.RssMarket("2154","決算発表日")</f>
        <v>2026/02/06</v>
      </c>
      <c r="T79">
        <f>_xll.RssMarket("2154","年初来高値")</f>
        <v>1979</v>
      </c>
      <c r="U79">
        <f>_xll.RssMarket("2154","年初来安値")</f>
        <v>1481</v>
      </c>
      <c r="V79">
        <f>_xll.RssMarket("2154","上場来高値")</f>
        <v>515000</v>
      </c>
      <c r="W79">
        <f>_xll.RssMarket("2154","上場来安値")</f>
        <v>412</v>
      </c>
    </row>
    <row r="80" spans="1:23" x14ac:dyDescent="0.2">
      <c r="A80">
        <v>2156</v>
      </c>
      <c r="B80">
        <f>_xll.RssMarket("2156","銘柄コード")</f>
        <v>2156</v>
      </c>
      <c r="C80" t="str">
        <f>_xll.RssMarket("2156","銘柄名称")</f>
        <v>セーラー広告</v>
      </c>
      <c r="D80" t="str">
        <f>_xll.RssMarket("2156","現在日付")</f>
        <v>2026/03/05</v>
      </c>
      <c r="E80">
        <f>_xll.RssMarket("2156","現在値")</f>
        <v>306</v>
      </c>
      <c r="F80">
        <f>_xll.RssMarket("2156","時価総額")</f>
        <v>1859</v>
      </c>
      <c r="G80">
        <f>_xll.RssMarket("2156","単位株数")</f>
        <v>100</v>
      </c>
      <c r="H80">
        <f>_xll.RssMarket("2156","配当")</f>
        <v>6</v>
      </c>
      <c r="I80">
        <f>_xll.RssMarket("2156","PER")</f>
        <v>25.5</v>
      </c>
      <c r="J80">
        <f>_xll.RssMarket("2156","PBR")</f>
        <v>0.71</v>
      </c>
      <c r="K80" t="str">
        <f>_xll.RssMarket("2156","信用売残")</f>
        <v>-</v>
      </c>
      <c r="L80" t="str">
        <f>_xll.RssMarket("2156","信用売残前週比")</f>
        <v>-</v>
      </c>
      <c r="M80">
        <f>_xll.RssMarket("2156","信用買残")</f>
        <v>264600</v>
      </c>
      <c r="N80">
        <f>_xll.RssMarket("2156","信用買残前週比")</f>
        <v>-29900</v>
      </c>
      <c r="O80">
        <f>_xll.RssMarket("2156","信用倍率")</f>
        <v>0</v>
      </c>
      <c r="P80" t="str">
        <f>_xll.RssMarket("2156","配当落日")</f>
        <v>2026/03/30</v>
      </c>
      <c r="Q80" t="str">
        <f>_xll.RssMarket("2156","中配落日")</f>
        <v>2026/09/29</v>
      </c>
      <c r="R80" t="str">
        <f>_xll.RssMarket("2156","権利落日")</f>
        <v/>
      </c>
      <c r="S80" t="str">
        <f>_xll.RssMarket("2156","決算発表日")</f>
        <v>2026/02/10</v>
      </c>
      <c r="T80">
        <f>_xll.RssMarket("2156","年初来高値")</f>
        <v>506</v>
      </c>
      <c r="U80">
        <f>_xll.RssMarket("2156","年初来安値")</f>
        <v>268</v>
      </c>
      <c r="V80">
        <f>_xll.RssMarket("2156","上場来高値")</f>
        <v>922</v>
      </c>
      <c r="W80">
        <f>_xll.RssMarket("2156","上場来安値")</f>
        <v>95</v>
      </c>
    </row>
    <row r="81" spans="1:23" x14ac:dyDescent="0.2">
      <c r="A81">
        <v>2157</v>
      </c>
      <c r="B81">
        <f>_xll.RssMarket("2157","銘柄コード")</f>
        <v>2157</v>
      </c>
      <c r="C81" t="str">
        <f>_xll.RssMarket("2157","銘柄名称")</f>
        <v>コシダカホールディングス</v>
      </c>
      <c r="D81" t="str">
        <f>_xll.RssMarket("2157","現在日付")</f>
        <v>2026/03/05</v>
      </c>
      <c r="E81">
        <f>_xll.RssMarket("2157","現在値")</f>
        <v>1084</v>
      </c>
      <c r="F81">
        <f>_xll.RssMarket("2157","時価総額")</f>
        <v>90819</v>
      </c>
      <c r="G81">
        <f>_xll.RssMarket("2157","単位株数")</f>
        <v>100</v>
      </c>
      <c r="H81">
        <f>_xll.RssMarket("2157","配当")</f>
        <v>26</v>
      </c>
      <c r="I81">
        <f>_xll.RssMarket("2157","PER")</f>
        <v>10.51</v>
      </c>
      <c r="J81">
        <f>_xll.RssMarket("2157","PBR")</f>
        <v>2.54</v>
      </c>
      <c r="K81">
        <f>_xll.RssMarket("2157","信用売残")</f>
        <v>43000</v>
      </c>
      <c r="L81">
        <f>_xll.RssMarket("2157","信用売残前週比")</f>
        <v>-22800</v>
      </c>
      <c r="M81">
        <f>_xll.RssMarket("2157","信用買残")</f>
        <v>1088500</v>
      </c>
      <c r="N81">
        <f>_xll.RssMarket("2157","信用買残前週比")</f>
        <v>-35400</v>
      </c>
      <c r="O81">
        <f>_xll.RssMarket("2157","信用倍率")</f>
        <v>25.31</v>
      </c>
      <c r="P81" t="str">
        <f>_xll.RssMarket("2157","配当落日")</f>
        <v>2026/08/28</v>
      </c>
      <c r="Q81" t="str">
        <f>_xll.RssMarket("2157","中配落日")</f>
        <v>2027/02/25</v>
      </c>
      <c r="R81" t="str">
        <f>_xll.RssMarket("2157","権利落日")</f>
        <v>2018/05/29</v>
      </c>
      <c r="S81" t="str">
        <f>_xll.RssMarket("2157","決算発表日")</f>
        <v>-</v>
      </c>
      <c r="T81">
        <f>_xll.RssMarket("2157","年初来高値")</f>
        <v>1484</v>
      </c>
      <c r="U81">
        <f>_xll.RssMarket("2157","年初来安値")</f>
        <v>921</v>
      </c>
      <c r="V81">
        <f>_xll.RssMarket("2157","上場来高値")</f>
        <v>1050000</v>
      </c>
      <c r="W81">
        <f>_xll.RssMarket("2157","上場来安値")</f>
        <v>293</v>
      </c>
    </row>
    <row r="82" spans="1:23" x14ac:dyDescent="0.2">
      <c r="A82">
        <v>2158</v>
      </c>
      <c r="B82">
        <f>_xll.RssMarket("2158","銘柄コード")</f>
        <v>2158</v>
      </c>
      <c r="C82" t="str">
        <f>_xll.RssMarket("2158","銘柄名称")</f>
        <v>ＦＲＯＮＴＥＯ</v>
      </c>
      <c r="D82" t="str">
        <f>_xll.RssMarket("2158","現在日付")</f>
        <v>2026/03/05</v>
      </c>
      <c r="E82">
        <f>_xll.RssMarket("2158","現在値")</f>
        <v>893</v>
      </c>
      <c r="F82">
        <f>_xll.RssMarket("2158","時価総額")</f>
        <v>35195</v>
      </c>
      <c r="G82">
        <f>_xll.RssMarket("2158","単位株数")</f>
        <v>100</v>
      </c>
      <c r="H82">
        <f>_xll.RssMarket("2158","配当")</f>
        <v>0</v>
      </c>
      <c r="I82">
        <f>_xll.RssMarket("2158","PER")</f>
        <v>56.51</v>
      </c>
      <c r="J82">
        <f>_xll.RssMarket("2158","PBR")</f>
        <v>11.14</v>
      </c>
      <c r="K82" t="str">
        <f>_xll.RssMarket("2158","信用売残")</f>
        <v>-</v>
      </c>
      <c r="L82" t="str">
        <f>_xll.RssMarket("2158","信用売残前週比")</f>
        <v>-</v>
      </c>
      <c r="M82">
        <f>_xll.RssMarket("2158","信用買残")</f>
        <v>2657100</v>
      </c>
      <c r="N82">
        <f>_xll.RssMarket("2158","信用買残前週比")</f>
        <v>-106900</v>
      </c>
      <c r="O82">
        <f>_xll.RssMarket("2158","信用倍率")</f>
        <v>0</v>
      </c>
      <c r="P82" t="str">
        <f>_xll.RssMarket("2158","配当落日")</f>
        <v>2026/03/30</v>
      </c>
      <c r="Q82" t="str">
        <f>_xll.RssMarket("2158","中配落日")</f>
        <v>2026/09/29</v>
      </c>
      <c r="R82" t="str">
        <f>_xll.RssMarket("2158","権利落日")</f>
        <v/>
      </c>
      <c r="S82" t="str">
        <f>_xll.RssMarket("2158","決算発表日")</f>
        <v>2026/02/16</v>
      </c>
      <c r="T82">
        <f>_xll.RssMarket("2158","年初来高値")</f>
        <v>1233</v>
      </c>
      <c r="U82">
        <f>_xll.RssMarket("2158","年初来安値")</f>
        <v>452</v>
      </c>
      <c r="V82">
        <f>_xll.RssMarket("2158","上場来高値")</f>
        <v>33850</v>
      </c>
      <c r="W82">
        <f>_xll.RssMarket("2158","上場来安値")</f>
        <v>156</v>
      </c>
    </row>
    <row r="83" spans="1:23" x14ac:dyDescent="0.2">
      <c r="A83" t="s">
        <v>23</v>
      </c>
      <c r="B83" t="str">
        <f>_xll.RssMarket("215A","銘柄コード")</f>
        <v>215A</v>
      </c>
      <c r="C83" t="str">
        <f>_xll.RssMarket("215A","銘柄名称")</f>
        <v>タイミー</v>
      </c>
      <c r="D83" t="str">
        <f>_xll.RssMarket("215A","現在日付")</f>
        <v>2026/03/05</v>
      </c>
      <c r="E83">
        <f>_xll.RssMarket("215A","現在値")</f>
        <v>1181</v>
      </c>
      <c r="F83">
        <f>_xll.RssMarket("215A","時価総額")</f>
        <v>118956</v>
      </c>
      <c r="G83">
        <f>_xll.RssMarket("215A","単位株数")</f>
        <v>100</v>
      </c>
      <c r="H83">
        <f>_xll.RssMarket("215A","配当")</f>
        <v>0</v>
      </c>
      <c r="I83">
        <f>_xll.RssMarket("215A","PER")</f>
        <v>49.62</v>
      </c>
      <c r="J83">
        <f>_xll.RssMarket("215A","PBR")</f>
        <v>8.15</v>
      </c>
      <c r="K83">
        <f>_xll.RssMarket("215A","信用売残")</f>
        <v>2406200</v>
      </c>
      <c r="L83">
        <f>_xll.RssMarket("215A","信用売残前週比")</f>
        <v>131000</v>
      </c>
      <c r="M83">
        <f>_xll.RssMarket("215A","信用買残")</f>
        <v>6764600</v>
      </c>
      <c r="N83">
        <f>_xll.RssMarket("215A","信用買残前週比")</f>
        <v>-540300</v>
      </c>
      <c r="O83">
        <f>_xll.RssMarket("215A","信用倍率")</f>
        <v>2.81</v>
      </c>
      <c r="P83" t="str">
        <f>_xll.RssMarket("215A","配当落日")</f>
        <v>2026/04/28</v>
      </c>
      <c r="Q83" t="str">
        <f>_xll.RssMarket("215A","中配落日")</f>
        <v/>
      </c>
      <c r="R83" t="str">
        <f>_xll.RssMarket("215A","権利落日")</f>
        <v/>
      </c>
      <c r="S83" t="str">
        <f>_xll.RssMarket("215A","決算発表日")</f>
        <v>2026/03/12</v>
      </c>
      <c r="T83">
        <f>_xll.RssMarket("215A","年初来高値")</f>
        <v>2502</v>
      </c>
      <c r="U83">
        <f>_xll.RssMarket("215A","年初来安値")</f>
        <v>1123</v>
      </c>
      <c r="V83">
        <f>_xll.RssMarket("215A","上場来高値")</f>
        <v>2502</v>
      </c>
      <c r="W83">
        <f>_xll.RssMarket("215A","上場来安値")</f>
        <v>930</v>
      </c>
    </row>
    <row r="84" spans="1:23" x14ac:dyDescent="0.2">
      <c r="A84">
        <v>2160</v>
      </c>
      <c r="B84">
        <f>_xll.RssMarket("2160","銘柄コード")</f>
        <v>2160</v>
      </c>
      <c r="C84" t="str">
        <f>_xll.RssMarket("2160","銘柄名称")</f>
        <v>ジーエヌアイグループ</v>
      </c>
      <c r="D84" t="str">
        <f>_xll.RssMarket("2160","現在日付")</f>
        <v>2026/03/05</v>
      </c>
      <c r="E84">
        <f>_xll.RssMarket("2160","現在値")</f>
        <v>3150</v>
      </c>
      <c r="F84">
        <f>_xll.RssMarket("2160","時価総額")</f>
        <v>175408</v>
      </c>
      <c r="G84">
        <f>_xll.RssMarket("2160","単位株数")</f>
        <v>100</v>
      </c>
      <c r="H84">
        <f>_xll.RssMarket("2160","配当")</f>
        <v>0</v>
      </c>
      <c r="I84">
        <f>_xll.RssMarket("2160","PER")</f>
        <v>14.61</v>
      </c>
      <c r="J84">
        <f>_xll.RssMarket("2160","PBR")</f>
        <v>3.49</v>
      </c>
      <c r="K84">
        <f>_xll.RssMarket("2160","信用売残")</f>
        <v>645400</v>
      </c>
      <c r="L84">
        <f>_xll.RssMarket("2160","信用売残前週比")</f>
        <v>31000</v>
      </c>
      <c r="M84">
        <f>_xll.RssMarket("2160","信用買残")</f>
        <v>6409700</v>
      </c>
      <c r="N84">
        <f>_xll.RssMarket("2160","信用買残前週比")</f>
        <v>21400</v>
      </c>
      <c r="O84">
        <f>_xll.RssMarket("2160","信用倍率")</f>
        <v>9.93</v>
      </c>
      <c r="P84" t="str">
        <f>_xll.RssMarket("2160","配当落日")</f>
        <v>2026/12/29</v>
      </c>
      <c r="Q84" t="str">
        <f>_xll.RssMarket("2160","中配落日")</f>
        <v/>
      </c>
      <c r="R84" t="str">
        <f>_xll.RssMarket("2160","権利落日")</f>
        <v>2019/09/02</v>
      </c>
      <c r="S84" t="str">
        <f>_xll.RssMarket("2160","決算発表日")</f>
        <v>2026/02/13</v>
      </c>
      <c r="T84">
        <f>_xll.RssMarket("2160","年初来高値")</f>
        <v>4410</v>
      </c>
      <c r="U84">
        <f>_xll.RssMarket("2160","年初来安値")</f>
        <v>1469</v>
      </c>
      <c r="V84">
        <f>_xll.RssMarket("2160","上場来高値")</f>
        <v>5740</v>
      </c>
      <c r="W84">
        <f>_xll.RssMarket("2160","上場来安値")</f>
        <v>4</v>
      </c>
    </row>
    <row r="85" spans="1:23" x14ac:dyDescent="0.2">
      <c r="A85">
        <v>2162</v>
      </c>
      <c r="B85">
        <f>_xll.RssMarket("2162","銘柄コード")</f>
        <v>2162</v>
      </c>
      <c r="C85" t="str">
        <f>_xll.RssMarket("2162","銘柄名称")</f>
        <v>ＮＭＳホールディングス</v>
      </c>
      <c r="D85" t="str">
        <f>_xll.RssMarket("2162","現在日付")</f>
        <v>2026/03/05</v>
      </c>
      <c r="E85">
        <f>_xll.RssMarket("2162","現在値")</f>
        <v>453</v>
      </c>
      <c r="F85">
        <f>_xll.RssMarket("2162","時価総額")</f>
        <v>9789</v>
      </c>
      <c r="G85">
        <f>_xll.RssMarket("2162","単位株数")</f>
        <v>100</v>
      </c>
      <c r="H85">
        <f>_xll.RssMarket("2162","配当")</f>
        <v>20</v>
      </c>
      <c r="I85">
        <f>_xll.RssMarket("2162","PER")</f>
        <v>75.5</v>
      </c>
      <c r="J85">
        <f>_xll.RssMarket("2162","PBR")</f>
        <v>1.88</v>
      </c>
      <c r="K85">
        <f>_xll.RssMarket("2162","信用売残")</f>
        <v>10200</v>
      </c>
      <c r="L85">
        <f>_xll.RssMarket("2162","信用売残前週比")</f>
        <v>100</v>
      </c>
      <c r="M85">
        <f>_xll.RssMarket("2162","信用買残")</f>
        <v>1303100</v>
      </c>
      <c r="N85">
        <f>_xll.RssMarket("2162","信用買残前週比")</f>
        <v>3500</v>
      </c>
      <c r="O85">
        <f>_xll.RssMarket("2162","信用倍率")</f>
        <v>127.75</v>
      </c>
      <c r="P85" t="str">
        <f>_xll.RssMarket("2162","配当落日")</f>
        <v>2026/03/30</v>
      </c>
      <c r="Q85" t="str">
        <f>_xll.RssMarket("2162","中配落日")</f>
        <v>2026/09/29</v>
      </c>
      <c r="R85" t="str">
        <f>_xll.RssMarket("2162","権利落日")</f>
        <v>2018/02/26</v>
      </c>
      <c r="S85" t="str">
        <f>_xll.RssMarket("2162","決算発表日")</f>
        <v>-</v>
      </c>
      <c r="T85">
        <f>_xll.RssMarket("2162","年初来高値")</f>
        <v>656</v>
      </c>
      <c r="U85">
        <f>_xll.RssMarket("2162","年初来安値")</f>
        <v>333</v>
      </c>
      <c r="V85">
        <f>_xll.RssMarket("2162","上場来高値")</f>
        <v>630000</v>
      </c>
      <c r="W85">
        <f>_xll.RssMarket("2162","上場来安値")</f>
        <v>183</v>
      </c>
    </row>
    <row r="86" spans="1:23" x14ac:dyDescent="0.2">
      <c r="A86">
        <v>2163</v>
      </c>
      <c r="B86">
        <f>_xll.RssMarket("2163","銘柄コード")</f>
        <v>2163</v>
      </c>
      <c r="C86" t="str">
        <f>_xll.RssMarket("2163","銘柄名称")</f>
        <v>アルトナー</v>
      </c>
      <c r="D86" t="str">
        <f>_xll.RssMarket("2163","現在日付")</f>
        <v>2026/03/05</v>
      </c>
      <c r="E86">
        <f>_xll.RssMarket("2163","現在値")</f>
        <v>2010</v>
      </c>
      <c r="F86">
        <f>_xll.RssMarket("2163","時価総額")</f>
        <v>21362</v>
      </c>
      <c r="G86">
        <f>_xll.RssMarket("2163","単位株数")</f>
        <v>100</v>
      </c>
      <c r="H86">
        <f>_xll.RssMarket("2163","配当")</f>
        <v>84</v>
      </c>
      <c r="I86">
        <f>_xll.RssMarket("2163","PER")</f>
        <v>15.81</v>
      </c>
      <c r="J86">
        <f>_xll.RssMarket("2163","PBR")</f>
        <v>4.24</v>
      </c>
      <c r="K86" t="str">
        <f>_xll.RssMarket("2163","信用売残")</f>
        <v>-</v>
      </c>
      <c r="L86" t="str">
        <f>_xll.RssMarket("2163","信用売残前週比")</f>
        <v>-</v>
      </c>
      <c r="M86">
        <f>_xll.RssMarket("2163","信用買残")</f>
        <v>120100</v>
      </c>
      <c r="N86">
        <f>_xll.RssMarket("2163","信用買残前週比")</f>
        <v>-1600</v>
      </c>
      <c r="O86">
        <f>_xll.RssMarket("2163","信用倍率")</f>
        <v>0</v>
      </c>
      <c r="P86" t="str">
        <f>_xll.RssMarket("2163","配当落日")</f>
        <v>2027/01/28</v>
      </c>
      <c r="Q86" t="str">
        <f>_xll.RssMarket("2163","中配落日")</f>
        <v>2026/07/30</v>
      </c>
      <c r="R86" t="str">
        <f>_xll.RssMarket("2163","権利落日")</f>
        <v>2018/03/28</v>
      </c>
      <c r="S86" t="str">
        <f>_xll.RssMarket("2163","決算発表日")</f>
        <v>2026/03/13</v>
      </c>
      <c r="T86">
        <f>_xll.RssMarket("2163","年初来高値")</f>
        <v>2258</v>
      </c>
      <c r="U86">
        <f>_xll.RssMarket("2163","年初来安値")</f>
        <v>1524</v>
      </c>
      <c r="V86">
        <f>_xll.RssMarket("2163","上場来高値")</f>
        <v>4010</v>
      </c>
      <c r="W86">
        <f>_xll.RssMarket("2163","上場来安値")</f>
        <v>165</v>
      </c>
    </row>
    <row r="87" spans="1:23" x14ac:dyDescent="0.2">
      <c r="A87">
        <v>2164</v>
      </c>
      <c r="B87">
        <f>_xll.RssMarket("2164","銘柄コード")</f>
        <v>2164</v>
      </c>
      <c r="C87" t="str">
        <f>_xll.RssMarket("2164","銘柄名称")</f>
        <v>地域新聞社</v>
      </c>
      <c r="D87" t="str">
        <f>_xll.RssMarket("2164","現在日付")</f>
        <v>2026/03/05</v>
      </c>
      <c r="E87">
        <f>_xll.RssMarket("2164","現在値")</f>
        <v>327</v>
      </c>
      <c r="F87">
        <f>_xll.RssMarket("2164","時価総額")</f>
        <v>2462</v>
      </c>
      <c r="G87">
        <f>_xll.RssMarket("2164","単位株数")</f>
        <v>100</v>
      </c>
      <c r="H87">
        <f>_xll.RssMarket("2164","配当")</f>
        <v>0</v>
      </c>
      <c r="I87">
        <f>_xll.RssMarket("2164","PER")</f>
        <v>61.69</v>
      </c>
      <c r="J87">
        <f>_xll.RssMarket("2164","PBR")</f>
        <v>3.74</v>
      </c>
      <c r="K87" t="str">
        <f>_xll.RssMarket("2164","信用売残")</f>
        <v>-</v>
      </c>
      <c r="L87" t="str">
        <f>_xll.RssMarket("2164","信用売残前週比")</f>
        <v>-</v>
      </c>
      <c r="M87">
        <f>_xll.RssMarket("2164","信用買残")</f>
        <v>3154500</v>
      </c>
      <c r="N87">
        <f>_xll.RssMarket("2164","信用買残前週比")</f>
        <v>-1500</v>
      </c>
      <c r="O87">
        <f>_xll.RssMarket("2164","信用倍率")</f>
        <v>0</v>
      </c>
      <c r="P87" t="str">
        <f>_xll.RssMarket("2164","配当落日")</f>
        <v>2026/08/28</v>
      </c>
      <c r="Q87" t="str">
        <f>_xll.RssMarket("2164","中配落日")</f>
        <v>2027/02/25</v>
      </c>
      <c r="R87" t="str">
        <f>_xll.RssMarket("2164","権利落日")</f>
        <v>2025/10/30</v>
      </c>
      <c r="S87" t="str">
        <f>_xll.RssMarket("2164","決算発表日")</f>
        <v>-</v>
      </c>
      <c r="T87">
        <f>_xll.RssMarket("2164","年初来高値")</f>
        <v>411</v>
      </c>
      <c r="U87">
        <f>_xll.RssMarket("2164","年初来安値")</f>
        <v>234</v>
      </c>
      <c r="V87">
        <f>_xll.RssMarket("2164","上場来高値")</f>
        <v>235000</v>
      </c>
      <c r="W87">
        <f>_xll.RssMarket("2164","上場来安値")</f>
        <v>145</v>
      </c>
    </row>
    <row r="88" spans="1:23" x14ac:dyDescent="0.2">
      <c r="A88">
        <v>2168</v>
      </c>
      <c r="B88">
        <f>_xll.RssMarket("2168","銘柄コード")</f>
        <v>2168</v>
      </c>
      <c r="C88" t="str">
        <f>_xll.RssMarket("2168","銘柄名称")</f>
        <v>パソナグループ</v>
      </c>
      <c r="D88" t="str">
        <f>_xll.RssMarket("2168","現在日付")</f>
        <v>2026/03/05</v>
      </c>
      <c r="E88">
        <f>_xll.RssMarket("2168","現在値")</f>
        <v>1949</v>
      </c>
      <c r="F88">
        <f>_xll.RssMarket("2168","時価総額")</f>
        <v>78330</v>
      </c>
      <c r="G88">
        <f>_xll.RssMarket("2168","単位株数")</f>
        <v>100</v>
      </c>
      <c r="H88">
        <f>_xll.RssMarket("2168","配当")</f>
        <v>75</v>
      </c>
      <c r="I88">
        <f>_xll.RssMarket("2168","PER")</f>
        <v>145.44</v>
      </c>
      <c r="J88">
        <f>_xll.RssMarket("2168","PBR")</f>
        <v>0.56000000000000005</v>
      </c>
      <c r="K88">
        <f>_xll.RssMarket("2168","信用売残")</f>
        <v>92500</v>
      </c>
      <c r="L88">
        <f>_xll.RssMarket("2168","信用売残前週比")</f>
        <v>6800</v>
      </c>
      <c r="M88">
        <f>_xll.RssMarket("2168","信用買残")</f>
        <v>138900</v>
      </c>
      <c r="N88">
        <f>_xll.RssMarket("2168","信用買残前週比")</f>
        <v>-7700</v>
      </c>
      <c r="O88">
        <f>_xll.RssMarket("2168","信用倍率")</f>
        <v>1.5</v>
      </c>
      <c r="P88" t="str">
        <f>_xll.RssMarket("2168","配当落日")</f>
        <v>2026/05/28</v>
      </c>
      <c r="Q88" t="str">
        <f>_xll.RssMarket("2168","中配落日")</f>
        <v>2026/11/27</v>
      </c>
      <c r="R88" t="str">
        <f>_xll.RssMarket("2168","権利落日")</f>
        <v/>
      </c>
      <c r="S88" t="str">
        <f>_xll.RssMarket("2168","決算発表日")</f>
        <v>-</v>
      </c>
      <c r="T88">
        <f>_xll.RssMarket("2168","年初来高値")</f>
        <v>2498</v>
      </c>
      <c r="U88">
        <f>_xll.RssMarket("2168","年初来安値")</f>
        <v>1835</v>
      </c>
      <c r="V88">
        <f>_xll.RssMarket("2168","上場来高値")</f>
        <v>142000</v>
      </c>
      <c r="W88">
        <f>_xll.RssMarket("2168","上場来安値")</f>
        <v>460</v>
      </c>
    </row>
    <row r="89" spans="1:23" x14ac:dyDescent="0.2">
      <c r="A89">
        <v>2169</v>
      </c>
      <c r="B89">
        <f>_xll.RssMarket("2169","銘柄コード")</f>
        <v>2169</v>
      </c>
      <c r="C89" t="str">
        <f>_xll.RssMarket("2169","銘柄名称")</f>
        <v>ＣＤＳ</v>
      </c>
      <c r="D89" t="str">
        <f>_xll.RssMarket("2169","現在日付")</f>
        <v>2026/03/05</v>
      </c>
      <c r="E89">
        <f>_xll.RssMarket("2169","現在値")</f>
        <v>1834</v>
      </c>
      <c r="F89">
        <f>_xll.RssMarket("2169","時価総額")</f>
        <v>12699</v>
      </c>
      <c r="G89">
        <f>_xll.RssMarket("2169","単位株数")</f>
        <v>100</v>
      </c>
      <c r="H89">
        <f>_xll.RssMarket("2169","配当")</f>
        <v>74</v>
      </c>
      <c r="I89">
        <f>_xll.RssMarket("2169","PER")</f>
        <v>18.940000000000001</v>
      </c>
      <c r="J89">
        <f>_xll.RssMarket("2169","PBR")</f>
        <v>1.4</v>
      </c>
      <c r="K89">
        <f>_xll.RssMarket("2169","信用売残")</f>
        <v>500</v>
      </c>
      <c r="L89">
        <f>_xll.RssMarket("2169","信用売残前週比")</f>
        <v>-100</v>
      </c>
      <c r="M89">
        <f>_xll.RssMarket("2169","信用買残")</f>
        <v>11500</v>
      </c>
      <c r="N89">
        <f>_xll.RssMarket("2169","信用買残前週比")</f>
        <v>900</v>
      </c>
      <c r="O89">
        <f>_xll.RssMarket("2169","信用倍率")</f>
        <v>23</v>
      </c>
      <c r="P89" t="str">
        <f>_xll.RssMarket("2169","配当落日")</f>
        <v>2026/12/29</v>
      </c>
      <c r="Q89" t="str">
        <f>_xll.RssMarket("2169","中配落日")</f>
        <v>2026/06/29</v>
      </c>
      <c r="R89" t="str">
        <f>_xll.RssMarket("2169","権利落日")</f>
        <v/>
      </c>
      <c r="S89" t="str">
        <f>_xll.RssMarket("2169","決算発表日")</f>
        <v>2026/02/13</v>
      </c>
      <c r="T89">
        <f>_xll.RssMarket("2169","年初来高値")</f>
        <v>1880</v>
      </c>
      <c r="U89">
        <f>_xll.RssMarket("2169","年初来安値")</f>
        <v>1721</v>
      </c>
      <c r="V89">
        <f>_xll.RssMarket("2169","上場来高値")</f>
        <v>186000</v>
      </c>
      <c r="W89">
        <f>_xll.RssMarket("2169","上場来安値")</f>
        <v>744</v>
      </c>
    </row>
    <row r="90" spans="1:23" x14ac:dyDescent="0.2">
      <c r="A90">
        <v>2170</v>
      </c>
      <c r="B90">
        <f>_xll.RssMarket("2170","銘柄コード")</f>
        <v>2170</v>
      </c>
      <c r="C90" t="str">
        <f>_xll.RssMarket("2170","銘柄名称")</f>
        <v>リンクアンドモチベーション</v>
      </c>
      <c r="D90" t="str">
        <f>_xll.RssMarket("2170","現在日付")</f>
        <v>2026/03/05</v>
      </c>
      <c r="E90">
        <f>_xll.RssMarket("2170","現在値")</f>
        <v>550</v>
      </c>
      <c r="F90">
        <f>_xll.RssMarket("2170","時価総額")</f>
        <v>61015</v>
      </c>
      <c r="G90">
        <f>_xll.RssMarket("2170","単位株数")</f>
        <v>100</v>
      </c>
      <c r="H90">
        <f>_xll.RssMarket("2170","配当")</f>
        <v>16.399999999999999</v>
      </c>
      <c r="I90">
        <f>_xll.RssMarket("2170","PER")</f>
        <v>17.29</v>
      </c>
      <c r="J90">
        <f>_xll.RssMarket("2170","PBR")</f>
        <v>4.4800000000000004</v>
      </c>
      <c r="K90">
        <f>_xll.RssMarket("2170","信用売残")</f>
        <v>300700</v>
      </c>
      <c r="L90">
        <f>_xll.RssMarket("2170","信用売残前週比")</f>
        <v>13000</v>
      </c>
      <c r="M90">
        <f>_xll.RssMarket("2170","信用買残")</f>
        <v>1211700</v>
      </c>
      <c r="N90">
        <f>_xll.RssMarket("2170","信用買残前週比")</f>
        <v>-118400</v>
      </c>
      <c r="O90">
        <f>_xll.RssMarket("2170","信用倍率")</f>
        <v>4.03</v>
      </c>
      <c r="P90" t="str">
        <f>_xll.RssMarket("2170","配当落日")</f>
        <v>2026/12/29</v>
      </c>
      <c r="Q90" t="str">
        <f>_xll.RssMarket("2170","中配落日")</f>
        <v>2026/06/29</v>
      </c>
      <c r="R90" t="str">
        <f>_xll.RssMarket("2170","権利落日")</f>
        <v/>
      </c>
      <c r="S90" t="str">
        <f>_xll.RssMarket("2170","決算発表日")</f>
        <v>2026/02/12</v>
      </c>
      <c r="T90">
        <f>_xll.RssMarket("2170","年初来高値")</f>
        <v>626</v>
      </c>
      <c r="U90">
        <f>_xll.RssMarket("2170","年初来安値")</f>
        <v>427</v>
      </c>
      <c r="V90">
        <f>_xll.RssMarket("2170","上場来高値")</f>
        <v>277000</v>
      </c>
      <c r="W90">
        <f>_xll.RssMarket("2170","上場来安値")</f>
        <v>97</v>
      </c>
    </row>
    <row r="91" spans="1:23" x14ac:dyDescent="0.2">
      <c r="A91">
        <v>2173</v>
      </c>
      <c r="B91">
        <f>_xll.RssMarket("2173","銘柄コード")</f>
        <v>2173</v>
      </c>
      <c r="C91" t="str">
        <f>_xll.RssMarket("2173","銘柄名称")</f>
        <v>博展</v>
      </c>
      <c r="D91" t="str">
        <f>_xll.RssMarket("2173","現在日付")</f>
        <v>2026/03/05</v>
      </c>
      <c r="E91">
        <f>_xll.RssMarket("2173","現在値")</f>
        <v>986</v>
      </c>
      <c r="F91">
        <f>_xll.RssMarket("2173","時価総額")</f>
        <v>16021</v>
      </c>
      <c r="G91">
        <f>_xll.RssMarket("2173","単位株数")</f>
        <v>100</v>
      </c>
      <c r="H91">
        <f>_xll.RssMarket("2173","配当")</f>
        <v>27</v>
      </c>
      <c r="I91">
        <f>_xll.RssMarket("2173","PER")</f>
        <v>9.4700000000000006</v>
      </c>
      <c r="J91">
        <f>_xll.RssMarket("2173","PBR")</f>
        <v>3.09</v>
      </c>
      <c r="K91">
        <f>_xll.RssMarket("2173","信用売残")</f>
        <v>37100</v>
      </c>
      <c r="L91">
        <f>_xll.RssMarket("2173","信用売残前週比")</f>
        <v>-1000</v>
      </c>
      <c r="M91">
        <f>_xll.RssMarket("2173","信用買残")</f>
        <v>184500</v>
      </c>
      <c r="N91">
        <f>_xll.RssMarket("2173","信用買残前週比")</f>
        <v>-12600</v>
      </c>
      <c r="O91">
        <f>_xll.RssMarket("2173","信用倍率")</f>
        <v>4.97</v>
      </c>
      <c r="P91" t="str">
        <f>_xll.RssMarket("2173","配当落日")</f>
        <v>2026/12/29</v>
      </c>
      <c r="Q91" t="str">
        <f>_xll.RssMarket("2173","中配落日")</f>
        <v>2026/06/29</v>
      </c>
      <c r="R91" t="str">
        <f>_xll.RssMarket("2173","権利落日")</f>
        <v>2024/03/28</v>
      </c>
      <c r="S91" t="str">
        <f>_xll.RssMarket("2173","決算発表日")</f>
        <v>2026/02/16</v>
      </c>
      <c r="T91">
        <f>_xll.RssMarket("2173","年初来高値")</f>
        <v>1088</v>
      </c>
      <c r="U91">
        <f>_xll.RssMarket("2173","年初来安値")</f>
        <v>410</v>
      </c>
      <c r="V91">
        <f>_xll.RssMarket("2173","上場来高値")</f>
        <v>188000</v>
      </c>
      <c r="W91">
        <f>_xll.RssMarket("2173","上場来安値")</f>
        <v>221</v>
      </c>
    </row>
    <row r="92" spans="1:23" x14ac:dyDescent="0.2">
      <c r="A92">
        <v>2175</v>
      </c>
      <c r="B92">
        <f>_xll.RssMarket("2175","銘柄コード")</f>
        <v>2175</v>
      </c>
      <c r="C92" t="str">
        <f>_xll.RssMarket("2175","銘柄名称")</f>
        <v>エス・エム・エス</v>
      </c>
      <c r="D92" t="str">
        <f>_xll.RssMarket("2175","現在日付")</f>
        <v>2026/03/05</v>
      </c>
      <c r="E92">
        <f>_xll.RssMarket("2175","現在値")</f>
        <v>1721</v>
      </c>
      <c r="F92">
        <f>_xll.RssMarket("2175","時価総額")</f>
        <v>150693</v>
      </c>
      <c r="G92">
        <f>_xll.RssMarket("2175","単位株数")</f>
        <v>100</v>
      </c>
      <c r="H92">
        <f>_xll.RssMarket("2175","配当")</f>
        <v>29.5</v>
      </c>
      <c r="I92">
        <f>_xll.RssMarket("2175","PER")</f>
        <v>21.72</v>
      </c>
      <c r="J92">
        <f>_xll.RssMarket("2175","PBR")</f>
        <v>3.22</v>
      </c>
      <c r="K92">
        <f>_xll.RssMarket("2175","信用売残")</f>
        <v>128300</v>
      </c>
      <c r="L92">
        <f>_xll.RssMarket("2175","信用売残前週比")</f>
        <v>-800</v>
      </c>
      <c r="M92">
        <f>_xll.RssMarket("2175","信用買残")</f>
        <v>274400</v>
      </c>
      <c r="N92">
        <f>_xll.RssMarket("2175","信用買残前週比")</f>
        <v>16000</v>
      </c>
      <c r="O92">
        <f>_xll.RssMarket("2175","信用倍率")</f>
        <v>2.14</v>
      </c>
      <c r="P92" t="str">
        <f>_xll.RssMarket("2175","配当落日")</f>
        <v>2026/03/30</v>
      </c>
      <c r="Q92" t="str">
        <f>_xll.RssMarket("2175","中配落日")</f>
        <v>2026/09/29</v>
      </c>
      <c r="R92" t="str">
        <f>_xll.RssMarket("2175","権利落日")</f>
        <v>2018/06/27</v>
      </c>
      <c r="S92" t="str">
        <f>_xll.RssMarket("2175","決算発表日")</f>
        <v>-</v>
      </c>
      <c r="T92">
        <f>_xll.RssMarket("2175","年初来高値")</f>
        <v>1851</v>
      </c>
      <c r="U92">
        <f>_xll.RssMarket("2175","年初来安値")</f>
        <v>978.7</v>
      </c>
      <c r="V92">
        <f>_xll.RssMarket("2175","上場来高値")</f>
        <v>1478000</v>
      </c>
      <c r="W92">
        <f>_xll.RssMarket("2175","上場来安値")</f>
        <v>978.7</v>
      </c>
    </row>
    <row r="93" spans="1:23" x14ac:dyDescent="0.2">
      <c r="A93">
        <v>2179</v>
      </c>
      <c r="B93">
        <f>_xll.RssMarket("2179","銘柄コード")</f>
        <v>2179</v>
      </c>
      <c r="C93" t="str">
        <f>_xll.RssMarket("2179","銘柄名称")</f>
        <v>成学社</v>
      </c>
      <c r="D93" t="str">
        <f>_xll.RssMarket("2179","現在日付")</f>
        <v>2026/03/05</v>
      </c>
      <c r="E93">
        <f>_xll.RssMarket("2179","現在値")</f>
        <v>824</v>
      </c>
      <c r="F93">
        <f>_xll.RssMarket("2179","時価総額")</f>
        <v>4841</v>
      </c>
      <c r="G93">
        <f>_xll.RssMarket("2179","単位株数")</f>
        <v>100</v>
      </c>
      <c r="H93">
        <f>_xll.RssMarket("2179","配当")</f>
        <v>22</v>
      </c>
      <c r="I93">
        <f>_xll.RssMarket("2179","PER")</f>
        <v>10.39</v>
      </c>
      <c r="J93">
        <f>_xll.RssMarket("2179","PBR")</f>
        <v>1.17</v>
      </c>
      <c r="K93">
        <f>_xll.RssMarket("2179","信用売残")</f>
        <v>0</v>
      </c>
      <c r="L93">
        <f>_xll.RssMarket("2179","信用売残前週比")</f>
        <v>0</v>
      </c>
      <c r="M93">
        <f>_xll.RssMarket("2179","信用買残")</f>
        <v>13100</v>
      </c>
      <c r="N93">
        <f>_xll.RssMarket("2179","信用買残前週比")</f>
        <v>-1100</v>
      </c>
      <c r="O93">
        <f>_xll.RssMarket("2179","信用倍率")</f>
        <v>0</v>
      </c>
      <c r="P93" t="str">
        <f>_xll.RssMarket("2179","配当落日")</f>
        <v>2026/03/30</v>
      </c>
      <c r="Q93" t="str">
        <f>_xll.RssMarket("2179","中配落日")</f>
        <v>2026/09/29</v>
      </c>
      <c r="R93" t="str">
        <f>_xll.RssMarket("2179","権利落日")</f>
        <v/>
      </c>
      <c r="S93" t="str">
        <f>_xll.RssMarket("2179","決算発表日")</f>
        <v>2026/02/06</v>
      </c>
      <c r="T93">
        <f>_xll.RssMarket("2179","年初来高値")</f>
        <v>830</v>
      </c>
      <c r="U93">
        <f>_xll.RssMarket("2179","年初来安値")</f>
        <v>671</v>
      </c>
      <c r="V93">
        <f>_xll.RssMarket("2179","上場来高値")</f>
        <v>142000</v>
      </c>
      <c r="W93">
        <f>_xll.RssMarket("2179","上場来安値")</f>
        <v>302</v>
      </c>
    </row>
    <row r="94" spans="1:23" x14ac:dyDescent="0.2">
      <c r="A94">
        <v>2180</v>
      </c>
      <c r="B94">
        <f>_xll.RssMarket("2180","銘柄コード")</f>
        <v>2180</v>
      </c>
      <c r="C94" t="str">
        <f>_xll.RssMarket("2180","銘柄名称")</f>
        <v>サニーサイドアップＧ</v>
      </c>
      <c r="D94" t="str">
        <f>_xll.RssMarket("2180","現在日付")</f>
        <v>2026/03/05</v>
      </c>
      <c r="E94">
        <f>_xll.RssMarket("2180","現在値")</f>
        <v>994</v>
      </c>
      <c r="F94">
        <f>_xll.RssMarket("2180","時価総額")</f>
        <v>15106</v>
      </c>
      <c r="G94">
        <f>_xll.RssMarket("2180","単位株数")</f>
        <v>100</v>
      </c>
      <c r="H94">
        <f>_xll.RssMarket("2180","配当")</f>
        <v>26</v>
      </c>
      <c r="I94">
        <f>_xll.RssMarket("2180","PER")</f>
        <v>11.32</v>
      </c>
      <c r="J94">
        <f>_xll.RssMarket("2180","PBR")</f>
        <v>2.76</v>
      </c>
      <c r="K94" t="str">
        <f>_xll.RssMarket("2180","信用売残")</f>
        <v>-</v>
      </c>
      <c r="L94" t="str">
        <f>_xll.RssMarket("2180","信用売残前週比")</f>
        <v>-</v>
      </c>
      <c r="M94">
        <f>_xll.RssMarket("2180","信用買残")</f>
        <v>186100</v>
      </c>
      <c r="N94">
        <f>_xll.RssMarket("2180","信用買残前週比")</f>
        <v>-4500</v>
      </c>
      <c r="O94">
        <f>_xll.RssMarket("2180","信用倍率")</f>
        <v>0</v>
      </c>
      <c r="P94" t="str">
        <f>_xll.RssMarket("2180","配当落日")</f>
        <v>2026/06/29</v>
      </c>
      <c r="Q94" t="str">
        <f>_xll.RssMarket("2180","中配落日")</f>
        <v>2026/12/29</v>
      </c>
      <c r="R94" t="str">
        <f>_xll.RssMarket("2180","権利落日")</f>
        <v>2019/07/08</v>
      </c>
      <c r="S94" t="str">
        <f>_xll.RssMarket("2180","決算発表日")</f>
        <v>2026/02/13</v>
      </c>
      <c r="T94">
        <f>_xll.RssMarket("2180","年初来高値")</f>
        <v>1024</v>
      </c>
      <c r="U94">
        <f>_xll.RssMarket("2180","年初来安値")</f>
        <v>428</v>
      </c>
      <c r="V94">
        <f>_xll.RssMarket("2180","上場来高値")</f>
        <v>4800</v>
      </c>
      <c r="W94">
        <f>_xll.RssMarket("2180","上場来安値")</f>
        <v>428</v>
      </c>
    </row>
    <row r="95" spans="1:23" x14ac:dyDescent="0.2">
      <c r="A95">
        <v>2181</v>
      </c>
      <c r="B95">
        <f>_xll.RssMarket("2181","銘柄コード")</f>
        <v>2181</v>
      </c>
      <c r="C95" t="str">
        <f>_xll.RssMarket("2181","銘柄名称")</f>
        <v>パーソルホールディングス</v>
      </c>
      <c r="D95" t="str">
        <f>_xll.RssMarket("2181","現在日付")</f>
        <v>2026/03/05</v>
      </c>
      <c r="E95">
        <f>_xll.RssMarket("2181","現在値")</f>
        <v>242.9</v>
      </c>
      <c r="F95">
        <f>_xll.RssMarket("2181","時価総額")</f>
        <v>553432</v>
      </c>
      <c r="G95">
        <f>_xll.RssMarket("2181","単位株数")</f>
        <v>100</v>
      </c>
      <c r="H95">
        <f>_xll.RssMarket("2181","配当")</f>
        <v>11</v>
      </c>
      <c r="I95">
        <f>_xll.RssMarket("2181","PER")</f>
        <v>13.2</v>
      </c>
      <c r="J95">
        <f>_xll.RssMarket("2181","PBR")</f>
        <v>2.59</v>
      </c>
      <c r="K95">
        <f>_xll.RssMarket("2181","信用売残")</f>
        <v>283800</v>
      </c>
      <c r="L95">
        <f>_xll.RssMarket("2181","信用売残前週比")</f>
        <v>-57300</v>
      </c>
      <c r="M95">
        <f>_xll.RssMarket("2181","信用買残")</f>
        <v>3440200</v>
      </c>
      <c r="N95">
        <f>_xll.RssMarket("2181","信用買残前週比")</f>
        <v>-613300</v>
      </c>
      <c r="O95">
        <f>_xll.RssMarket("2181","信用倍率")</f>
        <v>12.12</v>
      </c>
      <c r="P95" t="str">
        <f>_xll.RssMarket("2181","配当落日")</f>
        <v>2026/03/30</v>
      </c>
      <c r="Q95" t="str">
        <f>_xll.RssMarket("2181","中配落日")</f>
        <v>2026/09/29</v>
      </c>
      <c r="R95" t="str">
        <f>_xll.RssMarket("2181","権利落日")</f>
        <v>2023/09/28</v>
      </c>
      <c r="S95" t="str">
        <f>_xll.RssMarket("2181","決算発表日")</f>
        <v>2026/02/13</v>
      </c>
      <c r="T95">
        <f>_xll.RssMarket("2181","年初来高値")</f>
        <v>305.39999999999998</v>
      </c>
      <c r="U95">
        <f>_xll.RssMarket("2181","年初来安値")</f>
        <v>221.4</v>
      </c>
      <c r="V95">
        <f>_xll.RssMarket("2181","上場来高値")</f>
        <v>5770</v>
      </c>
      <c r="W95">
        <f>_xll.RssMarket("2181","上場来安値")</f>
        <v>197.5</v>
      </c>
    </row>
    <row r="96" spans="1:23" x14ac:dyDescent="0.2">
      <c r="A96">
        <v>2183</v>
      </c>
      <c r="B96">
        <f>_xll.RssMarket("2183","銘柄コード")</f>
        <v>2183</v>
      </c>
      <c r="C96" t="str">
        <f>_xll.RssMarket("2183","銘柄名称")</f>
        <v>リニカル</v>
      </c>
      <c r="D96" t="str">
        <f>_xll.RssMarket("2183","現在日付")</f>
        <v>2026/03/05</v>
      </c>
      <c r="E96">
        <f>_xll.RssMarket("2183","現在値")</f>
        <v>312</v>
      </c>
      <c r="F96">
        <f>_xll.RssMarket("2183","時価総額")</f>
        <v>7718</v>
      </c>
      <c r="G96">
        <f>_xll.RssMarket("2183","単位株数")</f>
        <v>100</v>
      </c>
      <c r="H96">
        <f>_xll.RssMarket("2183","配当")</f>
        <v>16</v>
      </c>
      <c r="I96">
        <f>_xll.RssMarket("2183","PER")</f>
        <v>0</v>
      </c>
      <c r="J96">
        <f>_xll.RssMarket("2183","PBR")</f>
        <v>1.1599999999999999</v>
      </c>
      <c r="K96" t="str">
        <f>_xll.RssMarket("2183","信用売残")</f>
        <v>-</v>
      </c>
      <c r="L96" t="str">
        <f>_xll.RssMarket("2183","信用売残前週比")</f>
        <v>-</v>
      </c>
      <c r="M96">
        <f>_xll.RssMarket("2183","信用買残")</f>
        <v>178100</v>
      </c>
      <c r="N96">
        <f>_xll.RssMarket("2183","信用買残前週比")</f>
        <v>3800</v>
      </c>
      <c r="O96">
        <f>_xll.RssMarket("2183","信用倍率")</f>
        <v>0</v>
      </c>
      <c r="P96" t="str">
        <f>_xll.RssMarket("2183","配当落日")</f>
        <v>2026/03/30</v>
      </c>
      <c r="Q96" t="str">
        <f>_xll.RssMarket("2183","中配落日")</f>
        <v>2026/09/29</v>
      </c>
      <c r="R96" t="str">
        <f>_xll.RssMarket("2183","権利落日")</f>
        <v>2015/12/28</v>
      </c>
      <c r="S96" t="str">
        <f>_xll.RssMarket("2183","決算発表日")</f>
        <v>2026/02/13</v>
      </c>
      <c r="T96">
        <f>_xll.RssMarket("2183","年初来高値")</f>
        <v>367</v>
      </c>
      <c r="U96">
        <f>_xll.RssMarket("2183","年初来安値")</f>
        <v>258</v>
      </c>
      <c r="V96">
        <f>_xll.RssMarket("2183","上場来高値")</f>
        <v>4445</v>
      </c>
      <c r="W96">
        <f>_xll.RssMarket("2183","上場来安値")</f>
        <v>222</v>
      </c>
    </row>
    <row r="97" spans="1:23" x14ac:dyDescent="0.2">
      <c r="A97">
        <v>2185</v>
      </c>
      <c r="B97">
        <f>_xll.RssMarket("2185","銘柄コード")</f>
        <v>2185</v>
      </c>
      <c r="C97" t="str">
        <f>_xll.RssMarket("2185","銘柄名称")</f>
        <v>シイエム・シイ</v>
      </c>
      <c r="D97" t="str">
        <f>_xll.RssMarket("2185","現在日付")</f>
        <v>2026/03/05</v>
      </c>
      <c r="E97">
        <f>_xll.RssMarket("2185","現在値")</f>
        <v>1915</v>
      </c>
      <c r="F97">
        <f>_xll.RssMarket("2185","時価総額")</f>
        <v>27507</v>
      </c>
      <c r="G97">
        <f>_xll.RssMarket("2185","単位株数")</f>
        <v>100</v>
      </c>
      <c r="H97">
        <f>_xll.RssMarket("2185","配当")</f>
        <v>55</v>
      </c>
      <c r="I97">
        <f>_xll.RssMarket("2185","PER")</f>
        <v>11.24</v>
      </c>
      <c r="J97">
        <f>_xll.RssMarket("2185","PBR")</f>
        <v>1.1399999999999999</v>
      </c>
      <c r="K97" t="str">
        <f>_xll.RssMarket("2185","信用売残")</f>
        <v>-</v>
      </c>
      <c r="L97" t="str">
        <f>_xll.RssMarket("2185","信用売残前週比")</f>
        <v>-</v>
      </c>
      <c r="M97">
        <f>_xll.RssMarket("2185","信用買残")</f>
        <v>35000</v>
      </c>
      <c r="N97">
        <f>_xll.RssMarket("2185","信用買残前週比")</f>
        <v>-2100</v>
      </c>
      <c r="O97">
        <f>_xll.RssMarket("2185","信用倍率")</f>
        <v>0</v>
      </c>
      <c r="P97" t="str">
        <f>_xll.RssMarket("2185","配当落日")</f>
        <v>2026/09/29</v>
      </c>
      <c r="Q97" t="str">
        <f>_xll.RssMarket("2185","中配落日")</f>
        <v>2026/03/30</v>
      </c>
      <c r="R97" t="str">
        <f>_xll.RssMarket("2185","権利落日")</f>
        <v>2021/09/29</v>
      </c>
      <c r="S97" t="str">
        <f>_xll.RssMarket("2185","決算発表日")</f>
        <v>-</v>
      </c>
      <c r="T97">
        <f>_xll.RssMarket("2185","年初来高値")</f>
        <v>2140</v>
      </c>
      <c r="U97">
        <f>_xll.RssMarket("2185","年初来安値")</f>
        <v>1293</v>
      </c>
      <c r="V97">
        <f>_xll.RssMarket("2185","上場来高値")</f>
        <v>9660</v>
      </c>
      <c r="W97">
        <f>_xll.RssMarket("2185","上場来安値")</f>
        <v>861</v>
      </c>
    </row>
    <row r="98" spans="1:23" x14ac:dyDescent="0.2">
      <c r="A98">
        <v>2186</v>
      </c>
      <c r="B98">
        <f>_xll.RssMarket("2186","銘柄コード")</f>
        <v>2186</v>
      </c>
      <c r="C98" t="str">
        <f>_xll.RssMarket("2186","銘柄名称")</f>
        <v>ソーバル</v>
      </c>
      <c r="D98" t="str">
        <f>_xll.RssMarket("2186","現在日付")</f>
        <v>2026/03/05</v>
      </c>
      <c r="E98">
        <f>_xll.RssMarket("2186","現在値")</f>
        <v>903</v>
      </c>
      <c r="F98">
        <f>_xll.RssMarket("2186","時価総額")</f>
        <v>7375</v>
      </c>
      <c r="G98">
        <f>_xll.RssMarket("2186","単位株数")</f>
        <v>100</v>
      </c>
      <c r="H98">
        <f>_xll.RssMarket("2186","配当")</f>
        <v>33</v>
      </c>
      <c r="I98">
        <f>_xll.RssMarket("2186","PER")</f>
        <v>16.149999999999999</v>
      </c>
      <c r="J98">
        <f>_xll.RssMarket("2186","PBR")</f>
        <v>1.61</v>
      </c>
      <c r="K98" t="str">
        <f>_xll.RssMarket("2186","信用売残")</f>
        <v>-</v>
      </c>
      <c r="L98" t="str">
        <f>_xll.RssMarket("2186","信用売残前週比")</f>
        <v>-</v>
      </c>
      <c r="M98">
        <f>_xll.RssMarket("2186","信用買残")</f>
        <v>45500</v>
      </c>
      <c r="N98">
        <f>_xll.RssMarket("2186","信用買残前週比")</f>
        <v>5400</v>
      </c>
      <c r="O98">
        <f>_xll.RssMarket("2186","信用倍率")</f>
        <v>0</v>
      </c>
      <c r="P98" t="str">
        <f>_xll.RssMarket("2186","配当落日")</f>
        <v>2027/02/25</v>
      </c>
      <c r="Q98" t="str">
        <f>_xll.RssMarket("2186","中配落日")</f>
        <v>2026/08/28</v>
      </c>
      <c r="R98" t="str">
        <f>_xll.RssMarket("2186","権利落日")</f>
        <v>2017/08/29</v>
      </c>
      <c r="S98" t="str">
        <f>_xll.RssMarket("2186","決算発表日")</f>
        <v>-</v>
      </c>
      <c r="T98">
        <f>_xll.RssMarket("2186","年初来高値")</f>
        <v>981</v>
      </c>
      <c r="U98">
        <f>_xll.RssMarket("2186","年初来安値")</f>
        <v>795</v>
      </c>
      <c r="V98">
        <f>_xll.RssMarket("2186","上場来高値")</f>
        <v>2580</v>
      </c>
      <c r="W98">
        <f>_xll.RssMarket("2186","上場来安値")</f>
        <v>325</v>
      </c>
    </row>
    <row r="99" spans="1:23" x14ac:dyDescent="0.2">
      <c r="A99" t="s">
        <v>24</v>
      </c>
      <c r="B99" t="str">
        <f>_xll.RssMarket("218A","銘柄コード")</f>
        <v>218A</v>
      </c>
      <c r="C99" t="str">
        <f>_xll.RssMarket("218A","銘柄名称")</f>
        <v>ＬＩＢＥＲＡＷＡＲＥ</v>
      </c>
      <c r="D99" t="str">
        <f>_xll.RssMarket("218A","現在日付")</f>
        <v>2026/03/05</v>
      </c>
      <c r="E99">
        <f>_xll.RssMarket("218A","現在値")</f>
        <v>1403</v>
      </c>
      <c r="F99">
        <f>_xll.RssMarket("218A","時価総額")</f>
        <v>26600</v>
      </c>
      <c r="G99">
        <f>_xll.RssMarket("218A","単位株数")</f>
        <v>100</v>
      </c>
      <c r="H99">
        <f>_xll.RssMarket("218A","配当")</f>
        <v>0</v>
      </c>
      <c r="I99">
        <f>_xll.RssMarket("218A","PER")</f>
        <v>0</v>
      </c>
      <c r="J99">
        <f>_xll.RssMarket("218A","PBR")</f>
        <v>29.05</v>
      </c>
      <c r="K99">
        <f>_xll.RssMarket("218A","信用売残")</f>
        <v>400</v>
      </c>
      <c r="L99">
        <f>_xll.RssMarket("218A","信用売残前週比")</f>
        <v>400</v>
      </c>
      <c r="M99">
        <f>_xll.RssMarket("218A","信用買残")</f>
        <v>1775800</v>
      </c>
      <c r="N99">
        <f>_xll.RssMarket("218A","信用買残前週比")</f>
        <v>-110500</v>
      </c>
      <c r="O99">
        <f>_xll.RssMarket("218A","信用倍率")</f>
        <v>4439.5</v>
      </c>
      <c r="P99" t="str">
        <f>_xll.RssMarket("218A","配当落日")</f>
        <v>2026/07/30</v>
      </c>
      <c r="Q99" t="str">
        <f>_xll.RssMarket("218A","中配落日")</f>
        <v>2027/01/28</v>
      </c>
      <c r="R99" t="str">
        <f>_xll.RssMarket("218A","権利落日")</f>
        <v/>
      </c>
      <c r="S99" t="str">
        <f>_xll.RssMarket("218A","決算発表日")</f>
        <v>2026/03/13</v>
      </c>
      <c r="T99">
        <f>_xll.RssMarket("218A","年初来高値")</f>
        <v>2868</v>
      </c>
      <c r="U99">
        <f>_xll.RssMarket("218A","年初来安値")</f>
        <v>396</v>
      </c>
      <c r="V99">
        <f>_xll.RssMarket("218A","上場来高値")</f>
        <v>2868</v>
      </c>
      <c r="W99">
        <f>_xll.RssMarket("218A","上場来安値")</f>
        <v>330</v>
      </c>
    </row>
    <row r="100" spans="1:23" x14ac:dyDescent="0.2">
      <c r="A100">
        <v>2193</v>
      </c>
      <c r="B100">
        <f>_xll.RssMarket("2193","銘柄コード")</f>
        <v>2193</v>
      </c>
      <c r="C100" t="str">
        <f>_xll.RssMarket("2193","銘柄名称")</f>
        <v>クックパッド</v>
      </c>
      <c r="D100" t="str">
        <f>_xll.RssMarket("2193","現在日付")</f>
        <v>2026/03/05</v>
      </c>
      <c r="E100">
        <f>_xll.RssMarket("2193","現在値")</f>
        <v>149</v>
      </c>
      <c r="F100">
        <f>_xll.RssMarket("2193","時価総額")</f>
        <v>16006</v>
      </c>
      <c r="G100">
        <f>_xll.RssMarket("2193","単位株数")</f>
        <v>100</v>
      </c>
      <c r="H100">
        <f>_xll.RssMarket("2193","配当")</f>
        <v>0</v>
      </c>
      <c r="I100">
        <f>_xll.RssMarket("2193","PER")</f>
        <v>42.57</v>
      </c>
      <c r="J100">
        <f>_xll.RssMarket("2193","PBR")</f>
        <v>0.85</v>
      </c>
      <c r="K100">
        <f>_xll.RssMarket("2193","信用売残")</f>
        <v>1033100</v>
      </c>
      <c r="L100">
        <f>_xll.RssMarket("2193","信用売残前週比")</f>
        <v>144600</v>
      </c>
      <c r="M100">
        <f>_xll.RssMarket("2193","信用買残")</f>
        <v>1554400</v>
      </c>
      <c r="N100">
        <f>_xll.RssMarket("2193","信用買残前週比")</f>
        <v>-177900</v>
      </c>
      <c r="O100">
        <f>_xll.RssMarket("2193","信用倍率")</f>
        <v>1.5</v>
      </c>
      <c r="P100" t="str">
        <f>_xll.RssMarket("2193","配当落日")</f>
        <v>2026/12/29</v>
      </c>
      <c r="Q100" t="str">
        <f>_xll.RssMarket("2193","中配落日")</f>
        <v>2026/06/29</v>
      </c>
      <c r="R100" t="str">
        <f>_xll.RssMarket("2193","権利落日")</f>
        <v>2015/06/26</v>
      </c>
      <c r="S100" t="str">
        <f>_xll.RssMarket("2193","決算発表日")</f>
        <v>2026/02/06</v>
      </c>
      <c r="T100">
        <f>_xll.RssMarket("2193","年初来高値")</f>
        <v>233</v>
      </c>
      <c r="U100">
        <f>_xll.RssMarket("2193","年初来安値")</f>
        <v>129</v>
      </c>
      <c r="V100">
        <f>_xll.RssMarket("2193","上場来高値")</f>
        <v>39100</v>
      </c>
      <c r="W100">
        <f>_xll.RssMarket("2193","上場来安値")</f>
        <v>105</v>
      </c>
    </row>
    <row r="101" spans="1:23" x14ac:dyDescent="0.2">
      <c r="A101">
        <v>2195</v>
      </c>
      <c r="B101">
        <f>_xll.RssMarket("2195","銘柄コード")</f>
        <v>2195</v>
      </c>
      <c r="C101" t="str">
        <f>_xll.RssMarket("2195","銘柄名称")</f>
        <v>アミタホールディングス</v>
      </c>
      <c r="D101" t="str">
        <f>_xll.RssMarket("2195","現在日付")</f>
        <v>2026/03/05</v>
      </c>
      <c r="E101">
        <f>_xll.RssMarket("2195","現在値")</f>
        <v>318</v>
      </c>
      <c r="F101">
        <f>_xll.RssMarket("2195","時価総額")</f>
        <v>5582</v>
      </c>
      <c r="G101">
        <f>_xll.RssMarket("2195","単位株数")</f>
        <v>100</v>
      </c>
      <c r="H101">
        <f>_xll.RssMarket("2195","配当")</f>
        <v>5</v>
      </c>
      <c r="I101">
        <f>_xll.RssMarket("2195","PER")</f>
        <v>15.51</v>
      </c>
      <c r="J101">
        <f>_xll.RssMarket("2195","PBR")</f>
        <v>1.89</v>
      </c>
      <c r="K101" t="str">
        <f>_xll.RssMarket("2195","信用売残")</f>
        <v>-</v>
      </c>
      <c r="L101" t="str">
        <f>_xll.RssMarket("2195","信用売残前週比")</f>
        <v>-</v>
      </c>
      <c r="M101">
        <f>_xll.RssMarket("2195","信用買残")</f>
        <v>197000</v>
      </c>
      <c r="N101">
        <f>_xll.RssMarket("2195","信用買残前週比")</f>
        <v>200</v>
      </c>
      <c r="O101">
        <f>_xll.RssMarket("2195","信用倍率")</f>
        <v>0</v>
      </c>
      <c r="P101" t="str">
        <f>_xll.RssMarket("2195","配当落日")</f>
        <v>2026/12/29</v>
      </c>
      <c r="Q101" t="str">
        <f>_xll.RssMarket("2195","中配落日")</f>
        <v>2026/06/29</v>
      </c>
      <c r="R101" t="str">
        <f>_xll.RssMarket("2195","権利落日")</f>
        <v>2022/09/29</v>
      </c>
      <c r="S101" t="str">
        <f>_xll.RssMarket("2195","決算発表日")</f>
        <v>2026/02/12</v>
      </c>
      <c r="T101">
        <f>_xll.RssMarket("2195","年初来高値")</f>
        <v>500</v>
      </c>
      <c r="U101">
        <f>_xll.RssMarket("2195","年初来安値")</f>
        <v>263</v>
      </c>
      <c r="V101">
        <f>_xll.RssMarket("2195","上場来高値")</f>
        <v>23650</v>
      </c>
      <c r="W101">
        <f>_xll.RssMarket("2195","上場来安値")</f>
        <v>263</v>
      </c>
    </row>
    <row r="102" spans="1:23" x14ac:dyDescent="0.2">
      <c r="A102">
        <v>2196</v>
      </c>
      <c r="B102">
        <f>_xll.RssMarket("2196","銘柄コード")</f>
        <v>2196</v>
      </c>
      <c r="C102" t="str">
        <f>_xll.RssMarket("2196","銘柄名称")</f>
        <v>エスクリ</v>
      </c>
      <c r="D102" t="str">
        <f>_xll.RssMarket("2196","現在日付")</f>
        <v>2026/03/05</v>
      </c>
      <c r="E102">
        <f>_xll.RssMarket("2196","現在値")</f>
        <v>163</v>
      </c>
      <c r="F102">
        <f>_xll.RssMarket("2196","時価総額")</f>
        <v>2247</v>
      </c>
      <c r="G102">
        <f>_xll.RssMarket("2196","単位株数")</f>
        <v>100</v>
      </c>
      <c r="H102">
        <f>_xll.RssMarket("2196","配当")</f>
        <v>0</v>
      </c>
      <c r="I102">
        <f>_xll.RssMarket("2196","PER")</f>
        <v>0</v>
      </c>
      <c r="J102">
        <f>_xll.RssMarket("2196","PBR")</f>
        <v>1</v>
      </c>
      <c r="K102">
        <f>_xll.RssMarket("2196","信用売残")</f>
        <v>16500</v>
      </c>
      <c r="L102">
        <f>_xll.RssMarket("2196","信用売残前週比")</f>
        <v>-66900</v>
      </c>
      <c r="M102">
        <f>_xll.RssMarket("2196","信用買残")</f>
        <v>513600</v>
      </c>
      <c r="N102">
        <f>_xll.RssMarket("2196","信用買残前週比")</f>
        <v>-52100</v>
      </c>
      <c r="O102">
        <f>_xll.RssMarket("2196","信用倍率")</f>
        <v>31.13</v>
      </c>
      <c r="P102" t="str">
        <f>_xll.RssMarket("2196","配当落日")</f>
        <v>2026/03/30</v>
      </c>
      <c r="Q102" t="str">
        <f>_xll.RssMarket("2196","中配落日")</f>
        <v>2026/09/29</v>
      </c>
      <c r="R102" t="str">
        <f>_xll.RssMarket("2196","権利落日")</f>
        <v/>
      </c>
      <c r="S102" t="str">
        <f>_xll.RssMarket("2196","決算発表日")</f>
        <v>2026/02/13</v>
      </c>
      <c r="T102">
        <f>_xll.RssMarket("2196","年初来高値")</f>
        <v>407</v>
      </c>
      <c r="U102">
        <f>_xll.RssMarket("2196","年初来安値")</f>
        <v>139</v>
      </c>
      <c r="V102">
        <f>_xll.RssMarket("2196","上場来高値")</f>
        <v>2595</v>
      </c>
      <c r="W102">
        <f>_xll.RssMarket("2196","上場来安値")</f>
        <v>139</v>
      </c>
    </row>
    <row r="103" spans="1:23" x14ac:dyDescent="0.2">
      <c r="A103">
        <v>2198</v>
      </c>
      <c r="B103">
        <f>_xll.RssMarket("2198","銘柄コード")</f>
        <v>2198</v>
      </c>
      <c r="C103" t="str">
        <f>_xll.RssMarket("2198","銘柄名称")</f>
        <v>アイ・ケイ・ケイホールディンク</v>
      </c>
      <c r="D103" t="str">
        <f>_xll.RssMarket("2198","現在日付")</f>
        <v>2026/03/05</v>
      </c>
      <c r="E103">
        <f>_xll.RssMarket("2198","現在値")</f>
        <v>818</v>
      </c>
      <c r="F103">
        <f>_xll.RssMarket("2198","時価総額")</f>
        <v>24504</v>
      </c>
      <c r="G103">
        <f>_xll.RssMarket("2198","単位株数")</f>
        <v>100</v>
      </c>
      <c r="H103">
        <f>_xll.RssMarket("2198","配当")</f>
        <v>24</v>
      </c>
      <c r="I103">
        <f>_xll.RssMarket("2198","PER")</f>
        <v>32.979999999999997</v>
      </c>
      <c r="J103">
        <f>_xll.RssMarket("2198","PBR")</f>
        <v>1.95</v>
      </c>
      <c r="K103">
        <f>_xll.RssMarket("2198","信用売残")</f>
        <v>16800</v>
      </c>
      <c r="L103">
        <f>_xll.RssMarket("2198","信用売残前週比")</f>
        <v>200</v>
      </c>
      <c r="M103">
        <f>_xll.RssMarket("2198","信用買残")</f>
        <v>88600</v>
      </c>
      <c r="N103">
        <f>_xll.RssMarket("2198","信用買残前週比")</f>
        <v>2900</v>
      </c>
      <c r="O103">
        <f>_xll.RssMarket("2198","信用倍率")</f>
        <v>5.27</v>
      </c>
      <c r="P103" t="str">
        <f>_xll.RssMarket("2198","配当落日")</f>
        <v>2026/10/29</v>
      </c>
      <c r="Q103" t="str">
        <f>_xll.RssMarket("2198","中配落日")</f>
        <v>2026/04/28</v>
      </c>
      <c r="R103" t="str">
        <f>_xll.RssMarket("2198","権利落日")</f>
        <v>2015/04/27</v>
      </c>
      <c r="S103" t="str">
        <f>_xll.RssMarket("2198","決算発表日")</f>
        <v>2026/03/12</v>
      </c>
      <c r="T103">
        <f>_xll.RssMarket("2198","年初来高値")</f>
        <v>854</v>
      </c>
      <c r="U103">
        <f>_xll.RssMarket("2198","年初来安値")</f>
        <v>743</v>
      </c>
      <c r="V103">
        <f>_xll.RssMarket("2198","上場来高値")</f>
        <v>1728</v>
      </c>
      <c r="W103">
        <f>_xll.RssMarket("2198","上場来安値")</f>
        <v>424</v>
      </c>
    </row>
    <row r="104" spans="1:23" x14ac:dyDescent="0.2">
      <c r="A104" t="s">
        <v>25</v>
      </c>
      <c r="B104" t="str">
        <f>_xll.RssMarket("219A","銘柄コード")</f>
        <v>219A</v>
      </c>
      <c r="C104" t="str">
        <f>_xll.RssMarket("219A","銘柄名称")</f>
        <v>ＨＥＡＲＴＳＥＥＤ</v>
      </c>
      <c r="D104" t="str">
        <f>_xll.RssMarket("219A","現在日付")</f>
        <v>2026/03/05</v>
      </c>
      <c r="E104">
        <f>_xll.RssMarket("219A","現在値")</f>
        <v>1921</v>
      </c>
      <c r="F104">
        <f>_xll.RssMarket("219A","時価総額")</f>
        <v>43910</v>
      </c>
      <c r="G104">
        <f>_xll.RssMarket("219A","単位株数")</f>
        <v>100</v>
      </c>
      <c r="H104">
        <f>_xll.RssMarket("219A","配当")</f>
        <v>0</v>
      </c>
      <c r="I104">
        <f>_xll.RssMarket("219A","PER")</f>
        <v>0</v>
      </c>
      <c r="J104">
        <f>_xll.RssMarket("219A","PBR")</f>
        <v>6.1</v>
      </c>
      <c r="K104">
        <f>_xll.RssMarket("219A","信用売残")</f>
        <v>816200</v>
      </c>
      <c r="L104">
        <f>_xll.RssMarket("219A","信用売残前週比")</f>
        <v>13300</v>
      </c>
      <c r="M104">
        <f>_xll.RssMarket("219A","信用買残")</f>
        <v>1743400</v>
      </c>
      <c r="N104">
        <f>_xll.RssMarket("219A","信用買残前週比")</f>
        <v>-77400</v>
      </c>
      <c r="O104">
        <f>_xll.RssMarket("219A","信用倍率")</f>
        <v>2.14</v>
      </c>
      <c r="P104" t="str">
        <f>_xll.RssMarket("219A","配当落日")</f>
        <v>2026/12/29</v>
      </c>
      <c r="Q104" t="str">
        <f>_xll.RssMarket("219A","中配落日")</f>
        <v/>
      </c>
      <c r="R104" t="str">
        <f>_xll.RssMarket("219A","権利落日")</f>
        <v/>
      </c>
      <c r="S104" t="str">
        <f>_xll.RssMarket("219A","決算発表日")</f>
        <v>2026/02/13</v>
      </c>
      <c r="T104">
        <f>_xll.RssMarket("219A","年初来高値")</f>
        <v>4385</v>
      </c>
      <c r="U104">
        <f>_xll.RssMarket("219A","年初来安値")</f>
        <v>1343</v>
      </c>
      <c r="V104">
        <f>_xll.RssMarket("219A","上場来高値")</f>
        <v>4385</v>
      </c>
      <c r="W104">
        <f>_xll.RssMarket("219A","上場来安値")</f>
        <v>901</v>
      </c>
    </row>
    <row r="105" spans="1:23" x14ac:dyDescent="0.2">
      <c r="A105">
        <v>2201</v>
      </c>
      <c r="B105">
        <f>_xll.RssMarket("2201","銘柄コード")</f>
        <v>2201</v>
      </c>
      <c r="C105" t="str">
        <f>_xll.RssMarket("2201","銘柄名称")</f>
        <v>森永製菓</v>
      </c>
      <c r="D105" t="str">
        <f>_xll.RssMarket("2201","現在日付")</f>
        <v>2026/03/05</v>
      </c>
      <c r="E105">
        <f>_xll.RssMarket("2201","現在値")</f>
        <v>2788</v>
      </c>
      <c r="F105">
        <f>_xll.RssMarket("2201","時価総額")</f>
        <v>240079</v>
      </c>
      <c r="G105">
        <f>_xll.RssMarket("2201","単位株数")</f>
        <v>100</v>
      </c>
      <c r="H105">
        <f>_xll.RssMarket("2201","配当")</f>
        <v>65</v>
      </c>
      <c r="I105">
        <f>_xll.RssMarket("2201","PER")</f>
        <v>12.87</v>
      </c>
      <c r="J105">
        <f>_xll.RssMarket("2201","PBR")</f>
        <v>1.79</v>
      </c>
      <c r="K105">
        <f>_xll.RssMarket("2201","信用売残")</f>
        <v>17700</v>
      </c>
      <c r="L105">
        <f>_xll.RssMarket("2201","信用売残前週比")</f>
        <v>-7300</v>
      </c>
      <c r="M105">
        <f>_xll.RssMarket("2201","信用買残")</f>
        <v>43600</v>
      </c>
      <c r="N105">
        <f>_xll.RssMarket("2201","信用買残前週比")</f>
        <v>-15600</v>
      </c>
      <c r="O105">
        <f>_xll.RssMarket("2201","信用倍率")</f>
        <v>2.46</v>
      </c>
      <c r="P105" t="str">
        <f>_xll.RssMarket("2201","配当落日")</f>
        <v>2026/03/30</v>
      </c>
      <c r="Q105" t="str">
        <f>_xll.RssMarket("2201","中配落日")</f>
        <v>2026/09/29</v>
      </c>
      <c r="R105" t="str">
        <f>_xll.RssMarket("2201","権利落日")</f>
        <v>2023/12/28</v>
      </c>
      <c r="S105" t="str">
        <f>_xll.RssMarket("2201","決算発表日")</f>
        <v>2026/02/10</v>
      </c>
      <c r="T105">
        <f>_xll.RssMarket("2201","年初来高値")</f>
        <v>2895</v>
      </c>
      <c r="U105">
        <f>_xll.RssMarket("2201","年初来安値")</f>
        <v>2326</v>
      </c>
      <c r="V105">
        <f>_xll.RssMarket("2201","上場来高値")</f>
        <v>7270</v>
      </c>
      <c r="W105">
        <f>_xll.RssMarket("2201","上場来安値")</f>
        <v>62</v>
      </c>
    </row>
    <row r="106" spans="1:23" x14ac:dyDescent="0.2">
      <c r="A106">
        <v>2204</v>
      </c>
      <c r="B106">
        <f>_xll.RssMarket("2204","銘柄コード")</f>
        <v>2204</v>
      </c>
      <c r="C106" t="str">
        <f>_xll.RssMarket("2204","銘柄名称")</f>
        <v>中村屋</v>
      </c>
      <c r="D106" t="str">
        <f>_xll.RssMarket("2204","現在日付")</f>
        <v>2026/03/05</v>
      </c>
      <c r="E106">
        <f>_xll.RssMarket("2204","現在値")</f>
        <v>3295</v>
      </c>
      <c r="F106">
        <f>_xll.RssMarket("2204","時価総額")</f>
        <v>19691</v>
      </c>
      <c r="G106">
        <f>_xll.RssMarket("2204","単位株数")</f>
        <v>100</v>
      </c>
      <c r="H106">
        <f>_xll.RssMarket("2204","配当")</f>
        <v>70</v>
      </c>
      <c r="I106">
        <f>_xll.RssMarket("2204","PER")</f>
        <v>36.200000000000003</v>
      </c>
      <c r="J106">
        <f>_xll.RssMarket("2204","PBR")</f>
        <v>0.72</v>
      </c>
      <c r="K106">
        <f>_xll.RssMarket("2204","信用売残")</f>
        <v>6500</v>
      </c>
      <c r="L106">
        <f>_xll.RssMarket("2204","信用売残前週比")</f>
        <v>4100</v>
      </c>
      <c r="M106">
        <f>_xll.RssMarket("2204","信用買残")</f>
        <v>7100</v>
      </c>
      <c r="N106">
        <f>_xll.RssMarket("2204","信用買残前週比")</f>
        <v>1200</v>
      </c>
      <c r="O106">
        <f>_xll.RssMarket("2204","信用倍率")</f>
        <v>1.0900000000000001</v>
      </c>
      <c r="P106" t="str">
        <f>_xll.RssMarket("2204","配当落日")</f>
        <v>2026/03/30</v>
      </c>
      <c r="Q106" t="str">
        <f>_xll.RssMarket("2204","中配落日")</f>
        <v/>
      </c>
      <c r="R106" t="str">
        <f>_xll.RssMarket("2204","権利落日")</f>
        <v/>
      </c>
      <c r="S106" t="str">
        <f>_xll.RssMarket("2204","決算発表日")</f>
        <v>2026/02/06</v>
      </c>
      <c r="T106">
        <f>_xll.RssMarket("2204","年初来高値")</f>
        <v>3365</v>
      </c>
      <c r="U106">
        <f>_xll.RssMarket("2204","年初来安値")</f>
        <v>2989</v>
      </c>
      <c r="V106">
        <f>_xll.RssMarket("2204","上場来高値")</f>
        <v>5340</v>
      </c>
      <c r="W106">
        <f>_xll.RssMarket("2204","上場来安値")</f>
        <v>105</v>
      </c>
    </row>
    <row r="107" spans="1:23" x14ac:dyDescent="0.2">
      <c r="A107">
        <v>2206</v>
      </c>
      <c r="B107">
        <f>_xll.RssMarket("2206","銘柄コード")</f>
        <v>2206</v>
      </c>
      <c r="C107" t="str">
        <f>_xll.RssMarket("2206","銘柄名称")</f>
        <v>江崎グリコ</v>
      </c>
      <c r="D107" t="str">
        <f>_xll.RssMarket("2206","現在日付")</f>
        <v>2026/03/05</v>
      </c>
      <c r="E107">
        <f>_xll.RssMarket("2206","現在値")</f>
        <v>6061</v>
      </c>
      <c r="F107">
        <f>_xll.RssMarket("2206","時価総額")</f>
        <v>414987</v>
      </c>
      <c r="G107">
        <f>_xll.RssMarket("2206","単位株数")</f>
        <v>100</v>
      </c>
      <c r="H107">
        <f>_xll.RssMarket("2206","配当")</f>
        <v>95</v>
      </c>
      <c r="I107">
        <f>_xll.RssMarket("2206","PER")</f>
        <v>38.58</v>
      </c>
      <c r="J107">
        <f>_xll.RssMarket("2206","PBR")</f>
        <v>1.38</v>
      </c>
      <c r="K107">
        <f>_xll.RssMarket("2206","信用売残")</f>
        <v>87200</v>
      </c>
      <c r="L107">
        <f>_xll.RssMarket("2206","信用売残前週比")</f>
        <v>-2700</v>
      </c>
      <c r="M107">
        <f>_xll.RssMarket("2206","信用買残")</f>
        <v>116600</v>
      </c>
      <c r="N107">
        <f>_xll.RssMarket("2206","信用買残前週比")</f>
        <v>90200</v>
      </c>
      <c r="O107">
        <f>_xll.RssMarket("2206","信用倍率")</f>
        <v>1.34</v>
      </c>
      <c r="P107" t="str">
        <f>_xll.RssMarket("2206","配当落日")</f>
        <v>2026/12/29</v>
      </c>
      <c r="Q107" t="str">
        <f>_xll.RssMarket("2206","中配落日")</f>
        <v>2026/06/29</v>
      </c>
      <c r="R107" t="str">
        <f>_xll.RssMarket("2206","権利落日")</f>
        <v/>
      </c>
      <c r="S107" t="str">
        <f>_xll.RssMarket("2206","決算発表日")</f>
        <v>2026/02/13</v>
      </c>
      <c r="T107">
        <f>_xll.RssMarket("2206","年初来高値")</f>
        <v>6173</v>
      </c>
      <c r="U107">
        <f>_xll.RssMarket("2206","年初来安値")</f>
        <v>4348</v>
      </c>
      <c r="V107">
        <f>_xll.RssMarket("2206","上場来高値")</f>
        <v>7300</v>
      </c>
      <c r="W107">
        <f>_xll.RssMarket("2206","上場来安値")</f>
        <v>65</v>
      </c>
    </row>
    <row r="108" spans="1:23" x14ac:dyDescent="0.2">
      <c r="A108">
        <v>2207</v>
      </c>
      <c r="B108">
        <f>_xll.RssMarket("2207","銘柄コード")</f>
        <v>2207</v>
      </c>
      <c r="C108" t="str">
        <f>_xll.RssMarket("2207","銘柄名称")</f>
        <v>ｍｅｉｔｏ</v>
      </c>
      <c r="D108" t="str">
        <f>_xll.RssMarket("2207","現在日付")</f>
        <v>2026/03/05</v>
      </c>
      <c r="E108">
        <f>_xll.RssMarket("2207","現在値")</f>
        <v>2821</v>
      </c>
      <c r="F108">
        <f>_xll.RssMarket("2207","時価総額")</f>
        <v>46974</v>
      </c>
      <c r="G108">
        <f>_xll.RssMarket("2207","単位株数")</f>
        <v>100</v>
      </c>
      <c r="H108">
        <f>_xll.RssMarket("2207","配当")</f>
        <v>55</v>
      </c>
      <c r="I108">
        <f>_xll.RssMarket("2207","PER")</f>
        <v>16.420000000000002</v>
      </c>
      <c r="J108">
        <f>_xll.RssMarket("2207","PBR")</f>
        <v>0.8</v>
      </c>
      <c r="K108">
        <f>_xll.RssMarket("2207","信用売残")</f>
        <v>89300</v>
      </c>
      <c r="L108">
        <f>_xll.RssMarket("2207","信用売残前週比")</f>
        <v>26200</v>
      </c>
      <c r="M108">
        <f>_xll.RssMarket("2207","信用買残")</f>
        <v>762900</v>
      </c>
      <c r="N108">
        <f>_xll.RssMarket("2207","信用買残前週比")</f>
        <v>-6200</v>
      </c>
      <c r="O108">
        <f>_xll.RssMarket("2207","信用倍率")</f>
        <v>8.5399999999999991</v>
      </c>
      <c r="P108" t="str">
        <f>_xll.RssMarket("2207","配当落日")</f>
        <v>2026/03/30</v>
      </c>
      <c r="Q108" t="str">
        <f>_xll.RssMarket("2207","中配落日")</f>
        <v>2026/09/29</v>
      </c>
      <c r="R108" t="str">
        <f>_xll.RssMarket("2207","権利落日")</f>
        <v/>
      </c>
      <c r="S108" t="str">
        <f>_xll.RssMarket("2207","決算発表日")</f>
        <v>-</v>
      </c>
      <c r="T108">
        <f>_xll.RssMarket("2207","年初来高値")</f>
        <v>2819</v>
      </c>
      <c r="U108">
        <f>_xll.RssMarket("2207","年初来安値")</f>
        <v>1816</v>
      </c>
      <c r="V108">
        <f>_xll.RssMarket("2207","上場来高値")</f>
        <v>8020</v>
      </c>
      <c r="W108">
        <f>_xll.RssMarket("2207","上場来安値")</f>
        <v>50</v>
      </c>
    </row>
    <row r="109" spans="1:23" x14ac:dyDescent="0.2">
      <c r="A109">
        <v>2208</v>
      </c>
      <c r="B109">
        <f>_xll.RssMarket("2208","銘柄コード")</f>
        <v>2208</v>
      </c>
      <c r="C109" t="str">
        <f>_xll.RssMarket("2208","銘柄名称")</f>
        <v>ブルボン</v>
      </c>
      <c r="D109" t="str">
        <f>_xll.RssMarket("2208","現在日付")</f>
        <v>2026/03/05</v>
      </c>
      <c r="E109">
        <f>_xll.RssMarket("2208","現在値")</f>
        <v>3275</v>
      </c>
      <c r="F109">
        <f>_xll.RssMarket("2208","時価総額")</f>
        <v>90717</v>
      </c>
      <c r="G109">
        <f>_xll.RssMarket("2208","単位株数")</f>
        <v>100</v>
      </c>
      <c r="H109">
        <f>_xll.RssMarket("2208","配当")</f>
        <v>42</v>
      </c>
      <c r="I109">
        <f>_xll.RssMarket("2208","PER")</f>
        <v>14.39</v>
      </c>
      <c r="J109">
        <f>_xll.RssMarket("2208","PBR")</f>
        <v>1.26</v>
      </c>
      <c r="K109" t="str">
        <f>_xll.RssMarket("2208","信用売残")</f>
        <v>-</v>
      </c>
      <c r="L109" t="str">
        <f>_xll.RssMarket("2208","信用売残前週比")</f>
        <v>-</v>
      </c>
      <c r="M109">
        <f>_xll.RssMarket("2208","信用買残")</f>
        <v>14900</v>
      </c>
      <c r="N109">
        <f>_xll.RssMarket("2208","信用買残前週比")</f>
        <v>1000</v>
      </c>
      <c r="O109">
        <f>_xll.RssMarket("2208","信用倍率")</f>
        <v>0</v>
      </c>
      <c r="P109" t="str">
        <f>_xll.RssMarket("2208","配当落日")</f>
        <v>2026/03/30</v>
      </c>
      <c r="Q109" t="str">
        <f>_xll.RssMarket("2208","中配落日")</f>
        <v>2026/09/29</v>
      </c>
      <c r="R109" t="str">
        <f>_xll.RssMarket("2208","権利落日")</f>
        <v/>
      </c>
      <c r="S109" t="str">
        <f>_xll.RssMarket("2208","決算発表日")</f>
        <v>-</v>
      </c>
      <c r="T109">
        <f>_xll.RssMarket("2208","年初来高値")</f>
        <v>3350</v>
      </c>
      <c r="U109">
        <f>_xll.RssMarket("2208","年初来安値")</f>
        <v>2313</v>
      </c>
      <c r="V109">
        <f>_xll.RssMarket("2208","上場来高値")</f>
        <v>3970</v>
      </c>
      <c r="W109">
        <f>_xll.RssMarket("2208","上場来安値")</f>
        <v>30</v>
      </c>
    </row>
    <row r="110" spans="1:23" x14ac:dyDescent="0.2">
      <c r="A110">
        <v>2209</v>
      </c>
      <c r="B110">
        <f>_xll.RssMarket("2209","銘柄コード")</f>
        <v>2209</v>
      </c>
      <c r="C110" t="str">
        <f>_xll.RssMarket("2209","銘柄名称")</f>
        <v>井村屋グループ</v>
      </c>
      <c r="D110" t="str">
        <f>_xll.RssMarket("2209","現在日付")</f>
        <v>2026/03/05</v>
      </c>
      <c r="E110">
        <f>_xll.RssMarket("2209","現在値")</f>
        <v>2490</v>
      </c>
      <c r="F110">
        <f>_xll.RssMarket("2209","時価総額")</f>
        <v>32584</v>
      </c>
      <c r="G110">
        <f>_xll.RssMarket("2209","単位株数")</f>
        <v>100</v>
      </c>
      <c r="H110">
        <f>_xll.RssMarket("2209","配当")</f>
        <v>36</v>
      </c>
      <c r="I110">
        <f>_xll.RssMarket("2209","PER")</f>
        <v>12.74</v>
      </c>
      <c r="J110">
        <f>_xll.RssMarket("2209","PBR")</f>
        <v>1.36</v>
      </c>
      <c r="K110">
        <f>_xll.RssMarket("2209","信用売残")</f>
        <v>1700</v>
      </c>
      <c r="L110">
        <f>_xll.RssMarket("2209","信用売残前週比")</f>
        <v>1100</v>
      </c>
      <c r="M110">
        <f>_xll.RssMarket("2209","信用買残")</f>
        <v>20200</v>
      </c>
      <c r="N110">
        <f>_xll.RssMarket("2209","信用買残前週比")</f>
        <v>-3500</v>
      </c>
      <c r="O110">
        <f>_xll.RssMarket("2209","信用倍率")</f>
        <v>11.88</v>
      </c>
      <c r="P110" t="str">
        <f>_xll.RssMarket("2209","配当落日")</f>
        <v>2026/03/30</v>
      </c>
      <c r="Q110" t="str">
        <f>_xll.RssMarket("2209","中配落日")</f>
        <v>2026/09/29</v>
      </c>
      <c r="R110" t="str">
        <f>_xll.RssMarket("2209","権利落日")</f>
        <v/>
      </c>
      <c r="S110" t="str">
        <f>_xll.RssMarket("2209","決算発表日")</f>
        <v>-</v>
      </c>
      <c r="T110">
        <f>_xll.RssMarket("2209","年初来高値")</f>
        <v>2684</v>
      </c>
      <c r="U110">
        <f>_xll.RssMarket("2209","年初来安値")</f>
        <v>2150</v>
      </c>
      <c r="V110">
        <f>_xll.RssMarket("2209","上場来高値")</f>
        <v>4895</v>
      </c>
      <c r="W110">
        <f>_xll.RssMarket("2209","上場来安値")</f>
        <v>395</v>
      </c>
    </row>
    <row r="111" spans="1:23" x14ac:dyDescent="0.2">
      <c r="A111" t="s">
        <v>26</v>
      </c>
      <c r="B111" t="str">
        <f>_xll.RssMarket("220A","銘柄コード")</f>
        <v>220A</v>
      </c>
      <c r="C111" t="str">
        <f>_xll.RssMarket("220A","銘柄名称")</f>
        <v>ＦＡＢＥＲＣＯＭＰＡＮＹ</v>
      </c>
      <c r="D111" t="str">
        <f>_xll.RssMarket("220A","現在日付")</f>
        <v>2026/03/05</v>
      </c>
      <c r="E111">
        <f>_xll.RssMarket("220A","現在値")</f>
        <v>1075</v>
      </c>
      <c r="F111">
        <f>_xll.RssMarket("220A","時価総額")</f>
        <v>3225</v>
      </c>
      <c r="G111">
        <f>_xll.RssMarket("220A","単位株数")</f>
        <v>100</v>
      </c>
      <c r="H111">
        <f>_xll.RssMarket("220A","配当")</f>
        <v>30</v>
      </c>
      <c r="I111">
        <f>_xll.RssMarket("220A","PER")</f>
        <v>14.05</v>
      </c>
      <c r="J111">
        <f>_xll.RssMarket("220A","PBR")</f>
        <v>1.23</v>
      </c>
      <c r="K111" t="str">
        <f>_xll.RssMarket("220A","信用売残")</f>
        <v>-</v>
      </c>
      <c r="L111" t="str">
        <f>_xll.RssMarket("220A","信用売残前週比")</f>
        <v>-</v>
      </c>
      <c r="M111">
        <f>_xll.RssMarket("220A","信用買残")</f>
        <v>174500</v>
      </c>
      <c r="N111">
        <f>_xll.RssMarket("220A","信用買残前週比")</f>
        <v>-700</v>
      </c>
      <c r="O111">
        <f>_xll.RssMarket("220A","信用倍率")</f>
        <v>0</v>
      </c>
      <c r="P111" t="str">
        <f>_xll.RssMarket("220A","配当落日")</f>
        <v>2026/09/29</v>
      </c>
      <c r="Q111" t="str">
        <f>_xll.RssMarket("220A","中配落日")</f>
        <v>2026/03/30</v>
      </c>
      <c r="R111" t="str">
        <f>_xll.RssMarket("220A","権利落日")</f>
        <v/>
      </c>
      <c r="S111" t="str">
        <f>_xll.RssMarket("220A","決算発表日")</f>
        <v>2026/02/12</v>
      </c>
      <c r="T111">
        <f>_xll.RssMarket("220A","年初来高値")</f>
        <v>1414</v>
      </c>
      <c r="U111">
        <f>_xll.RssMarket("220A","年初来安値")</f>
        <v>953</v>
      </c>
      <c r="V111">
        <f>_xll.RssMarket("220A","上場来高値")</f>
        <v>1414</v>
      </c>
      <c r="W111">
        <f>_xll.RssMarket("220A","上場来安値")</f>
        <v>684</v>
      </c>
    </row>
    <row r="112" spans="1:23" x14ac:dyDescent="0.2">
      <c r="A112">
        <v>2211</v>
      </c>
      <c r="B112">
        <f>_xll.RssMarket("2211","銘柄コード")</f>
        <v>2211</v>
      </c>
      <c r="C112" t="str">
        <f>_xll.RssMarket("2211","銘柄名称")</f>
        <v>不二家</v>
      </c>
      <c r="D112" t="str">
        <f>_xll.RssMarket("2211","現在日付")</f>
        <v>2026/03/05</v>
      </c>
      <c r="E112">
        <f>_xll.RssMarket("2211","現在値")</f>
        <v>2456</v>
      </c>
      <c r="F112">
        <f>_xll.RssMarket("2211","時価総額")</f>
        <v>63327</v>
      </c>
      <c r="G112">
        <f>_xll.RssMarket("2211","単位株数")</f>
        <v>100</v>
      </c>
      <c r="H112">
        <f>_xll.RssMarket("2211","配当")</f>
        <v>30</v>
      </c>
      <c r="I112">
        <f>_xll.RssMarket("2211","PER")</f>
        <v>30.13</v>
      </c>
      <c r="J112">
        <f>_xll.RssMarket("2211","PBR")</f>
        <v>1.04</v>
      </c>
      <c r="K112">
        <f>_xll.RssMarket("2211","信用売残")</f>
        <v>76100</v>
      </c>
      <c r="L112">
        <f>_xll.RssMarket("2211","信用売残前週比")</f>
        <v>-800</v>
      </c>
      <c r="M112">
        <f>_xll.RssMarket("2211","信用買残")</f>
        <v>88300</v>
      </c>
      <c r="N112">
        <f>_xll.RssMarket("2211","信用買残前週比")</f>
        <v>-900</v>
      </c>
      <c r="O112">
        <f>_xll.RssMarket("2211","信用倍率")</f>
        <v>1.1599999999999999</v>
      </c>
      <c r="P112" t="str">
        <f>_xll.RssMarket("2211","配当落日")</f>
        <v>2026/12/29</v>
      </c>
      <c r="Q112" t="str">
        <f>_xll.RssMarket("2211","中配落日")</f>
        <v>2026/06/29</v>
      </c>
      <c r="R112" t="str">
        <f>_xll.RssMarket("2211","権利落日")</f>
        <v/>
      </c>
      <c r="S112" t="str">
        <f>_xll.RssMarket("2211","決算発表日")</f>
        <v>2026/02/10</v>
      </c>
      <c r="T112">
        <f>_xll.RssMarket("2211","年初来高値")</f>
        <v>2685</v>
      </c>
      <c r="U112">
        <f>_xll.RssMarket("2211","年初来安値")</f>
        <v>2218</v>
      </c>
      <c r="V112">
        <f>_xll.RssMarket("2211","上場来高値")</f>
        <v>3790</v>
      </c>
      <c r="W112">
        <f>_xll.RssMarket("2211","上場来安値")</f>
        <v>60</v>
      </c>
    </row>
    <row r="113" spans="1:23" x14ac:dyDescent="0.2">
      <c r="A113">
        <v>2212</v>
      </c>
      <c r="B113">
        <f>_xll.RssMarket("2212","銘柄コード")</f>
        <v>2212</v>
      </c>
      <c r="C113" t="str">
        <f>_xll.RssMarket("2212","銘柄名称")</f>
        <v>山崎製パン</v>
      </c>
      <c r="D113" t="str">
        <f>_xll.RssMarket("2212","現在日付")</f>
        <v>2026/03/05</v>
      </c>
      <c r="E113">
        <f>_xll.RssMarket("2212","現在値")</f>
        <v>3400</v>
      </c>
      <c r="F113">
        <f>_xll.RssMarket("2212","時価総額")</f>
        <v>748961</v>
      </c>
      <c r="G113">
        <f>_xll.RssMarket("2212","単位株数")</f>
        <v>100</v>
      </c>
      <c r="H113">
        <f>_xll.RssMarket("2212","配当")</f>
        <v>60</v>
      </c>
      <c r="I113">
        <f>_xll.RssMarket("2212","PER")</f>
        <v>15.75</v>
      </c>
      <c r="J113">
        <f>_xll.RssMarket("2212","PBR")</f>
        <v>1.46</v>
      </c>
      <c r="K113">
        <f>_xll.RssMarket("2212","信用売残")</f>
        <v>66300</v>
      </c>
      <c r="L113">
        <f>_xll.RssMarket("2212","信用売残前週比")</f>
        <v>-1400</v>
      </c>
      <c r="M113">
        <f>_xll.RssMarket("2212","信用買残")</f>
        <v>170800</v>
      </c>
      <c r="N113">
        <f>_xll.RssMarket("2212","信用買残前週比")</f>
        <v>-5900</v>
      </c>
      <c r="O113">
        <f>_xll.RssMarket("2212","信用倍率")</f>
        <v>2.58</v>
      </c>
      <c r="P113" t="str">
        <f>_xll.RssMarket("2212","配当落日")</f>
        <v>2026/12/29</v>
      </c>
      <c r="Q113" t="str">
        <f>_xll.RssMarket("2212","中配落日")</f>
        <v/>
      </c>
      <c r="R113" t="str">
        <f>_xll.RssMarket("2212","権利落日")</f>
        <v/>
      </c>
      <c r="S113" t="str">
        <f>_xll.RssMarket("2212","決算発表日")</f>
        <v>2026/02/12</v>
      </c>
      <c r="T113">
        <f>_xll.RssMarket("2212","年初来高値")</f>
        <v>3649</v>
      </c>
      <c r="U113">
        <f>_xll.RssMarket("2212","年初来安値")</f>
        <v>2460</v>
      </c>
      <c r="V113">
        <f>_xll.RssMarket("2212","上場来高値")</f>
        <v>4133</v>
      </c>
      <c r="W113">
        <f>_xll.RssMarket("2212","上場来安値")</f>
        <v>100</v>
      </c>
    </row>
    <row r="114" spans="1:23" x14ac:dyDescent="0.2">
      <c r="A114">
        <v>2215</v>
      </c>
      <c r="B114">
        <f>_xll.RssMarket("2215","銘柄コード")</f>
        <v>2215</v>
      </c>
      <c r="C114" t="str">
        <f>_xll.RssMarket("2215","銘柄名称")</f>
        <v>第一屋製パン</v>
      </c>
      <c r="D114" t="str">
        <f>_xll.RssMarket("2215","現在日付")</f>
        <v>2026/03/05</v>
      </c>
      <c r="E114">
        <f>_xll.RssMarket("2215","現在値")</f>
        <v>617</v>
      </c>
      <c r="F114">
        <f>_xll.RssMarket("2215","時価総額")</f>
        <v>4275</v>
      </c>
      <c r="G114">
        <f>_xll.RssMarket("2215","単位株数")</f>
        <v>100</v>
      </c>
      <c r="H114">
        <f>_xll.RssMarket("2215","配当")</f>
        <v>0</v>
      </c>
      <c r="I114">
        <f>_xll.RssMarket("2215","PER")</f>
        <v>23.73</v>
      </c>
      <c r="J114">
        <f>_xll.RssMarket("2215","PBR")</f>
        <v>0.49</v>
      </c>
      <c r="K114">
        <f>_xll.RssMarket("2215","信用売残")</f>
        <v>3500</v>
      </c>
      <c r="L114">
        <f>_xll.RssMarket("2215","信用売残前週比")</f>
        <v>0</v>
      </c>
      <c r="M114">
        <f>_xll.RssMarket("2215","信用買残")</f>
        <v>98700</v>
      </c>
      <c r="N114">
        <f>_xll.RssMarket("2215","信用買残前週比")</f>
        <v>-7900</v>
      </c>
      <c r="O114">
        <f>_xll.RssMarket("2215","信用倍率")</f>
        <v>28.2</v>
      </c>
      <c r="P114" t="str">
        <f>_xll.RssMarket("2215","配当落日")</f>
        <v>2026/12/29</v>
      </c>
      <c r="Q114" t="str">
        <f>_xll.RssMarket("2215","中配落日")</f>
        <v>2026/06/29</v>
      </c>
      <c r="R114" t="str">
        <f>_xll.RssMarket("2215","権利落日")</f>
        <v/>
      </c>
      <c r="S114" t="str">
        <f>_xll.RssMarket("2215","決算発表日")</f>
        <v>2026/02/13</v>
      </c>
      <c r="T114">
        <f>_xll.RssMarket("2215","年初来高値")</f>
        <v>673</v>
      </c>
      <c r="U114">
        <f>_xll.RssMarket("2215","年初来安値")</f>
        <v>478</v>
      </c>
      <c r="V114">
        <f>_xll.RssMarket("2215","上場来高値")</f>
        <v>1450</v>
      </c>
      <c r="W114">
        <f>_xll.RssMarket("2215","上場来安値")</f>
        <v>66</v>
      </c>
    </row>
    <row r="115" spans="1:23" x14ac:dyDescent="0.2">
      <c r="A115">
        <v>2216</v>
      </c>
      <c r="B115">
        <f>_xll.RssMarket("2216","銘柄コード")</f>
        <v>2216</v>
      </c>
      <c r="C115" t="str">
        <f>_xll.RssMarket("2216","銘柄名称")</f>
        <v>カンロ</v>
      </c>
      <c r="D115" t="str">
        <f>_xll.RssMarket("2216","現在日付")</f>
        <v>2026/03/05</v>
      </c>
      <c r="E115">
        <f>_xll.RssMarket("2216","現在値")</f>
        <v>1315</v>
      </c>
      <c r="F115">
        <f>_xll.RssMarket("2216","時価総額")</f>
        <v>60420</v>
      </c>
      <c r="G115">
        <f>_xll.RssMarket("2216","単位株数")</f>
        <v>100</v>
      </c>
      <c r="H115">
        <f>_xll.RssMarket("2216","配当")</f>
        <v>33</v>
      </c>
      <c r="I115">
        <f>_xll.RssMarket("2216","PER")</f>
        <v>16.05</v>
      </c>
      <c r="J115">
        <f>_xll.RssMarket("2216","PBR")</f>
        <v>2.91</v>
      </c>
      <c r="K115">
        <f>_xll.RssMarket("2216","信用売残")</f>
        <v>33200</v>
      </c>
      <c r="L115">
        <f>_xll.RssMarket("2216","信用売残前週比")</f>
        <v>11100</v>
      </c>
      <c r="M115">
        <f>_xll.RssMarket("2216","信用買残")</f>
        <v>218000</v>
      </c>
      <c r="N115">
        <f>_xll.RssMarket("2216","信用買残前週比")</f>
        <v>-20500</v>
      </c>
      <c r="O115">
        <f>_xll.RssMarket("2216","信用倍率")</f>
        <v>6.57</v>
      </c>
      <c r="P115" t="str">
        <f>_xll.RssMarket("2216","配当落日")</f>
        <v>2026/12/29</v>
      </c>
      <c r="Q115" t="str">
        <f>_xll.RssMarket("2216","中配落日")</f>
        <v>2026/06/29</v>
      </c>
      <c r="R115" t="str">
        <f>_xll.RssMarket("2216","権利落日")</f>
        <v>2025/06/27</v>
      </c>
      <c r="S115" t="str">
        <f>_xll.RssMarket("2216","決算発表日")</f>
        <v>2026/02/13</v>
      </c>
      <c r="T115">
        <f>_xll.RssMarket("2216","年初来高値")</f>
        <v>2470</v>
      </c>
      <c r="U115">
        <f>_xll.RssMarket("2216","年初来安値")</f>
        <v>1265</v>
      </c>
      <c r="V115">
        <f>_xll.RssMarket("2216","上場来高値")</f>
        <v>6030</v>
      </c>
      <c r="W115">
        <f>_xll.RssMarket("2216","上場来安値")</f>
        <v>45</v>
      </c>
    </row>
    <row r="116" spans="1:23" x14ac:dyDescent="0.2">
      <c r="A116">
        <v>2217</v>
      </c>
      <c r="B116">
        <f>_xll.RssMarket("2217","銘柄コード")</f>
        <v>2217</v>
      </c>
      <c r="C116" t="str">
        <f>_xll.RssMarket("2217","銘柄名称")</f>
        <v>モロゾフ</v>
      </c>
      <c r="D116" t="str">
        <f>_xll.RssMarket("2217","現在日付")</f>
        <v>2026/03/05</v>
      </c>
      <c r="E116">
        <f>_xll.RssMarket("2217","現在値")</f>
        <v>1501</v>
      </c>
      <c r="F116">
        <f>_xll.RssMarket("2217","時価総額")</f>
        <v>30868</v>
      </c>
      <c r="G116">
        <f>_xll.RssMarket("2217","単位株数")</f>
        <v>100</v>
      </c>
      <c r="H116">
        <f>_xll.RssMarket("2217","配当")</f>
        <v>14</v>
      </c>
      <c r="I116">
        <f>_xll.RssMarket("2217","PER")</f>
        <v>43</v>
      </c>
      <c r="J116">
        <f>_xll.RssMarket("2217","PBR")</f>
        <v>1.55</v>
      </c>
      <c r="K116">
        <f>_xll.RssMarket("2217","信用売残")</f>
        <v>99800</v>
      </c>
      <c r="L116">
        <f>_xll.RssMarket("2217","信用売残前週比")</f>
        <v>1500</v>
      </c>
      <c r="M116">
        <f>_xll.RssMarket("2217","信用買残")</f>
        <v>27000</v>
      </c>
      <c r="N116">
        <f>_xll.RssMarket("2217","信用買残前週比")</f>
        <v>-5200</v>
      </c>
      <c r="O116">
        <f>_xll.RssMarket("2217","信用倍率")</f>
        <v>0.27</v>
      </c>
      <c r="P116" t="str">
        <f>_xll.RssMarket("2217","配当落日")</f>
        <v>2027/01/28</v>
      </c>
      <c r="Q116" t="str">
        <f>_xll.RssMarket("2217","中配落日")</f>
        <v>2026/07/30</v>
      </c>
      <c r="R116" t="str">
        <f>_xll.RssMarket("2217","権利落日")</f>
        <v>2025/01/30</v>
      </c>
      <c r="S116" t="str">
        <f>_xll.RssMarket("2217","決算発表日")</f>
        <v>2026/03/13</v>
      </c>
      <c r="T116">
        <f>_xll.RssMarket("2217","年初来高値")</f>
        <v>1875</v>
      </c>
      <c r="U116">
        <f>_xll.RssMarket("2217","年初来安値")</f>
        <v>1472</v>
      </c>
      <c r="V116">
        <f>_xll.RssMarket("2217","上場来高値")</f>
        <v>8300</v>
      </c>
      <c r="W116">
        <f>_xll.RssMarket("2217","上場来安値")</f>
        <v>158</v>
      </c>
    </row>
    <row r="117" spans="1:23" x14ac:dyDescent="0.2">
      <c r="A117">
        <v>2220</v>
      </c>
      <c r="B117">
        <f>_xll.RssMarket("2220","銘柄コード")</f>
        <v>2220</v>
      </c>
      <c r="C117" t="str">
        <f>_xll.RssMarket("2220","銘柄名称")</f>
        <v>亀田製菓</v>
      </c>
      <c r="D117" t="str">
        <f>_xll.RssMarket("2220","現在日付")</f>
        <v>2026/03/05</v>
      </c>
      <c r="E117">
        <f>_xll.RssMarket("2220","現在値")</f>
        <v>4340</v>
      </c>
      <c r="F117">
        <f>_xll.RssMarket("2220","時価総額")</f>
        <v>96862</v>
      </c>
      <c r="G117">
        <f>_xll.RssMarket("2220","単位株数")</f>
        <v>100</v>
      </c>
      <c r="H117">
        <f>_xll.RssMarket("2220","配当")</f>
        <v>66</v>
      </c>
      <c r="I117">
        <f>_xll.RssMarket("2220","PER")</f>
        <v>3.75</v>
      </c>
      <c r="J117">
        <f>_xll.RssMarket("2220","PBR")</f>
        <v>0.96</v>
      </c>
      <c r="K117">
        <f>_xll.RssMarket("2220","信用売残")</f>
        <v>12400</v>
      </c>
      <c r="L117">
        <f>_xll.RssMarket("2220","信用売残前週比")</f>
        <v>3700</v>
      </c>
      <c r="M117">
        <f>_xll.RssMarket("2220","信用買残")</f>
        <v>115600</v>
      </c>
      <c r="N117">
        <f>_xll.RssMarket("2220","信用買残前週比")</f>
        <v>-9000</v>
      </c>
      <c r="O117">
        <f>_xll.RssMarket("2220","信用倍率")</f>
        <v>9.32</v>
      </c>
      <c r="P117" t="str">
        <f>_xll.RssMarket("2220","配当落日")</f>
        <v>2026/03/30</v>
      </c>
      <c r="Q117" t="str">
        <f>_xll.RssMarket("2220","中配落日")</f>
        <v>2026/09/29</v>
      </c>
      <c r="R117" t="str">
        <f>_xll.RssMarket("2220","権利落日")</f>
        <v>2026/03/30</v>
      </c>
      <c r="S117" t="str">
        <f>_xll.RssMarket("2220","決算発表日")</f>
        <v>-</v>
      </c>
      <c r="T117">
        <f>_xll.RssMarket("2220","年初来高値")</f>
        <v>4605</v>
      </c>
      <c r="U117">
        <f>_xll.RssMarket("2220","年初来安値")</f>
        <v>3600</v>
      </c>
      <c r="V117">
        <f>_xll.RssMarket("2220","上場来高値")</f>
        <v>6350</v>
      </c>
      <c r="W117">
        <f>_xll.RssMarket("2220","上場来安値")</f>
        <v>470</v>
      </c>
    </row>
    <row r="118" spans="1:23" x14ac:dyDescent="0.2">
      <c r="A118">
        <v>2221</v>
      </c>
      <c r="B118">
        <f>_xll.RssMarket("2221","銘柄コード")</f>
        <v>2221</v>
      </c>
      <c r="C118" t="str">
        <f>_xll.RssMarket("2221","銘柄名称")</f>
        <v>岩塚製菓</v>
      </c>
      <c r="D118" t="str">
        <f>_xll.RssMarket("2221","現在日付")</f>
        <v>2026/03/05</v>
      </c>
      <c r="E118">
        <f>_xll.RssMarket("2221","現在値")</f>
        <v>3280</v>
      </c>
      <c r="F118">
        <f>_xll.RssMarket("2221","時価総額")</f>
        <v>39327</v>
      </c>
      <c r="G118">
        <f>_xll.RssMarket("2221","単位株数")</f>
        <v>100</v>
      </c>
      <c r="H118">
        <f>_xll.RssMarket("2221","配当")</f>
        <v>30</v>
      </c>
      <c r="I118">
        <f>_xll.RssMarket("2221","PER")</f>
        <v>20.14</v>
      </c>
      <c r="J118">
        <f>_xll.RssMarket("2221","PBR")</f>
        <v>0.46</v>
      </c>
      <c r="K118" t="str">
        <f>_xll.RssMarket("2221","信用売残")</f>
        <v>-</v>
      </c>
      <c r="L118" t="str">
        <f>_xll.RssMarket("2221","信用売残前週比")</f>
        <v>-</v>
      </c>
      <c r="M118">
        <f>_xll.RssMarket("2221","信用買残")</f>
        <v>32700</v>
      </c>
      <c r="N118">
        <f>_xll.RssMarket("2221","信用買残前週比")</f>
        <v>-1900</v>
      </c>
      <c r="O118">
        <f>_xll.RssMarket("2221","信用倍率")</f>
        <v>0</v>
      </c>
      <c r="P118" t="str">
        <f>_xll.RssMarket("2221","配当落日")</f>
        <v>2026/03/30</v>
      </c>
      <c r="Q118" t="str">
        <f>_xll.RssMarket("2221","中配落日")</f>
        <v>2026/09/29</v>
      </c>
      <c r="R118" t="str">
        <f>_xll.RssMarket("2221","権利落日")</f>
        <v>2024/03/28</v>
      </c>
      <c r="S118" t="str">
        <f>_xll.RssMarket("2221","決算発表日")</f>
        <v>2026/02/12</v>
      </c>
      <c r="T118">
        <f>_xll.RssMarket("2221","年初来高値")</f>
        <v>3550</v>
      </c>
      <c r="U118">
        <f>_xll.RssMarket("2221","年初来安値")</f>
        <v>2559</v>
      </c>
      <c r="V118">
        <f>_xll.RssMarket("2221","上場来高値")</f>
        <v>8580</v>
      </c>
      <c r="W118">
        <f>_xll.RssMarket("2221","上場来安値")</f>
        <v>654</v>
      </c>
    </row>
    <row r="119" spans="1:23" x14ac:dyDescent="0.2">
      <c r="A119">
        <v>2222</v>
      </c>
      <c r="B119">
        <f>_xll.RssMarket("2222","銘柄コード")</f>
        <v>2222</v>
      </c>
      <c r="C119" t="str">
        <f>_xll.RssMarket("2222","銘柄名称")</f>
        <v>寿スピリッツ</v>
      </c>
      <c r="D119" t="str">
        <f>_xll.RssMarket("2222","現在日付")</f>
        <v>2026/03/05</v>
      </c>
      <c r="E119">
        <f>_xll.RssMarket("2222","現在値")</f>
        <v>1879</v>
      </c>
      <c r="F119">
        <f>_xll.RssMarket("2222","時価総額")</f>
        <v>292482</v>
      </c>
      <c r="G119">
        <f>_xll.RssMarket("2222","単位株数")</f>
        <v>100</v>
      </c>
      <c r="H119">
        <f>_xll.RssMarket("2222","配当")</f>
        <v>35</v>
      </c>
      <c r="I119">
        <f>_xll.RssMarket("2222","PER")</f>
        <v>21.97</v>
      </c>
      <c r="J119">
        <f>_xll.RssMarket("2222","PBR")</f>
        <v>7.2</v>
      </c>
      <c r="K119">
        <f>_xll.RssMarket("2222","信用売残")</f>
        <v>175700</v>
      </c>
      <c r="L119">
        <f>_xll.RssMarket("2222","信用売残前週比")</f>
        <v>47100</v>
      </c>
      <c r="M119">
        <f>_xll.RssMarket("2222","信用買残")</f>
        <v>209300</v>
      </c>
      <c r="N119">
        <f>_xll.RssMarket("2222","信用買残前週比")</f>
        <v>3400</v>
      </c>
      <c r="O119">
        <f>_xll.RssMarket("2222","信用倍率")</f>
        <v>1.19</v>
      </c>
      <c r="P119" t="str">
        <f>_xll.RssMarket("2222","配当落日")</f>
        <v>2026/03/30</v>
      </c>
      <c r="Q119" t="str">
        <f>_xll.RssMarket("2222","中配落日")</f>
        <v>2026/09/29</v>
      </c>
      <c r="R119" t="str">
        <f>_xll.RssMarket("2222","権利落日")</f>
        <v>2023/09/28</v>
      </c>
      <c r="S119" t="str">
        <f>_xll.RssMarket("2222","決算発表日")</f>
        <v>-</v>
      </c>
      <c r="T119">
        <f>_xll.RssMarket("2222","年初来高値")</f>
        <v>2591</v>
      </c>
      <c r="U119">
        <f>_xll.RssMarket("2222","年初来安値")</f>
        <v>1718.5</v>
      </c>
      <c r="V119">
        <f>_xll.RssMarket("2222","上場来高値")</f>
        <v>12350</v>
      </c>
      <c r="W119">
        <f>_xll.RssMarket("2222","上場来安値")</f>
        <v>1056</v>
      </c>
    </row>
    <row r="120" spans="1:23" x14ac:dyDescent="0.2">
      <c r="A120">
        <v>2224</v>
      </c>
      <c r="B120">
        <f>_xll.RssMarket("2224","銘柄コード")</f>
        <v>2224</v>
      </c>
      <c r="C120" t="str">
        <f>_xll.RssMarket("2224","銘柄名称")</f>
        <v>コモ</v>
      </c>
      <c r="D120" t="str">
        <f>_xll.RssMarket("2224","現在日付")</f>
        <v>2026/03/05</v>
      </c>
      <c r="E120">
        <f>_xll.RssMarket("2224","現在値")</f>
        <v>3910</v>
      </c>
      <c r="F120">
        <f>_xll.RssMarket("2224","時価総額")</f>
        <v>14193</v>
      </c>
      <c r="G120">
        <f>_xll.RssMarket("2224","単位株数")</f>
        <v>100</v>
      </c>
      <c r="H120">
        <f>_xll.RssMarket("2224","配当")</f>
        <v>7</v>
      </c>
      <c r="I120">
        <f>_xll.RssMarket("2224","PER")</f>
        <v>247.46</v>
      </c>
      <c r="J120">
        <f>_xll.RssMarket("2224","PBR")</f>
        <v>6.77</v>
      </c>
      <c r="K120" t="str">
        <f>_xll.RssMarket("2224","信用売残")</f>
        <v>-</v>
      </c>
      <c r="L120" t="str">
        <f>_xll.RssMarket("2224","信用売残前週比")</f>
        <v>-</v>
      </c>
      <c r="M120">
        <f>_xll.RssMarket("2224","信用買残")</f>
        <v>16200</v>
      </c>
      <c r="N120">
        <f>_xll.RssMarket("2224","信用買残前週比")</f>
        <v>-300</v>
      </c>
      <c r="O120">
        <f>_xll.RssMarket("2224","信用倍率")</f>
        <v>0</v>
      </c>
      <c r="P120" t="str">
        <f>_xll.RssMarket("2224","配当落日")</f>
        <v>2026/03/30</v>
      </c>
      <c r="Q120" t="str">
        <f>_xll.RssMarket("2224","中配落日")</f>
        <v>2026/09/29</v>
      </c>
      <c r="R120" t="str">
        <f>_xll.RssMarket("2224","権利落日")</f>
        <v/>
      </c>
      <c r="S120" t="str">
        <f>_xll.RssMarket("2224","決算発表日")</f>
        <v>-</v>
      </c>
      <c r="T120">
        <f>_xll.RssMarket("2224","年初来高値")</f>
        <v>4035</v>
      </c>
      <c r="U120">
        <f>_xll.RssMarket("2224","年初来安値")</f>
        <v>3000</v>
      </c>
      <c r="V120">
        <f>_xll.RssMarket("2224","上場来高値")</f>
        <v>4035</v>
      </c>
      <c r="W120">
        <f>_xll.RssMarket("2224","上場来安値")</f>
        <v>424</v>
      </c>
    </row>
    <row r="121" spans="1:23" x14ac:dyDescent="0.2">
      <c r="A121">
        <v>2226</v>
      </c>
      <c r="B121">
        <f>_xll.RssMarket("2226","銘柄コード")</f>
        <v>2226</v>
      </c>
      <c r="C121" t="str">
        <f>_xll.RssMarket("2226","銘柄名称")</f>
        <v>湖池屋</v>
      </c>
      <c r="D121" t="str">
        <f>_xll.RssMarket("2226","現在日付")</f>
        <v>2026/03/05</v>
      </c>
      <c r="E121">
        <f>_xll.RssMarket("2226","現在値")</f>
        <v>4665</v>
      </c>
      <c r="F121">
        <f>_xll.RssMarket("2226","時価総額")</f>
        <v>49775</v>
      </c>
      <c r="G121">
        <f>_xll.RssMarket("2226","単位株数")</f>
        <v>100</v>
      </c>
      <c r="H121">
        <f>_xll.RssMarket("2226","配当")</f>
        <v>55</v>
      </c>
      <c r="I121">
        <f>_xll.RssMarket("2226","PER")</f>
        <v>20.73</v>
      </c>
      <c r="J121">
        <f>_xll.RssMarket("2226","PBR")</f>
        <v>2.59</v>
      </c>
      <c r="K121">
        <f>_xll.RssMarket("2226","信用売残")</f>
        <v>2500</v>
      </c>
      <c r="L121">
        <f>_xll.RssMarket("2226","信用売残前週比")</f>
        <v>200</v>
      </c>
      <c r="M121">
        <f>_xll.RssMarket("2226","信用買残")</f>
        <v>4300</v>
      </c>
      <c r="N121">
        <f>_xll.RssMarket("2226","信用買残前週比")</f>
        <v>-400</v>
      </c>
      <c r="O121">
        <f>_xll.RssMarket("2226","信用倍率")</f>
        <v>1.72</v>
      </c>
      <c r="P121" t="str">
        <f>_xll.RssMarket("2226","配当落日")</f>
        <v>2026/03/30</v>
      </c>
      <c r="Q121" t="str">
        <f>_xll.RssMarket("2226","中配落日")</f>
        <v>2026/09/29</v>
      </c>
      <c r="R121" t="str">
        <f>_xll.RssMarket("2226","権利落日")</f>
        <v>2024/03/28</v>
      </c>
      <c r="S121" t="str">
        <f>_xll.RssMarket("2226","決算発表日")</f>
        <v>-</v>
      </c>
      <c r="T121">
        <f>_xll.RssMarket("2226","年初来高値")</f>
        <v>5060</v>
      </c>
      <c r="U121">
        <f>_xll.RssMarket("2226","年初来安値")</f>
        <v>4200</v>
      </c>
      <c r="V121">
        <f>_xll.RssMarket("2226","上場来高値")</f>
        <v>9450</v>
      </c>
      <c r="W121">
        <f>_xll.RssMarket("2226","上場来安値")</f>
        <v>1306</v>
      </c>
    </row>
    <row r="122" spans="1:23" x14ac:dyDescent="0.2">
      <c r="A122">
        <v>2229</v>
      </c>
      <c r="B122">
        <f>_xll.RssMarket("2229","銘柄コード")</f>
        <v>2229</v>
      </c>
      <c r="C122" t="str">
        <f>_xll.RssMarket("2229","銘柄名称")</f>
        <v>カルビー</v>
      </c>
      <c r="D122" t="str">
        <f>_xll.RssMarket("2229","現在日付")</f>
        <v>2026/03/05</v>
      </c>
      <c r="E122">
        <f>_xll.RssMarket("2229","現在値")</f>
        <v>3140</v>
      </c>
      <c r="F122">
        <f>_xll.RssMarket("2229","時価総額")</f>
        <v>420539</v>
      </c>
      <c r="G122">
        <f>_xll.RssMarket("2229","単位株数")</f>
        <v>100</v>
      </c>
      <c r="H122">
        <f>_xll.RssMarket("2229","配当")</f>
        <v>66</v>
      </c>
      <c r="I122">
        <f>_xll.RssMarket("2229","PER")</f>
        <v>21.82</v>
      </c>
      <c r="J122">
        <f>_xll.RssMarket("2229","PBR")</f>
        <v>1.9</v>
      </c>
      <c r="K122">
        <f>_xll.RssMarket("2229","信用売残")</f>
        <v>62900</v>
      </c>
      <c r="L122">
        <f>_xll.RssMarket("2229","信用売残前週比")</f>
        <v>14700</v>
      </c>
      <c r="M122">
        <f>_xll.RssMarket("2229","信用買残")</f>
        <v>64400</v>
      </c>
      <c r="N122">
        <f>_xll.RssMarket("2229","信用買残前週比")</f>
        <v>3900</v>
      </c>
      <c r="O122">
        <f>_xll.RssMarket("2229","信用倍率")</f>
        <v>1.02</v>
      </c>
      <c r="P122" t="str">
        <f>_xll.RssMarket("2229","配当落日")</f>
        <v>2026/03/30</v>
      </c>
      <c r="Q122" t="str">
        <f>_xll.RssMarket("2229","中配落日")</f>
        <v>2026/09/29</v>
      </c>
      <c r="R122" t="str">
        <f>_xll.RssMarket("2229","権利落日")</f>
        <v/>
      </c>
      <c r="S122" t="str">
        <f>_xll.RssMarket("2229","決算発表日")</f>
        <v>-</v>
      </c>
      <c r="T122">
        <f>_xll.RssMarket("2229","年初来高値")</f>
        <v>3154</v>
      </c>
      <c r="U122">
        <f>_xll.RssMarket("2229","年初来安値")</f>
        <v>2600</v>
      </c>
      <c r="V122">
        <f>_xll.RssMarket("2229","上場来高値")</f>
        <v>11780</v>
      </c>
      <c r="W122">
        <f>_xll.RssMarket("2229","上場来安値")</f>
        <v>2000</v>
      </c>
    </row>
    <row r="123" spans="1:23" x14ac:dyDescent="0.2">
      <c r="A123">
        <v>2264</v>
      </c>
      <c r="B123">
        <f>_xll.RssMarket("2264","銘柄コード")</f>
        <v>2264</v>
      </c>
      <c r="C123" t="str">
        <f>_xll.RssMarket("2264","銘柄名称")</f>
        <v>森永乳業</v>
      </c>
      <c r="D123" t="str">
        <f>_xll.RssMarket("2264","現在日付")</f>
        <v>2026/03/05</v>
      </c>
      <c r="E123">
        <f>_xll.RssMarket("2264","現在値")</f>
        <v>4828</v>
      </c>
      <c r="F123">
        <f>_xll.RssMarket("2264","時価総額")</f>
        <v>429909</v>
      </c>
      <c r="G123">
        <f>_xll.RssMarket("2264","単位株数")</f>
        <v>100</v>
      </c>
      <c r="H123">
        <f>_xll.RssMarket("2264","配当")</f>
        <v>93</v>
      </c>
      <c r="I123">
        <f>_xll.RssMarket("2264","PER")</f>
        <v>20.53</v>
      </c>
      <c r="J123">
        <f>_xll.RssMarket("2264","PBR")</f>
        <v>1.46</v>
      </c>
      <c r="K123">
        <f>_xll.RssMarket("2264","信用売残")</f>
        <v>16100</v>
      </c>
      <c r="L123">
        <f>_xll.RssMarket("2264","信用売残前週比")</f>
        <v>-7900</v>
      </c>
      <c r="M123">
        <f>_xll.RssMarket("2264","信用買残")</f>
        <v>73100</v>
      </c>
      <c r="N123">
        <f>_xll.RssMarket("2264","信用買残前週比")</f>
        <v>8700</v>
      </c>
      <c r="O123">
        <f>_xll.RssMarket("2264","信用倍率")</f>
        <v>4.54</v>
      </c>
      <c r="P123" t="str">
        <f>_xll.RssMarket("2264","配当落日")</f>
        <v>2026/03/30</v>
      </c>
      <c r="Q123" t="str">
        <f>_xll.RssMarket("2264","中配落日")</f>
        <v>2026/09/29</v>
      </c>
      <c r="R123" t="str">
        <f>_xll.RssMarket("2264","権利落日")</f>
        <v>2023/11/29</v>
      </c>
      <c r="S123" t="str">
        <f>_xll.RssMarket("2264","決算発表日")</f>
        <v>2026/02/12</v>
      </c>
      <c r="T123">
        <f>_xll.RssMarket("2264","年初来高値")</f>
        <v>5056</v>
      </c>
      <c r="U123">
        <f>_xll.RssMarket("2264","年初来安値")</f>
        <v>2705</v>
      </c>
      <c r="V123">
        <f>_xll.RssMarket("2264","上場来高値")</f>
        <v>7380</v>
      </c>
      <c r="W123">
        <f>_xll.RssMarket("2264","上場来安値")</f>
        <v>60</v>
      </c>
    </row>
    <row r="124" spans="1:23" x14ac:dyDescent="0.2">
      <c r="A124">
        <v>2266</v>
      </c>
      <c r="B124">
        <f>_xll.RssMarket("2266","銘柄コード")</f>
        <v>2266</v>
      </c>
      <c r="C124" t="str">
        <f>_xll.RssMarket("2266","銘柄名称")</f>
        <v>六甲バター</v>
      </c>
      <c r="D124" t="str">
        <f>_xll.RssMarket("2266","現在日付")</f>
        <v>2026/03/05</v>
      </c>
      <c r="E124">
        <f>_xll.RssMarket("2266","現在値")</f>
        <v>1172</v>
      </c>
      <c r="F124">
        <f>_xll.RssMarket("2266","時価総額")</f>
        <v>25141</v>
      </c>
      <c r="G124">
        <f>_xll.RssMarket("2266","単位株数")</f>
        <v>100</v>
      </c>
      <c r="H124">
        <f>_xll.RssMarket("2266","配当")</f>
        <v>20</v>
      </c>
      <c r="I124">
        <f>_xll.RssMarket("2266","PER")</f>
        <v>15.22</v>
      </c>
      <c r="J124">
        <f>_xll.RssMarket("2266","PBR")</f>
        <v>0.68</v>
      </c>
      <c r="K124">
        <f>_xll.RssMarket("2266","信用売残")</f>
        <v>25900</v>
      </c>
      <c r="L124">
        <f>_xll.RssMarket("2266","信用売残前週比")</f>
        <v>-2200</v>
      </c>
      <c r="M124">
        <f>_xll.RssMarket("2266","信用買残")</f>
        <v>36000</v>
      </c>
      <c r="N124">
        <f>_xll.RssMarket("2266","信用買残前週比")</f>
        <v>900</v>
      </c>
      <c r="O124">
        <f>_xll.RssMarket("2266","信用倍率")</f>
        <v>1.39</v>
      </c>
      <c r="P124" t="str">
        <f>_xll.RssMarket("2266","配当落日")</f>
        <v>2026/12/29</v>
      </c>
      <c r="Q124" t="str">
        <f>_xll.RssMarket("2266","中配落日")</f>
        <v>2026/06/29</v>
      </c>
      <c r="R124" t="str">
        <f>_xll.RssMarket("2266","権利落日")</f>
        <v/>
      </c>
      <c r="S124" t="str">
        <f>_xll.RssMarket("2266","決算発表日")</f>
        <v>2026/02/13</v>
      </c>
      <c r="T124">
        <f>_xll.RssMarket("2266","年初来高値")</f>
        <v>1340</v>
      </c>
      <c r="U124">
        <f>_xll.RssMarket("2266","年初来安値")</f>
        <v>1125</v>
      </c>
      <c r="V124">
        <f>_xll.RssMarket("2266","上場来高値")</f>
        <v>3100</v>
      </c>
      <c r="W124">
        <f>_xll.RssMarket("2266","上場来安値")</f>
        <v>50</v>
      </c>
    </row>
    <row r="125" spans="1:23" x14ac:dyDescent="0.2">
      <c r="A125">
        <v>2267</v>
      </c>
      <c r="B125">
        <f>_xll.RssMarket("2267","銘柄コード")</f>
        <v>2267</v>
      </c>
      <c r="C125" t="str">
        <f>_xll.RssMarket("2267","銘柄名称")</f>
        <v>ヤクルト</v>
      </c>
      <c r="D125" t="str">
        <f>_xll.RssMarket("2267","現在日付")</f>
        <v>2026/03/05</v>
      </c>
      <c r="E125">
        <f>_xll.RssMarket("2267","現在値")</f>
        <v>2626</v>
      </c>
      <c r="F125">
        <f>_xll.RssMarket("2267","時価総額")</f>
        <v>809557</v>
      </c>
      <c r="G125">
        <f>_xll.RssMarket("2267","単位株数")</f>
        <v>100</v>
      </c>
      <c r="H125">
        <f>_xll.RssMarket("2267","配当")</f>
        <v>70</v>
      </c>
      <c r="I125">
        <f>_xll.RssMarket("2267","PER")</f>
        <v>16.55</v>
      </c>
      <c r="J125">
        <f>_xll.RssMarket("2267","PBR")</f>
        <v>1.37</v>
      </c>
      <c r="K125">
        <f>_xll.RssMarket("2267","信用売残")</f>
        <v>113900</v>
      </c>
      <c r="L125">
        <f>_xll.RssMarket("2267","信用売残前週比")</f>
        <v>-12700</v>
      </c>
      <c r="M125">
        <f>_xll.RssMarket("2267","信用買残")</f>
        <v>1017600</v>
      </c>
      <c r="N125">
        <f>_xll.RssMarket("2267","信用買残前週比")</f>
        <v>62300</v>
      </c>
      <c r="O125">
        <f>_xll.RssMarket("2267","信用倍率")</f>
        <v>8.93</v>
      </c>
      <c r="P125" t="str">
        <f>_xll.RssMarket("2267","配当落日")</f>
        <v>2026/03/30</v>
      </c>
      <c r="Q125" t="str">
        <f>_xll.RssMarket("2267","中配落日")</f>
        <v>2026/09/29</v>
      </c>
      <c r="R125" t="str">
        <f>_xll.RssMarket("2267","権利落日")</f>
        <v>2023/09/28</v>
      </c>
      <c r="S125" t="str">
        <f>_xll.RssMarket("2267","決算発表日")</f>
        <v>2026/02/10</v>
      </c>
      <c r="T125">
        <f>_xll.RssMarket("2267","年初来高値")</f>
        <v>3141</v>
      </c>
      <c r="U125">
        <f>_xll.RssMarket("2267","年初来安値")</f>
        <v>2291</v>
      </c>
      <c r="V125">
        <f>_xll.RssMarket("2267","上場来高値")</f>
        <v>10430</v>
      </c>
      <c r="W125">
        <f>_xll.RssMarket("2267","上場来安値")</f>
        <v>500</v>
      </c>
    </row>
    <row r="126" spans="1:23" x14ac:dyDescent="0.2">
      <c r="A126">
        <v>2268</v>
      </c>
      <c r="B126">
        <f>_xll.RssMarket("2268","銘柄コード")</f>
        <v>2268</v>
      </c>
      <c r="C126" t="str">
        <f>_xll.RssMarket("2268","銘柄名称")</f>
        <v>Ｂ－Ｒサーティワンアイス</v>
      </c>
      <c r="D126" t="str">
        <f>_xll.RssMarket("2268","現在日付")</f>
        <v>2026/03/05</v>
      </c>
      <c r="E126">
        <f>_xll.RssMarket("2268","現在値")</f>
        <v>4015</v>
      </c>
      <c r="F126">
        <f>_xll.RssMarket("2268","時価総額")</f>
        <v>38722</v>
      </c>
      <c r="G126">
        <f>_xll.RssMarket("2268","単位株数")</f>
        <v>100</v>
      </c>
      <c r="H126">
        <f>_xll.RssMarket("2268","配当")</f>
        <v>60</v>
      </c>
      <c r="I126">
        <f>_xll.RssMarket("2268","PER")</f>
        <v>20.36</v>
      </c>
      <c r="J126">
        <f>_xll.RssMarket("2268","PBR")</f>
        <v>2.58</v>
      </c>
      <c r="K126" t="str">
        <f>_xll.RssMarket("2268","信用売残")</f>
        <v>-</v>
      </c>
      <c r="L126" t="str">
        <f>_xll.RssMarket("2268","信用売残前週比")</f>
        <v>-</v>
      </c>
      <c r="M126">
        <f>_xll.RssMarket("2268","信用買残")</f>
        <v>22100</v>
      </c>
      <c r="N126">
        <f>_xll.RssMarket("2268","信用買残前週比")</f>
        <v>2100</v>
      </c>
      <c r="O126">
        <f>_xll.RssMarket("2268","信用倍率")</f>
        <v>0</v>
      </c>
      <c r="P126" t="str">
        <f>_xll.RssMarket("2268","配当落日")</f>
        <v>2026/12/29</v>
      </c>
      <c r="Q126" t="str">
        <f>_xll.RssMarket("2268","中配落日")</f>
        <v>2026/06/29</v>
      </c>
      <c r="R126" t="str">
        <f>_xll.RssMarket("2268","権利落日")</f>
        <v/>
      </c>
      <c r="S126" t="str">
        <f>_xll.RssMarket("2268","決算発表日")</f>
        <v>2026/02/09</v>
      </c>
      <c r="T126">
        <f>_xll.RssMarket("2268","年初来高値")</f>
        <v>4350</v>
      </c>
      <c r="U126">
        <f>_xll.RssMarket("2268","年初来安値")</f>
        <v>3795</v>
      </c>
      <c r="V126">
        <f>_xll.RssMarket("2268","上場来高値")</f>
        <v>5900</v>
      </c>
      <c r="W126">
        <f>_xll.RssMarket("2268","上場来安値")</f>
        <v>630</v>
      </c>
    </row>
    <row r="127" spans="1:23" x14ac:dyDescent="0.2">
      <c r="A127">
        <v>2269</v>
      </c>
      <c r="B127">
        <f>_xll.RssMarket("2269","銘柄コード")</f>
        <v>2269</v>
      </c>
      <c r="C127" t="str">
        <f>_xll.RssMarket("2269","銘柄名称")</f>
        <v>明治ホールディングス</v>
      </c>
      <c r="D127" t="str">
        <f>_xll.RssMarket("2269","現在日付")</f>
        <v>2026/03/05</v>
      </c>
      <c r="E127">
        <f>_xll.RssMarket("2269","現在値")</f>
        <v>3841</v>
      </c>
      <c r="F127">
        <f>_xll.RssMarket("2269","時価総額")</f>
        <v>1083930</v>
      </c>
      <c r="G127">
        <f>_xll.RssMarket("2269","単位株数")</f>
        <v>100</v>
      </c>
      <c r="H127">
        <f>_xll.RssMarket("2269","配当")</f>
        <v>105</v>
      </c>
      <c r="I127">
        <f>_xll.RssMarket("2269","PER")</f>
        <v>19.28</v>
      </c>
      <c r="J127">
        <f>_xll.RssMarket("2269","PBR")</f>
        <v>1.39</v>
      </c>
      <c r="K127">
        <f>_xll.RssMarket("2269","信用売残")</f>
        <v>109500</v>
      </c>
      <c r="L127">
        <f>_xll.RssMarket("2269","信用売残前週比")</f>
        <v>28000</v>
      </c>
      <c r="M127">
        <f>_xll.RssMarket("2269","信用買残")</f>
        <v>263200</v>
      </c>
      <c r="N127">
        <f>_xll.RssMarket("2269","信用買残前週比")</f>
        <v>25800</v>
      </c>
      <c r="O127">
        <f>_xll.RssMarket("2269","信用倍率")</f>
        <v>2.4</v>
      </c>
      <c r="P127" t="str">
        <f>_xll.RssMarket("2269","配当落日")</f>
        <v>2026/03/30</v>
      </c>
      <c r="Q127" t="str">
        <f>_xll.RssMarket("2269","中配落日")</f>
        <v>2026/09/29</v>
      </c>
      <c r="R127" t="str">
        <f>_xll.RssMarket("2269","権利落日")</f>
        <v>2023/03/30</v>
      </c>
      <c r="S127" t="str">
        <f>_xll.RssMarket("2269","決算発表日")</f>
        <v>2026/02/12</v>
      </c>
      <c r="T127">
        <f>_xll.RssMarket("2269","年初来高値")</f>
        <v>4065</v>
      </c>
      <c r="U127">
        <f>_xll.RssMarket("2269","年初来安値")</f>
        <v>2871</v>
      </c>
      <c r="V127">
        <f>_xll.RssMarket("2269","上場来高値")</f>
        <v>21320</v>
      </c>
      <c r="W127">
        <f>_xll.RssMarket("2269","上場来安値")</f>
        <v>2760</v>
      </c>
    </row>
    <row r="128" spans="1:23" x14ac:dyDescent="0.2">
      <c r="A128">
        <v>2270</v>
      </c>
      <c r="B128">
        <f>_xll.RssMarket("2270","銘柄コード")</f>
        <v>2270</v>
      </c>
      <c r="C128" t="str">
        <f>_xll.RssMarket("2270","銘柄名称")</f>
        <v>雪印メグミルク</v>
      </c>
      <c r="D128" t="str">
        <f>_xll.RssMarket("2270","現在日付")</f>
        <v>2026/03/05</v>
      </c>
      <c r="E128">
        <f>_xll.RssMarket("2270","現在値")</f>
        <v>3340</v>
      </c>
      <c r="F128">
        <f>_xll.RssMarket("2270","時価総額")</f>
        <v>236311</v>
      </c>
      <c r="G128">
        <f>_xll.RssMarket("2270","単位株数")</f>
        <v>100</v>
      </c>
      <c r="H128">
        <f>_xll.RssMarket("2270","配当")</f>
        <v>100</v>
      </c>
      <c r="I128">
        <f>_xll.RssMarket("2270","PER")</f>
        <v>6.82</v>
      </c>
      <c r="J128">
        <f>_xll.RssMarket("2270","PBR")</f>
        <v>0.89</v>
      </c>
      <c r="K128">
        <f>_xll.RssMarket("2270","信用売残")</f>
        <v>31000</v>
      </c>
      <c r="L128">
        <f>_xll.RssMarket("2270","信用売残前週比")</f>
        <v>26100</v>
      </c>
      <c r="M128">
        <f>_xll.RssMarket("2270","信用買残")</f>
        <v>115200</v>
      </c>
      <c r="N128">
        <f>_xll.RssMarket("2270","信用買残前週比")</f>
        <v>5000</v>
      </c>
      <c r="O128">
        <f>_xll.RssMarket("2270","信用倍率")</f>
        <v>3.72</v>
      </c>
      <c r="P128" t="str">
        <f>_xll.RssMarket("2270","配当落日")</f>
        <v>2026/03/30</v>
      </c>
      <c r="Q128" t="str">
        <f>_xll.RssMarket("2270","中配落日")</f>
        <v/>
      </c>
      <c r="R128" t="str">
        <f>_xll.RssMarket("2270","権利落日")</f>
        <v/>
      </c>
      <c r="S128" t="str">
        <f>_xll.RssMarket("2270","決算発表日")</f>
        <v>2026/02/13</v>
      </c>
      <c r="T128">
        <f>_xll.RssMarket("2270","年初来高値")</f>
        <v>3600</v>
      </c>
      <c r="U128">
        <f>_xll.RssMarket("2270","年初来安値")</f>
        <v>2395</v>
      </c>
      <c r="V128">
        <f>_xll.RssMarket("2270","上場来高値")</f>
        <v>3835</v>
      </c>
      <c r="W128">
        <f>_xll.RssMarket("2270","上場来安値")</f>
        <v>1045</v>
      </c>
    </row>
    <row r="129" spans="1:23" x14ac:dyDescent="0.2">
      <c r="A129">
        <v>2281</v>
      </c>
      <c r="B129">
        <f>_xll.RssMarket("2281","銘柄コード")</f>
        <v>2281</v>
      </c>
      <c r="C129" t="str">
        <f>_xll.RssMarket("2281","銘柄名称")</f>
        <v>プリマハム</v>
      </c>
      <c r="D129" t="str">
        <f>_xll.RssMarket("2281","現在日付")</f>
        <v>2026/03/05</v>
      </c>
      <c r="E129">
        <f>_xll.RssMarket("2281","現在値")</f>
        <v>2809</v>
      </c>
      <c r="F129">
        <f>_xll.RssMarket("2281","時価総額")</f>
        <v>141923</v>
      </c>
      <c r="G129">
        <f>_xll.RssMarket("2281","単位株数")</f>
        <v>100</v>
      </c>
      <c r="H129">
        <f>_xll.RssMarket("2281","配当")</f>
        <v>80</v>
      </c>
      <c r="I129">
        <f>_xll.RssMarket("2281","PER")</f>
        <v>22.76</v>
      </c>
      <c r="J129">
        <f>_xll.RssMarket("2281","PBR")</f>
        <v>1.1599999999999999</v>
      </c>
      <c r="K129">
        <f>_xll.RssMarket("2281","信用売残")</f>
        <v>65300</v>
      </c>
      <c r="L129">
        <f>_xll.RssMarket("2281","信用売残前週比")</f>
        <v>6300</v>
      </c>
      <c r="M129">
        <f>_xll.RssMarket("2281","信用買残")</f>
        <v>668700</v>
      </c>
      <c r="N129">
        <f>_xll.RssMarket("2281","信用買残前週比")</f>
        <v>-8300</v>
      </c>
      <c r="O129">
        <f>_xll.RssMarket("2281","信用倍率")</f>
        <v>10.24</v>
      </c>
      <c r="P129" t="str">
        <f>_xll.RssMarket("2281","配当落日")</f>
        <v>2026/03/30</v>
      </c>
      <c r="Q129" t="str">
        <f>_xll.RssMarket("2281","中配落日")</f>
        <v>2026/09/29</v>
      </c>
      <c r="R129" t="str">
        <f>_xll.RssMarket("2281","権利落日")</f>
        <v/>
      </c>
      <c r="S129" t="str">
        <f>_xll.RssMarket("2281","決算発表日")</f>
        <v>-</v>
      </c>
      <c r="T129">
        <f>_xll.RssMarket("2281","年初来高値")</f>
        <v>2929</v>
      </c>
      <c r="U129">
        <f>_xll.RssMarket("2281","年初来安値")</f>
        <v>2012</v>
      </c>
      <c r="V129">
        <f>_xll.RssMarket("2281","上場来高値")</f>
        <v>3705</v>
      </c>
      <c r="W129">
        <f>_xll.RssMarket("2281","上場来安値")</f>
        <v>28</v>
      </c>
    </row>
    <row r="130" spans="1:23" x14ac:dyDescent="0.2">
      <c r="A130">
        <v>2282</v>
      </c>
      <c r="B130">
        <f>_xll.RssMarket("2282","銘柄コード")</f>
        <v>2282</v>
      </c>
      <c r="C130" t="str">
        <f>_xll.RssMarket("2282","銘柄名称")</f>
        <v>日本ハム</v>
      </c>
      <c r="D130" t="str">
        <f>_xll.RssMarket("2282","現在日付")</f>
        <v>2026/03/05</v>
      </c>
      <c r="E130">
        <f>_xll.RssMarket("2282","現在値")</f>
        <v>6936</v>
      </c>
      <c r="F130">
        <f>_xll.RssMarket("2282","時価総額")</f>
        <v>687322</v>
      </c>
      <c r="G130">
        <f>_xll.RssMarket("2282","単位株数")</f>
        <v>100</v>
      </c>
      <c r="H130">
        <f>_xll.RssMarket("2282","配当")</f>
        <v>160</v>
      </c>
      <c r="I130">
        <f>_xll.RssMarket("2282","PER")</f>
        <v>19.3</v>
      </c>
      <c r="J130">
        <f>_xll.RssMarket("2282","PBR")</f>
        <v>1.27</v>
      </c>
      <c r="K130">
        <f>_xll.RssMarket("2282","信用売残")</f>
        <v>255300</v>
      </c>
      <c r="L130">
        <f>_xll.RssMarket("2282","信用売残前週比")</f>
        <v>1700</v>
      </c>
      <c r="M130">
        <f>_xll.RssMarket("2282","信用買残")</f>
        <v>55600</v>
      </c>
      <c r="N130">
        <f>_xll.RssMarket("2282","信用買残前週比")</f>
        <v>-11100</v>
      </c>
      <c r="O130">
        <f>_xll.RssMarket("2282","信用倍率")</f>
        <v>0.22</v>
      </c>
      <c r="P130" t="str">
        <f>_xll.RssMarket("2282","配当落日")</f>
        <v>2026/03/30</v>
      </c>
      <c r="Q130" t="str">
        <f>_xll.RssMarket("2282","中配落日")</f>
        <v/>
      </c>
      <c r="R130" t="str">
        <f>_xll.RssMarket("2282","権利落日")</f>
        <v/>
      </c>
      <c r="S130" t="str">
        <f>_xll.RssMarket("2282","決算発表日")</f>
        <v>-</v>
      </c>
      <c r="T130">
        <f>_xll.RssMarket("2282","年初来高値")</f>
        <v>7248</v>
      </c>
      <c r="U130">
        <f>_xll.RssMarket("2282","年初来安値")</f>
        <v>4388</v>
      </c>
      <c r="V130">
        <f>_xll.RssMarket("2282","上場来高値")</f>
        <v>7248</v>
      </c>
      <c r="W130">
        <f>_xll.RssMarket("2282","上場来安値")</f>
        <v>95</v>
      </c>
    </row>
    <row r="131" spans="1:23" x14ac:dyDescent="0.2">
      <c r="A131">
        <v>2286</v>
      </c>
      <c r="B131">
        <f>_xll.RssMarket("2286","銘柄コード")</f>
        <v>2286</v>
      </c>
      <c r="C131" t="str">
        <f>_xll.RssMarket("2286","銘柄名称")</f>
        <v>林兼産業</v>
      </c>
      <c r="D131" t="str">
        <f>_xll.RssMarket("2286","現在日付")</f>
        <v>2026/03/05</v>
      </c>
      <c r="E131">
        <f>_xll.RssMarket("2286","現在値")</f>
        <v>893</v>
      </c>
      <c r="F131">
        <f>_xll.RssMarket("2286","時価総額")</f>
        <v>7956</v>
      </c>
      <c r="G131">
        <f>_xll.RssMarket("2286","単位株数")</f>
        <v>100</v>
      </c>
      <c r="H131">
        <f>_xll.RssMarket("2286","配当")</f>
        <v>15</v>
      </c>
      <c r="I131">
        <f>_xll.RssMarket("2286","PER")</f>
        <v>6.02</v>
      </c>
      <c r="J131">
        <f>_xll.RssMarket("2286","PBR")</f>
        <v>0.59</v>
      </c>
      <c r="K131">
        <f>_xll.RssMarket("2286","信用売残")</f>
        <v>5500</v>
      </c>
      <c r="L131">
        <f>_xll.RssMarket("2286","信用売残前週比")</f>
        <v>-600</v>
      </c>
      <c r="M131">
        <f>_xll.RssMarket("2286","信用買残")</f>
        <v>666400</v>
      </c>
      <c r="N131">
        <f>_xll.RssMarket("2286","信用買残前週比")</f>
        <v>-30600</v>
      </c>
      <c r="O131">
        <f>_xll.RssMarket("2286","信用倍率")</f>
        <v>121.16</v>
      </c>
      <c r="P131" t="str">
        <f>_xll.RssMarket("2286","配当落日")</f>
        <v>2026/03/30</v>
      </c>
      <c r="Q131" t="str">
        <f>_xll.RssMarket("2286","中配落日")</f>
        <v/>
      </c>
      <c r="R131" t="str">
        <f>_xll.RssMarket("2286","権利落日")</f>
        <v/>
      </c>
      <c r="S131" t="str">
        <f>_xll.RssMarket("2286","決算発表日")</f>
        <v>2026/02/13</v>
      </c>
      <c r="T131">
        <f>_xll.RssMarket("2286","年初来高値")</f>
        <v>935</v>
      </c>
      <c r="U131">
        <f>_xll.RssMarket("2286","年初来安値")</f>
        <v>425</v>
      </c>
      <c r="V131">
        <f>_xll.RssMarket("2286","上場来高値")</f>
        <v>1130</v>
      </c>
      <c r="W131">
        <f>_xll.RssMarket("2286","上場来安値")</f>
        <v>33</v>
      </c>
    </row>
    <row r="132" spans="1:23" x14ac:dyDescent="0.2">
      <c r="A132">
        <v>2288</v>
      </c>
      <c r="B132">
        <f>_xll.RssMarket("2288","銘柄コード")</f>
        <v>2288</v>
      </c>
      <c r="C132" t="str">
        <f>_xll.RssMarket("2288","銘柄名称")</f>
        <v>丸大食品</v>
      </c>
      <c r="D132" t="str">
        <f>_xll.RssMarket("2288","現在日付")</f>
        <v>2026/03/05</v>
      </c>
      <c r="E132">
        <f>_xll.RssMarket("2288","現在値")</f>
        <v>2225</v>
      </c>
      <c r="F132">
        <f>_xll.RssMarket("2288","時価総額")</f>
        <v>58974</v>
      </c>
      <c r="G132">
        <f>_xll.RssMarket("2288","単位株数")</f>
        <v>100</v>
      </c>
      <c r="H132">
        <f>_xll.RssMarket("2288","配当")</f>
        <v>65</v>
      </c>
      <c r="I132">
        <f>_xll.RssMarket("2288","PER")</f>
        <v>6.05</v>
      </c>
      <c r="J132">
        <f>_xll.RssMarket("2288","PBR")</f>
        <v>0.77</v>
      </c>
      <c r="K132">
        <f>_xll.RssMarket("2288","信用売残")</f>
        <v>218000</v>
      </c>
      <c r="L132">
        <f>_xll.RssMarket("2288","信用売残前週比")</f>
        <v>201400</v>
      </c>
      <c r="M132">
        <f>_xll.RssMarket("2288","信用買残")</f>
        <v>96600</v>
      </c>
      <c r="N132">
        <f>_xll.RssMarket("2288","信用買残前週比")</f>
        <v>49600</v>
      </c>
      <c r="O132">
        <f>_xll.RssMarket("2288","信用倍率")</f>
        <v>0.44</v>
      </c>
      <c r="P132" t="str">
        <f>_xll.RssMarket("2288","配当落日")</f>
        <v>2026/03/30</v>
      </c>
      <c r="Q132" t="str">
        <f>_xll.RssMarket("2288","中配落日")</f>
        <v/>
      </c>
      <c r="R132" t="str">
        <f>_xll.RssMarket("2288","権利落日")</f>
        <v/>
      </c>
      <c r="S132" t="str">
        <f>_xll.RssMarket("2288","決算発表日")</f>
        <v>2026/02/05</v>
      </c>
      <c r="T132">
        <f>_xll.RssMarket("2288","年初来高値")</f>
        <v>2451</v>
      </c>
      <c r="U132">
        <f>_xll.RssMarket("2288","年初来安値")</f>
        <v>1554</v>
      </c>
      <c r="V132">
        <f>_xll.RssMarket("2288","上場来高値")</f>
        <v>2474</v>
      </c>
      <c r="W132">
        <f>_xll.RssMarket("2288","上場来安値")</f>
        <v>72</v>
      </c>
    </row>
    <row r="133" spans="1:23" x14ac:dyDescent="0.2">
      <c r="A133" t="s">
        <v>27</v>
      </c>
      <c r="B133" t="str">
        <f>_xll.RssMarket("228A","銘柄コード")</f>
        <v>228A</v>
      </c>
      <c r="C133" t="str">
        <f>_xll.RssMarket("228A","銘柄名称")</f>
        <v>オプロ</v>
      </c>
      <c r="D133" t="str">
        <f>_xll.RssMarket("228A","現在日付")</f>
        <v>2026/03/05</v>
      </c>
      <c r="E133">
        <f>_xll.RssMarket("228A","現在値")</f>
        <v>1426</v>
      </c>
      <c r="F133">
        <f>_xll.RssMarket("228A","時価総額")</f>
        <v>3325</v>
      </c>
      <c r="G133">
        <f>_xll.RssMarket("228A","単位株数")</f>
        <v>100</v>
      </c>
      <c r="H133">
        <f>_xll.RssMarket("228A","配当")</f>
        <v>0</v>
      </c>
      <c r="I133">
        <f>_xll.RssMarket("228A","PER")</f>
        <v>11.08</v>
      </c>
      <c r="J133">
        <f>_xll.RssMarket("228A","PBR")</f>
        <v>2.5</v>
      </c>
      <c r="K133" t="str">
        <f>_xll.RssMarket("228A","信用売残")</f>
        <v>-</v>
      </c>
      <c r="L133" t="str">
        <f>_xll.RssMarket("228A","信用売残前週比")</f>
        <v>-</v>
      </c>
      <c r="M133">
        <f>_xll.RssMarket("228A","信用買残")</f>
        <v>59200</v>
      </c>
      <c r="N133">
        <f>_xll.RssMarket("228A","信用買残前週比")</f>
        <v>-12400</v>
      </c>
      <c r="O133">
        <f>_xll.RssMarket("228A","信用倍率")</f>
        <v>0</v>
      </c>
      <c r="P133" t="str">
        <f>_xll.RssMarket("228A","配当落日")</f>
        <v>2026/11/27</v>
      </c>
      <c r="Q133" t="str">
        <f>_xll.RssMarket("228A","中配落日")</f>
        <v>2026/05/28</v>
      </c>
      <c r="R133" t="str">
        <f>_xll.RssMarket("228A","権利落日")</f>
        <v/>
      </c>
      <c r="S133" t="str">
        <f>_xll.RssMarket("228A","決算発表日")</f>
        <v>-</v>
      </c>
      <c r="T133">
        <f>_xll.RssMarket("228A","年初来高値")</f>
        <v>2897</v>
      </c>
      <c r="U133">
        <f>_xll.RssMarket("228A","年初来安値")</f>
        <v>960</v>
      </c>
      <c r="V133">
        <f>_xll.RssMarket("228A","上場来高値")</f>
        <v>2897</v>
      </c>
      <c r="W133">
        <f>_xll.RssMarket("228A","上場来安値")</f>
        <v>960</v>
      </c>
    </row>
    <row r="134" spans="1:23" x14ac:dyDescent="0.2">
      <c r="A134">
        <v>2291</v>
      </c>
      <c r="B134">
        <f>_xll.RssMarket("2291","銘柄コード")</f>
        <v>2291</v>
      </c>
      <c r="C134" t="str">
        <f>_xll.RssMarket("2291","銘柄名称")</f>
        <v>福留ハム</v>
      </c>
      <c r="D134" t="str">
        <f>_xll.RssMarket("2291","現在日付")</f>
        <v>2026/03/05</v>
      </c>
      <c r="E134">
        <f>_xll.RssMarket("2291","現在値")</f>
        <v>619</v>
      </c>
      <c r="F134">
        <f>_xll.RssMarket("2291","時価総額")</f>
        <v>2104</v>
      </c>
      <c r="G134">
        <f>_xll.RssMarket("2291","単位株数")</f>
        <v>100</v>
      </c>
      <c r="H134">
        <f>_xll.RssMarket("2291","配当")</f>
        <v>0</v>
      </c>
      <c r="I134">
        <f>_xll.RssMarket("2291","PER")</f>
        <v>5.03</v>
      </c>
      <c r="J134">
        <f>_xll.RssMarket("2291","PBR")</f>
        <v>1.1200000000000001</v>
      </c>
      <c r="K134">
        <f>_xll.RssMarket("2291","信用売残")</f>
        <v>26900</v>
      </c>
      <c r="L134">
        <f>_xll.RssMarket("2291","信用売残前週比")</f>
        <v>-4000</v>
      </c>
      <c r="M134">
        <f>_xll.RssMarket("2291","信用買残")</f>
        <v>45300</v>
      </c>
      <c r="N134">
        <f>_xll.RssMarket("2291","信用買残前週比")</f>
        <v>-1800</v>
      </c>
      <c r="O134">
        <f>_xll.RssMarket("2291","信用倍率")</f>
        <v>1.68</v>
      </c>
      <c r="P134" t="str">
        <f>_xll.RssMarket("2291","配当落日")</f>
        <v>2026/03/30</v>
      </c>
      <c r="Q134" t="str">
        <f>_xll.RssMarket("2291","中配落日")</f>
        <v>2026/09/29</v>
      </c>
      <c r="R134" t="str">
        <f>_xll.RssMarket("2291","権利落日")</f>
        <v/>
      </c>
      <c r="S134" t="str">
        <f>_xll.RssMarket("2291","決算発表日")</f>
        <v>2026/02/12</v>
      </c>
      <c r="T134">
        <f>_xll.RssMarket("2291","年初来高値")</f>
        <v>1320</v>
      </c>
      <c r="U134">
        <f>_xll.RssMarket("2291","年初来安値")</f>
        <v>581</v>
      </c>
      <c r="V134">
        <f>_xll.RssMarket("2291","上場来高値")</f>
        <v>2620</v>
      </c>
      <c r="W134">
        <f>_xll.RssMarket("2291","上場来安値")</f>
        <v>75</v>
      </c>
    </row>
    <row r="135" spans="1:23" x14ac:dyDescent="0.2">
      <c r="A135">
        <v>2292</v>
      </c>
      <c r="B135">
        <f>_xll.RssMarket("2292","銘柄コード")</f>
        <v>2292</v>
      </c>
      <c r="C135" t="str">
        <f>_xll.RssMarket("2292","銘柄名称")</f>
        <v>ＳＦｏｏｄｓ</v>
      </c>
      <c r="D135" t="str">
        <f>_xll.RssMarket("2292","現在日付")</f>
        <v>2026/03/05</v>
      </c>
      <c r="E135">
        <f>_xll.RssMarket("2292","現在値")</f>
        <v>3035</v>
      </c>
      <c r="F135">
        <f>_xll.RssMarket("2292","時価総額")</f>
        <v>97932</v>
      </c>
      <c r="G135">
        <f>_xll.RssMarket("2292","単位株数")</f>
        <v>100</v>
      </c>
      <c r="H135">
        <f>_xll.RssMarket("2292","配当")</f>
        <v>104</v>
      </c>
      <c r="I135">
        <f>_xll.RssMarket("2292","PER")</f>
        <v>12.01</v>
      </c>
      <c r="J135">
        <f>_xll.RssMarket("2292","PBR")</f>
        <v>0.77</v>
      </c>
      <c r="K135">
        <f>_xll.RssMarket("2292","信用売残")</f>
        <v>10300</v>
      </c>
      <c r="L135">
        <f>_xll.RssMarket("2292","信用売残前週比")</f>
        <v>-338300</v>
      </c>
      <c r="M135">
        <f>_xll.RssMarket("2292","信用買残")</f>
        <v>45900</v>
      </c>
      <c r="N135">
        <f>_xll.RssMarket("2292","信用買残前週比")</f>
        <v>-4300</v>
      </c>
      <c r="O135">
        <f>_xll.RssMarket("2292","信用倍率")</f>
        <v>4.46</v>
      </c>
      <c r="P135" t="str">
        <f>_xll.RssMarket("2292","配当落日")</f>
        <v>2027/02/25</v>
      </c>
      <c r="Q135" t="str">
        <f>_xll.RssMarket("2292","中配落日")</f>
        <v>2026/08/28</v>
      </c>
      <c r="R135" t="str">
        <f>_xll.RssMarket("2292","権利落日")</f>
        <v/>
      </c>
      <c r="S135" t="str">
        <f>_xll.RssMarket("2292","決算発表日")</f>
        <v>-</v>
      </c>
      <c r="T135">
        <f>_xll.RssMarket("2292","年初来高値")</f>
        <v>3285</v>
      </c>
      <c r="U135">
        <f>_xll.RssMarket("2292","年初来安値")</f>
        <v>2221</v>
      </c>
      <c r="V135">
        <f>_xll.RssMarket("2292","上場来高値")</f>
        <v>5300</v>
      </c>
      <c r="W135">
        <f>_xll.RssMarket("2292","上場来安値")</f>
        <v>488</v>
      </c>
    </row>
    <row r="136" spans="1:23" x14ac:dyDescent="0.2">
      <c r="A136">
        <v>2293</v>
      </c>
      <c r="B136">
        <f>_xll.RssMarket("2293","銘柄コード")</f>
        <v>2293</v>
      </c>
      <c r="C136" t="str">
        <f>_xll.RssMarket("2293","銘柄名称")</f>
        <v>滝沢ハム</v>
      </c>
      <c r="D136" t="str">
        <f>_xll.RssMarket("2293","現在日付")</f>
        <v>2026/03/05</v>
      </c>
      <c r="E136">
        <f>_xll.RssMarket("2293","現在値")</f>
        <v>2971</v>
      </c>
      <c r="F136">
        <f>_xll.RssMarket("2293","時価総額")</f>
        <v>6245</v>
      </c>
      <c r="G136">
        <f>_xll.RssMarket("2293","単位株数")</f>
        <v>100</v>
      </c>
      <c r="H136">
        <f>_xll.RssMarket("2293","配当")</f>
        <v>20</v>
      </c>
      <c r="I136">
        <f>_xll.RssMarket("2293","PER")</f>
        <v>0</v>
      </c>
      <c r="J136">
        <f>_xll.RssMarket("2293","PBR")</f>
        <v>1.83</v>
      </c>
      <c r="K136" t="str">
        <f>_xll.RssMarket("2293","信用売残")</f>
        <v>-</v>
      </c>
      <c r="L136" t="str">
        <f>_xll.RssMarket("2293","信用売残前週比")</f>
        <v>-</v>
      </c>
      <c r="M136">
        <f>_xll.RssMarket("2293","信用買残")</f>
        <v>5600</v>
      </c>
      <c r="N136">
        <f>_xll.RssMarket("2293","信用買残前週比")</f>
        <v>-1700</v>
      </c>
      <c r="O136">
        <f>_xll.RssMarket("2293","信用倍率")</f>
        <v>0</v>
      </c>
      <c r="P136" t="str">
        <f>_xll.RssMarket("2293","配当落日")</f>
        <v>2026/03/30</v>
      </c>
      <c r="Q136" t="str">
        <f>_xll.RssMarket("2293","中配落日")</f>
        <v>2026/09/29</v>
      </c>
      <c r="R136" t="str">
        <f>_xll.RssMarket("2293","権利落日")</f>
        <v/>
      </c>
      <c r="S136" t="str">
        <f>_xll.RssMarket("2293","決算発表日")</f>
        <v>2026/02/10</v>
      </c>
      <c r="T136">
        <f>_xll.RssMarket("2293","年初来高値")</f>
        <v>3080</v>
      </c>
      <c r="U136">
        <f>_xll.RssMarket("2293","年初来安値")</f>
        <v>2505</v>
      </c>
      <c r="V136">
        <f>_xll.RssMarket("2293","上場来高値")</f>
        <v>3995</v>
      </c>
      <c r="W136">
        <f>_xll.RssMarket("2293","上場来安値")</f>
        <v>269</v>
      </c>
    </row>
    <row r="137" spans="1:23" x14ac:dyDescent="0.2">
      <c r="A137">
        <v>2294</v>
      </c>
      <c r="B137">
        <f>_xll.RssMarket("2294","銘柄コード")</f>
        <v>2294</v>
      </c>
      <c r="C137" t="str">
        <f>_xll.RssMarket("2294","銘柄名称")</f>
        <v>柿安本店</v>
      </c>
      <c r="D137" t="str">
        <f>_xll.RssMarket("2294","現在日付")</f>
        <v>2026/03/05</v>
      </c>
      <c r="E137">
        <f>_xll.RssMarket("2294","現在値")</f>
        <v>2861</v>
      </c>
      <c r="F137">
        <f>_xll.RssMarket("2294","時価総額")</f>
        <v>35610</v>
      </c>
      <c r="G137">
        <f>_xll.RssMarket("2294","単位株数")</f>
        <v>100</v>
      </c>
      <c r="H137">
        <f>_xll.RssMarket("2294","配当")</f>
        <v>85</v>
      </c>
      <c r="I137">
        <f>_xll.RssMarket("2294","PER")</f>
        <v>32.25</v>
      </c>
      <c r="J137">
        <f>_xll.RssMarket("2294","PBR")</f>
        <v>1.89</v>
      </c>
      <c r="K137">
        <f>_xll.RssMarket("2294","信用売残")</f>
        <v>35200</v>
      </c>
      <c r="L137">
        <f>_xll.RssMarket("2294","信用売残前週比")</f>
        <v>200</v>
      </c>
      <c r="M137">
        <f>_xll.RssMarket("2294","信用買残")</f>
        <v>96700</v>
      </c>
      <c r="N137">
        <f>_xll.RssMarket("2294","信用買残前週比")</f>
        <v>100</v>
      </c>
      <c r="O137">
        <f>_xll.RssMarket("2294","信用倍率")</f>
        <v>2.75</v>
      </c>
      <c r="P137" t="str">
        <f>_xll.RssMarket("2294","配当落日")</f>
        <v>2026/04/28</v>
      </c>
      <c r="Q137" t="str">
        <f>_xll.RssMarket("2294","中配落日")</f>
        <v>2026/10/29</v>
      </c>
      <c r="R137" t="str">
        <f>_xll.RssMarket("2294","権利落日")</f>
        <v/>
      </c>
      <c r="S137" t="str">
        <f>_xll.RssMarket("2294","決算発表日")</f>
        <v>2026/03/12</v>
      </c>
      <c r="T137">
        <f>_xll.RssMarket("2294","年初来高値")</f>
        <v>3185</v>
      </c>
      <c r="U137">
        <f>_xll.RssMarket("2294","年初来安値")</f>
        <v>2573</v>
      </c>
      <c r="V137">
        <f>_xll.RssMarket("2294","上場来高値")</f>
        <v>3540</v>
      </c>
      <c r="W137">
        <f>_xll.RssMarket("2294","上場来安値")</f>
        <v>820</v>
      </c>
    </row>
    <row r="138" spans="1:23" x14ac:dyDescent="0.2">
      <c r="A138">
        <v>2296</v>
      </c>
      <c r="B138">
        <f>_xll.RssMarket("2296","銘柄コード")</f>
        <v>2296</v>
      </c>
      <c r="C138" t="str">
        <f>_xll.RssMarket("2296","銘柄名称")</f>
        <v>伊藤ハム米久ＨＬＤＧＳ</v>
      </c>
      <c r="D138" t="str">
        <f>_xll.RssMarket("2296","現在日付")</f>
        <v>2026/03/05</v>
      </c>
      <c r="E138">
        <f>_xll.RssMarket("2296","現在値")</f>
        <v>6190</v>
      </c>
      <c r="F138">
        <f>_xll.RssMarket("2296","時価総額")</f>
        <v>355745</v>
      </c>
      <c r="G138">
        <f>_xll.RssMarket("2296","単位株数")</f>
        <v>100</v>
      </c>
      <c r="H138">
        <f>_xll.RssMarket("2296","配当")</f>
        <v>320</v>
      </c>
      <c r="I138">
        <f>_xll.RssMarket("2296","PER")</f>
        <v>18.98</v>
      </c>
      <c r="J138">
        <f>_xll.RssMarket("2296","PBR")</f>
        <v>1.22</v>
      </c>
      <c r="K138">
        <f>_xll.RssMarket("2296","信用売残")</f>
        <v>81100</v>
      </c>
      <c r="L138">
        <f>_xll.RssMarket("2296","信用売残前週比")</f>
        <v>4000</v>
      </c>
      <c r="M138">
        <f>_xll.RssMarket("2296","信用買残")</f>
        <v>63600</v>
      </c>
      <c r="N138">
        <f>_xll.RssMarket("2296","信用買残前週比")</f>
        <v>8200</v>
      </c>
      <c r="O138">
        <f>_xll.RssMarket("2296","信用倍率")</f>
        <v>0.78</v>
      </c>
      <c r="P138" t="str">
        <f>_xll.RssMarket("2296","配当落日")</f>
        <v>2026/03/30</v>
      </c>
      <c r="Q138" t="str">
        <f>_xll.RssMarket("2296","中配落日")</f>
        <v>2026/09/29</v>
      </c>
      <c r="R138" t="str">
        <f>_xll.RssMarket("2296","権利落日")</f>
        <v/>
      </c>
      <c r="S138" t="str">
        <f>_xll.RssMarket("2296","決算発表日")</f>
        <v>2026/02/05</v>
      </c>
      <c r="T138">
        <f>_xll.RssMarket("2296","年初来高値")</f>
        <v>6480</v>
      </c>
      <c r="U138">
        <f>_xll.RssMarket("2296","年初来安値")</f>
        <v>3675</v>
      </c>
      <c r="V138">
        <f>_xll.RssMarket("2296","上場来高値")</f>
        <v>6480</v>
      </c>
      <c r="W138">
        <f>_xll.RssMarket("2296","上場来安値")</f>
        <v>507</v>
      </c>
    </row>
    <row r="139" spans="1:23" x14ac:dyDescent="0.2">
      <c r="A139">
        <v>2300</v>
      </c>
      <c r="B139">
        <f>_xll.RssMarket("2300","銘柄コード")</f>
        <v>2300</v>
      </c>
      <c r="C139" t="str">
        <f>_xll.RssMarket("2300","銘柄名称")</f>
        <v>きょくとう</v>
      </c>
      <c r="D139" t="str">
        <f>_xll.RssMarket("2300","現在日付")</f>
        <v>2026/03/05</v>
      </c>
      <c r="E139">
        <f>_xll.RssMarket("2300","現在値")</f>
        <v>496</v>
      </c>
      <c r="F139">
        <f>_xll.RssMarket("2300","時価総額")</f>
        <v>2753</v>
      </c>
      <c r="G139">
        <f>_xll.RssMarket("2300","単位株数")</f>
        <v>100</v>
      </c>
      <c r="H139">
        <f>_xll.RssMarket("2300","配当")</f>
        <v>11</v>
      </c>
      <c r="I139">
        <f>_xll.RssMarket("2300","PER")</f>
        <v>17.399999999999999</v>
      </c>
      <c r="J139">
        <f>_xll.RssMarket("2300","PBR")</f>
        <v>1.05</v>
      </c>
      <c r="K139" t="str">
        <f>_xll.RssMarket("2300","信用売残")</f>
        <v>-</v>
      </c>
      <c r="L139" t="str">
        <f>_xll.RssMarket("2300","信用売残前週比")</f>
        <v>-</v>
      </c>
      <c r="M139">
        <f>_xll.RssMarket("2300","信用買残")</f>
        <v>3100</v>
      </c>
      <c r="N139">
        <f>_xll.RssMarket("2300","信用買残前週比")</f>
        <v>-6400</v>
      </c>
      <c r="O139">
        <f>_xll.RssMarket("2300","信用倍率")</f>
        <v>0</v>
      </c>
      <c r="P139" t="str">
        <f>_xll.RssMarket("2300","配当落日")</f>
        <v>2027/02/25</v>
      </c>
      <c r="Q139" t="str">
        <f>_xll.RssMarket("2300","中配落日")</f>
        <v>2026/08/28</v>
      </c>
      <c r="R139" t="str">
        <f>_xll.RssMarket("2300","権利落日")</f>
        <v/>
      </c>
      <c r="S139" t="str">
        <f>_xll.RssMarket("2300","決算発表日")</f>
        <v>-</v>
      </c>
      <c r="T139">
        <f>_xll.RssMarket("2300","年初来高値")</f>
        <v>560</v>
      </c>
      <c r="U139">
        <f>_xll.RssMarket("2300","年初来安値")</f>
        <v>411</v>
      </c>
      <c r="V139">
        <f>_xll.RssMarket("2300","上場来高値")</f>
        <v>759</v>
      </c>
      <c r="W139">
        <f>_xll.RssMarket("2300","上場来安値")</f>
        <v>170</v>
      </c>
    </row>
    <row r="140" spans="1:23" x14ac:dyDescent="0.2">
      <c r="A140">
        <v>2301</v>
      </c>
      <c r="B140">
        <f>_xll.RssMarket("2301","銘柄コード")</f>
        <v>2301</v>
      </c>
      <c r="C140" t="str">
        <f>_xll.RssMarket("2301","銘柄名称")</f>
        <v>学情</v>
      </c>
      <c r="D140" t="str">
        <f>_xll.RssMarket("2301","現在日付")</f>
        <v>2026/03/05</v>
      </c>
      <c r="E140">
        <f>_xll.RssMarket("2301","現在値")</f>
        <v>1866</v>
      </c>
      <c r="F140">
        <f>_xll.RssMarket("2301","時価総額")</f>
        <v>29034</v>
      </c>
      <c r="G140">
        <f>_xll.RssMarket("2301","単位株数")</f>
        <v>100</v>
      </c>
      <c r="H140">
        <f>_xll.RssMarket("2301","配当")</f>
        <v>75</v>
      </c>
      <c r="I140">
        <f>_xll.RssMarket("2301","PER")</f>
        <v>10.1</v>
      </c>
      <c r="J140">
        <f>_xll.RssMarket("2301","PBR")</f>
        <v>1.68</v>
      </c>
      <c r="K140">
        <f>_xll.RssMarket("2301","信用売残")</f>
        <v>6700</v>
      </c>
      <c r="L140">
        <f>_xll.RssMarket("2301","信用売残前週比")</f>
        <v>2400</v>
      </c>
      <c r="M140">
        <f>_xll.RssMarket("2301","信用買残")</f>
        <v>94700</v>
      </c>
      <c r="N140">
        <f>_xll.RssMarket("2301","信用買残前週比")</f>
        <v>-10500</v>
      </c>
      <c r="O140">
        <f>_xll.RssMarket("2301","信用倍率")</f>
        <v>14.13</v>
      </c>
      <c r="P140" t="str">
        <f>_xll.RssMarket("2301","配当落日")</f>
        <v>2026/10/29</v>
      </c>
      <c r="Q140" t="str">
        <f>_xll.RssMarket("2301","中配落日")</f>
        <v>2026/04/28</v>
      </c>
      <c r="R140" t="str">
        <f>_xll.RssMarket("2301","権利落日")</f>
        <v/>
      </c>
      <c r="S140" t="str">
        <f>_xll.RssMarket("2301","決算発表日")</f>
        <v>2026/03/09</v>
      </c>
      <c r="T140">
        <f>_xll.RssMarket("2301","年初来高値")</f>
        <v>2298</v>
      </c>
      <c r="U140">
        <f>_xll.RssMarket("2301","年初来安値")</f>
        <v>1514</v>
      </c>
      <c r="V140">
        <f>_xll.RssMarket("2301","上場来高値")</f>
        <v>7600</v>
      </c>
      <c r="W140">
        <f>_xll.RssMarket("2301","上場来安値")</f>
        <v>205</v>
      </c>
    </row>
    <row r="141" spans="1:23" x14ac:dyDescent="0.2">
      <c r="A141">
        <v>2303</v>
      </c>
      <c r="B141">
        <f>_xll.RssMarket("2303","銘柄コード")</f>
        <v>2303</v>
      </c>
      <c r="C141" t="str">
        <f>_xll.RssMarket("2303","銘柄名称")</f>
        <v>ドーン</v>
      </c>
      <c r="D141" t="str">
        <f>_xll.RssMarket("2303","現在日付")</f>
        <v>2026/03/05</v>
      </c>
      <c r="E141">
        <f>_xll.RssMarket("2303","現在値")</f>
        <v>2632</v>
      </c>
      <c r="F141">
        <f>_xll.RssMarket("2303","時価総額")</f>
        <v>8685</v>
      </c>
      <c r="G141">
        <f>_xll.RssMarket("2303","単位株数")</f>
        <v>100</v>
      </c>
      <c r="H141">
        <f>_xll.RssMarket("2303","配当")</f>
        <v>26</v>
      </c>
      <c r="I141">
        <f>_xll.RssMarket("2303","PER")</f>
        <v>17.989999999999998</v>
      </c>
      <c r="J141">
        <f>_xll.RssMarket("2303","PBR")</f>
        <v>2.81</v>
      </c>
      <c r="K141" t="str">
        <f>_xll.RssMarket("2303","信用売残")</f>
        <v>-</v>
      </c>
      <c r="L141" t="str">
        <f>_xll.RssMarket("2303","信用売残前週比")</f>
        <v>-</v>
      </c>
      <c r="M141">
        <f>_xll.RssMarket("2303","信用買残")</f>
        <v>41000</v>
      </c>
      <c r="N141">
        <f>_xll.RssMarket("2303","信用買残前週比")</f>
        <v>800</v>
      </c>
      <c r="O141">
        <f>_xll.RssMarket("2303","信用倍率")</f>
        <v>0</v>
      </c>
      <c r="P141" t="str">
        <f>_xll.RssMarket("2303","配当落日")</f>
        <v>2026/05/28</v>
      </c>
      <c r="Q141" t="str">
        <f>_xll.RssMarket("2303","中配落日")</f>
        <v>2026/11/27</v>
      </c>
      <c r="R141" t="str">
        <f>_xll.RssMarket("2303","権利落日")</f>
        <v>2016/05/27</v>
      </c>
      <c r="S141" t="str">
        <f>_xll.RssMarket("2303","決算発表日")</f>
        <v>-</v>
      </c>
      <c r="T141">
        <f>_xll.RssMarket("2303","年初来高値")</f>
        <v>2891</v>
      </c>
      <c r="U141">
        <f>_xll.RssMarket("2303","年初来安値")</f>
        <v>1815</v>
      </c>
      <c r="V141">
        <f>_xll.RssMarket("2303","上場来高値")</f>
        <v>1470000</v>
      </c>
      <c r="W141">
        <f>_xll.RssMarket("2303","上場来安値")</f>
        <v>380</v>
      </c>
    </row>
    <row r="142" spans="1:23" x14ac:dyDescent="0.2">
      <c r="A142">
        <v>2304</v>
      </c>
      <c r="B142">
        <f>_xll.RssMarket("2304","銘柄コード")</f>
        <v>2304</v>
      </c>
      <c r="C142" t="str">
        <f>_xll.RssMarket("2304","銘柄名称")</f>
        <v>ＣＳＳホールディングス</v>
      </c>
      <c r="D142" t="str">
        <f>_xll.RssMarket("2304","現在日付")</f>
        <v>2026/03/05</v>
      </c>
      <c r="E142">
        <f>_xll.RssMarket("2304","現在値")</f>
        <v>971</v>
      </c>
      <c r="F142">
        <f>_xll.RssMarket("2304","時価総額")</f>
        <v>5132</v>
      </c>
      <c r="G142">
        <f>_xll.RssMarket("2304","単位株数")</f>
        <v>100</v>
      </c>
      <c r="H142">
        <f>_xll.RssMarket("2304","配当")</f>
        <v>35</v>
      </c>
      <c r="I142">
        <f>_xll.RssMarket("2304","PER")</f>
        <v>7.41</v>
      </c>
      <c r="J142">
        <f>_xll.RssMarket("2304","PBR")</f>
        <v>1.55</v>
      </c>
      <c r="K142">
        <f>_xll.RssMarket("2304","信用売残")</f>
        <v>1100</v>
      </c>
      <c r="L142">
        <f>_xll.RssMarket("2304","信用売残前週比")</f>
        <v>-100</v>
      </c>
      <c r="M142">
        <f>_xll.RssMarket("2304","信用買残")</f>
        <v>104600</v>
      </c>
      <c r="N142">
        <f>_xll.RssMarket("2304","信用買残前週比")</f>
        <v>-3700</v>
      </c>
      <c r="O142">
        <f>_xll.RssMarket("2304","信用倍率")</f>
        <v>95.09</v>
      </c>
      <c r="P142" t="str">
        <f>_xll.RssMarket("2304","配当落日")</f>
        <v>2026/09/29</v>
      </c>
      <c r="Q142" t="str">
        <f>_xll.RssMarket("2304","中配落日")</f>
        <v>2026/03/30</v>
      </c>
      <c r="R142" t="str">
        <f>_xll.RssMarket("2304","権利落日")</f>
        <v/>
      </c>
      <c r="S142" t="str">
        <f>_xll.RssMarket("2304","決算発表日")</f>
        <v>2026/02/10</v>
      </c>
      <c r="T142">
        <f>_xll.RssMarket("2304","年初来高値")</f>
        <v>1097</v>
      </c>
      <c r="U142">
        <f>_xll.RssMarket("2304","年初来安値")</f>
        <v>755</v>
      </c>
      <c r="V142">
        <f>_xll.RssMarket("2304","上場来高値")</f>
        <v>692000</v>
      </c>
      <c r="W142">
        <f>_xll.RssMarket("2304","上場来安値")</f>
        <v>192</v>
      </c>
    </row>
    <row r="143" spans="1:23" x14ac:dyDescent="0.2">
      <c r="A143">
        <v>2305</v>
      </c>
      <c r="B143">
        <f>_xll.RssMarket("2305","銘柄コード")</f>
        <v>2305</v>
      </c>
      <c r="C143" t="str">
        <f>_xll.RssMarket("2305","銘柄名称")</f>
        <v>スタジオアリス</v>
      </c>
      <c r="D143" t="str">
        <f>_xll.RssMarket("2305","現在日付")</f>
        <v>2026/03/05</v>
      </c>
      <c r="E143">
        <f>_xll.RssMarket("2305","現在値")</f>
        <v>1987</v>
      </c>
      <c r="F143">
        <f>_xll.RssMarket("2305","時価総額")</f>
        <v>34147</v>
      </c>
      <c r="G143">
        <f>_xll.RssMarket("2305","単位株数")</f>
        <v>100</v>
      </c>
      <c r="H143">
        <f>_xll.RssMarket("2305","配当")</f>
        <v>50</v>
      </c>
      <c r="I143">
        <f>_xll.RssMarket("2305","PER")</f>
        <v>24.11</v>
      </c>
      <c r="J143">
        <f>_xll.RssMarket("2305","PBR")</f>
        <v>1.17</v>
      </c>
      <c r="K143">
        <f>_xll.RssMarket("2305","信用売残")</f>
        <v>32300</v>
      </c>
      <c r="L143">
        <f>_xll.RssMarket("2305","信用売残前週比")</f>
        <v>-1600</v>
      </c>
      <c r="M143">
        <f>_xll.RssMarket("2305","信用買残")</f>
        <v>13600</v>
      </c>
      <c r="N143">
        <f>_xll.RssMarket("2305","信用買残前週比")</f>
        <v>-4200</v>
      </c>
      <c r="O143">
        <f>_xll.RssMarket("2305","信用倍率")</f>
        <v>0.42</v>
      </c>
      <c r="P143" t="str">
        <f>_xll.RssMarket("2305","配当落日")</f>
        <v>2027/02/25</v>
      </c>
      <c r="Q143" t="str">
        <f>_xll.RssMarket("2305","中配落日")</f>
        <v>2026/08/28</v>
      </c>
      <c r="R143" t="str">
        <f>_xll.RssMarket("2305","権利落日")</f>
        <v/>
      </c>
      <c r="S143" t="str">
        <f>_xll.RssMarket("2305","決算発表日")</f>
        <v>-</v>
      </c>
      <c r="T143">
        <f>_xll.RssMarket("2305","年初来高値")</f>
        <v>2178</v>
      </c>
      <c r="U143">
        <f>_xll.RssMarket("2305","年初来安値")</f>
        <v>1948</v>
      </c>
      <c r="V143">
        <f>_xll.RssMarket("2305","上場来高値")</f>
        <v>4300</v>
      </c>
      <c r="W143">
        <f>_xll.RssMarket("2305","上場来安値")</f>
        <v>525</v>
      </c>
    </row>
    <row r="144" spans="1:23" x14ac:dyDescent="0.2">
      <c r="A144">
        <v>2307</v>
      </c>
      <c r="B144">
        <f>_xll.RssMarket("2307","銘柄コード")</f>
        <v>2307</v>
      </c>
      <c r="C144" t="str">
        <f>_xll.RssMarket("2307","銘柄名称")</f>
        <v>クロスキャット</v>
      </c>
      <c r="D144" t="str">
        <f>_xll.RssMarket("2307","現在日付")</f>
        <v>2026/03/05</v>
      </c>
      <c r="E144">
        <f>_xll.RssMarket("2307","現在値")</f>
        <v>1007</v>
      </c>
      <c r="F144">
        <f>_xll.RssMarket("2307","時価総額")</f>
        <v>17124</v>
      </c>
      <c r="G144">
        <f>_xll.RssMarket("2307","単位株数")</f>
        <v>100</v>
      </c>
      <c r="H144">
        <f>_xll.RssMarket("2307","配当")</f>
        <v>34</v>
      </c>
      <c r="I144">
        <f>_xll.RssMarket("2307","PER")</f>
        <v>9.7200000000000006</v>
      </c>
      <c r="J144">
        <f>_xll.RssMarket("2307","PBR")</f>
        <v>2.34</v>
      </c>
      <c r="K144" t="str">
        <f>_xll.RssMarket("2307","信用売残")</f>
        <v>-</v>
      </c>
      <c r="L144" t="str">
        <f>_xll.RssMarket("2307","信用売残前週比")</f>
        <v>-</v>
      </c>
      <c r="M144">
        <f>_xll.RssMarket("2307","信用買残")</f>
        <v>124800</v>
      </c>
      <c r="N144">
        <f>_xll.RssMarket("2307","信用買残前週比")</f>
        <v>-15300</v>
      </c>
      <c r="O144">
        <f>_xll.RssMarket("2307","信用倍率")</f>
        <v>0</v>
      </c>
      <c r="P144" t="str">
        <f>_xll.RssMarket("2307","配当落日")</f>
        <v>2026/03/30</v>
      </c>
      <c r="Q144" t="str">
        <f>_xll.RssMarket("2307","中配落日")</f>
        <v>2026/09/29</v>
      </c>
      <c r="R144" t="str">
        <f>_xll.RssMarket("2307","権利落日")</f>
        <v>2022/03/30</v>
      </c>
      <c r="S144" t="str">
        <f>_xll.RssMarket("2307","決算発表日")</f>
        <v>-</v>
      </c>
      <c r="T144">
        <f>_xll.RssMarket("2307","年初来高値")</f>
        <v>1313</v>
      </c>
      <c r="U144">
        <f>_xll.RssMarket("2307","年初来安値")</f>
        <v>830</v>
      </c>
      <c r="V144">
        <f>_xll.RssMarket("2307","上場来高値")</f>
        <v>2600</v>
      </c>
      <c r="W144">
        <f>_xll.RssMarket("2307","上場来安値")</f>
        <v>140</v>
      </c>
    </row>
    <row r="145" spans="1:23" x14ac:dyDescent="0.2">
      <c r="A145">
        <v>2311</v>
      </c>
      <c r="B145">
        <f>_xll.RssMarket("2311","銘柄コード")</f>
        <v>2311</v>
      </c>
      <c r="C145" t="str">
        <f>_xll.RssMarket("2311","銘柄名称")</f>
        <v>エプコ</v>
      </c>
      <c r="D145" t="str">
        <f>_xll.RssMarket("2311","現在日付")</f>
        <v>2026/03/05</v>
      </c>
      <c r="E145">
        <f>_xll.RssMarket("2311","現在値")</f>
        <v>811</v>
      </c>
      <c r="F145">
        <f>_xll.RssMarket("2311","時価総額")</f>
        <v>7555</v>
      </c>
      <c r="G145">
        <f>_xll.RssMarket("2311","単位株数")</f>
        <v>100</v>
      </c>
      <c r="H145">
        <f>_xll.RssMarket("2311","配当")</f>
        <v>32</v>
      </c>
      <c r="I145">
        <f>_xll.RssMarket("2311","PER")</f>
        <v>14.82</v>
      </c>
      <c r="J145">
        <f>_xll.RssMarket("2311","PBR")</f>
        <v>1.55</v>
      </c>
      <c r="K145" t="str">
        <f>_xll.RssMarket("2311","信用売残")</f>
        <v>-</v>
      </c>
      <c r="L145" t="str">
        <f>_xll.RssMarket("2311","信用売残前週比")</f>
        <v>-</v>
      </c>
      <c r="M145">
        <f>_xll.RssMarket("2311","信用買残")</f>
        <v>205200</v>
      </c>
      <c r="N145">
        <f>_xll.RssMarket("2311","信用買残前週比")</f>
        <v>-5500</v>
      </c>
      <c r="O145">
        <f>_xll.RssMarket("2311","信用倍率")</f>
        <v>0</v>
      </c>
      <c r="P145" t="str">
        <f>_xll.RssMarket("2311","配当落日")</f>
        <v>2026/12/29</v>
      </c>
      <c r="Q145" t="str">
        <f>_xll.RssMarket("2311","中配落日")</f>
        <v>2026/06/29</v>
      </c>
      <c r="R145" t="str">
        <f>_xll.RssMarket("2311","権利落日")</f>
        <v>2017/12/27</v>
      </c>
      <c r="S145" t="str">
        <f>_xll.RssMarket("2311","決算発表日")</f>
        <v>2026/02/12</v>
      </c>
      <c r="T145">
        <f>_xll.RssMarket("2311","年初来高値")</f>
        <v>935</v>
      </c>
      <c r="U145">
        <f>_xll.RssMarket("2311","年初来安値")</f>
        <v>630</v>
      </c>
      <c r="V145">
        <f>_xll.RssMarket("2311","上場来高値")</f>
        <v>2600000</v>
      </c>
      <c r="W145">
        <f>_xll.RssMarket("2311","上場来安値")</f>
        <v>622</v>
      </c>
    </row>
    <row r="146" spans="1:23" x14ac:dyDescent="0.2">
      <c r="A146">
        <v>2315</v>
      </c>
      <c r="B146">
        <f>_xll.RssMarket("2315","銘柄コード")</f>
        <v>2315</v>
      </c>
      <c r="C146" t="str">
        <f>_xll.RssMarket("2315","銘柄名称")</f>
        <v>ＣＡＩＣＡＤＩＧＩＴＡＬ</v>
      </c>
      <c r="D146" t="str">
        <f>_xll.RssMarket("2315","現在日付")</f>
        <v>2026/03/05</v>
      </c>
      <c r="E146">
        <f>_xll.RssMarket("2315","現在値")</f>
        <v>87</v>
      </c>
      <c r="F146">
        <f>_xll.RssMarket("2315","時価総額")</f>
        <v>15754</v>
      </c>
      <c r="G146">
        <f>_xll.RssMarket("2315","単位株数")</f>
        <v>100</v>
      </c>
      <c r="H146">
        <f>_xll.RssMarket("2315","配当")</f>
        <v>0</v>
      </c>
      <c r="I146">
        <f>_xll.RssMarket("2315","PER")</f>
        <v>174</v>
      </c>
      <c r="J146">
        <f>_xll.RssMarket("2315","PBR")</f>
        <v>3.64</v>
      </c>
      <c r="K146">
        <f>_xll.RssMarket("2315","信用売残")</f>
        <v>1842100</v>
      </c>
      <c r="L146">
        <f>_xll.RssMarket("2315","信用売残前週比")</f>
        <v>137400</v>
      </c>
      <c r="M146">
        <f>_xll.RssMarket("2315","信用買残")</f>
        <v>13767600</v>
      </c>
      <c r="N146">
        <f>_xll.RssMarket("2315","信用買残前週比")</f>
        <v>-897600</v>
      </c>
      <c r="O146">
        <f>_xll.RssMarket("2315","信用倍率")</f>
        <v>7.47</v>
      </c>
      <c r="P146" t="str">
        <f>_xll.RssMarket("2315","配当落日")</f>
        <v>2026/10/29</v>
      </c>
      <c r="Q146" t="str">
        <f>_xll.RssMarket("2315","中配落日")</f>
        <v>2026/04/28</v>
      </c>
      <c r="R146" t="str">
        <f>_xll.RssMarket("2315","権利落日")</f>
        <v/>
      </c>
      <c r="S146" t="str">
        <f>_xll.RssMarket("2315","決算発表日")</f>
        <v>2026/03/17</v>
      </c>
      <c r="T146">
        <f>_xll.RssMarket("2315","年初来高値")</f>
        <v>177</v>
      </c>
      <c r="U146">
        <f>_xll.RssMarket("2315","年初来安値")</f>
        <v>47</v>
      </c>
      <c r="V146">
        <f>_xll.RssMarket("2315","上場来高値")</f>
        <v>791000</v>
      </c>
      <c r="W146">
        <f>_xll.RssMarket("2315","上場来安値")</f>
        <v>13</v>
      </c>
    </row>
    <row r="147" spans="1:23" x14ac:dyDescent="0.2">
      <c r="A147">
        <v>2317</v>
      </c>
      <c r="B147">
        <f>_xll.RssMarket("2317","銘柄コード")</f>
        <v>2317</v>
      </c>
      <c r="C147" t="str">
        <f>_xll.RssMarket("2317","銘柄名称")</f>
        <v>システナ</v>
      </c>
      <c r="D147" t="str">
        <f>_xll.RssMarket("2317","現在日付")</f>
        <v>2026/03/05</v>
      </c>
      <c r="E147">
        <f>_xll.RssMarket("2317","現在値")</f>
        <v>418</v>
      </c>
      <c r="F147">
        <f>_xll.RssMarket("2317","時価総額")</f>
        <v>178017</v>
      </c>
      <c r="G147">
        <f>_xll.RssMarket("2317","単位株数")</f>
        <v>100</v>
      </c>
      <c r="H147">
        <f>_xll.RssMarket("2317","配当")</f>
        <v>13</v>
      </c>
      <c r="I147">
        <f>_xll.RssMarket("2317","PER")</f>
        <v>13.57</v>
      </c>
      <c r="J147">
        <f>_xll.RssMarket("2317","PBR")</f>
        <v>4.17</v>
      </c>
      <c r="K147">
        <f>_xll.RssMarket("2317","信用売残")</f>
        <v>169800</v>
      </c>
      <c r="L147">
        <f>_xll.RssMarket("2317","信用売残前週比")</f>
        <v>39200</v>
      </c>
      <c r="M147">
        <f>_xll.RssMarket("2317","信用買残")</f>
        <v>1580000</v>
      </c>
      <c r="N147">
        <f>_xll.RssMarket("2317","信用買残前週比")</f>
        <v>-194800</v>
      </c>
      <c r="O147">
        <f>_xll.RssMarket("2317","信用倍率")</f>
        <v>9.31</v>
      </c>
      <c r="P147" t="str">
        <f>_xll.RssMarket("2317","配当落日")</f>
        <v>2026/03/30</v>
      </c>
      <c r="Q147" t="str">
        <f>_xll.RssMarket("2317","中配落日")</f>
        <v>2026/09/29</v>
      </c>
      <c r="R147" t="str">
        <f>_xll.RssMarket("2317","権利落日")</f>
        <v>2021/11/29</v>
      </c>
      <c r="S147" t="str">
        <f>_xll.RssMarket("2317","決算発表日")</f>
        <v>2026/02/05</v>
      </c>
      <c r="T147">
        <f>_xll.RssMarket("2317","年初来高値")</f>
        <v>555</v>
      </c>
      <c r="U147">
        <f>_xll.RssMarket("2317","年初来安値")</f>
        <v>312</v>
      </c>
      <c r="V147">
        <f>_xll.RssMarket("2317","上場来高値")</f>
        <v>328000</v>
      </c>
      <c r="W147">
        <f>_xll.RssMarket("2317","上場来安値")</f>
        <v>235</v>
      </c>
    </row>
    <row r="148" spans="1:23" x14ac:dyDescent="0.2">
      <c r="A148">
        <v>2321</v>
      </c>
      <c r="B148">
        <f>_xll.RssMarket("2321","銘柄コード")</f>
        <v>2321</v>
      </c>
      <c r="C148" t="str">
        <f>_xll.RssMarket("2321","銘柄名称")</f>
        <v>ソフトフロントＨＬＤＧＳ</v>
      </c>
      <c r="D148" t="str">
        <f>_xll.RssMarket("2321","現在日付")</f>
        <v>2026/03/05</v>
      </c>
      <c r="E148">
        <f>_xll.RssMarket("2321","現在値")</f>
        <v>337</v>
      </c>
      <c r="F148">
        <f>_xll.RssMarket("2321","時価総額")</f>
        <v>17514</v>
      </c>
      <c r="G148">
        <f>_xll.RssMarket("2321","単位株数")</f>
        <v>100</v>
      </c>
      <c r="H148">
        <f>_xll.RssMarket("2321","配当")</f>
        <v>0</v>
      </c>
      <c r="I148">
        <f>_xll.RssMarket("2321","PER")</f>
        <v>0</v>
      </c>
      <c r="J148">
        <f>_xll.RssMarket("2321","PBR")</f>
        <v>9.99</v>
      </c>
      <c r="K148" t="str">
        <f>_xll.RssMarket("2321","信用売残")</f>
        <v>-</v>
      </c>
      <c r="L148" t="str">
        <f>_xll.RssMarket("2321","信用売残前週比")</f>
        <v>-</v>
      </c>
      <c r="M148">
        <f>_xll.RssMarket("2321","信用買残")</f>
        <v>3199800</v>
      </c>
      <c r="N148">
        <f>_xll.RssMarket("2321","信用買残前週比")</f>
        <v>-447100</v>
      </c>
      <c r="O148">
        <f>_xll.RssMarket("2321","信用倍率")</f>
        <v>0</v>
      </c>
      <c r="P148" t="str">
        <f>_xll.RssMarket("2321","配当落日")</f>
        <v>2026/03/30</v>
      </c>
      <c r="Q148" t="str">
        <f>_xll.RssMarket("2321","中配落日")</f>
        <v>2026/09/29</v>
      </c>
      <c r="R148" t="str">
        <f>_xll.RssMarket("2321","権利落日")</f>
        <v/>
      </c>
      <c r="S148" t="str">
        <f>_xll.RssMarket("2321","決算発表日")</f>
        <v>2026/02/12</v>
      </c>
      <c r="T148">
        <f>_xll.RssMarket("2321","年初来高値")</f>
        <v>322</v>
      </c>
      <c r="U148">
        <f>_xll.RssMarket("2321","年初来安値")</f>
        <v>75</v>
      </c>
      <c r="V148">
        <f>_xll.RssMarket("2321","上場来高値")</f>
        <v>600000</v>
      </c>
      <c r="W148">
        <f>_xll.RssMarket("2321","上場来安値")</f>
        <v>55</v>
      </c>
    </row>
    <row r="149" spans="1:23" x14ac:dyDescent="0.2">
      <c r="A149">
        <v>2323</v>
      </c>
      <c r="B149">
        <f>_xll.RssMarket("2323","銘柄コード")</f>
        <v>2323</v>
      </c>
      <c r="C149" t="str">
        <f>_xll.RssMarket("2323","銘柄名称")</f>
        <v>ｆｏｎｆｕｎ</v>
      </c>
      <c r="D149" t="str">
        <f>_xll.RssMarket("2323","現在日付")</f>
        <v>2026/03/05</v>
      </c>
      <c r="E149">
        <f>_xll.RssMarket("2323","現在値")</f>
        <v>345</v>
      </c>
      <c r="F149">
        <f>_xll.RssMarket("2323","時価総額")</f>
        <v>7346</v>
      </c>
      <c r="G149">
        <f>_xll.RssMarket("2323","単位株数")</f>
        <v>100</v>
      </c>
      <c r="H149">
        <f>_xll.RssMarket("2323","配当")</f>
        <v>0</v>
      </c>
      <c r="I149">
        <f>_xll.RssMarket("2323","PER")</f>
        <v>21.97</v>
      </c>
      <c r="J149">
        <f>_xll.RssMarket("2323","PBR")</f>
        <v>6.94</v>
      </c>
      <c r="K149" t="str">
        <f>_xll.RssMarket("2323","信用売残")</f>
        <v>-</v>
      </c>
      <c r="L149" t="str">
        <f>_xll.RssMarket("2323","信用売残前週比")</f>
        <v>-</v>
      </c>
      <c r="M149">
        <f>_xll.RssMarket("2323","信用買残")</f>
        <v>1241800</v>
      </c>
      <c r="N149">
        <f>_xll.RssMarket("2323","信用買残前週比")</f>
        <v>-6100</v>
      </c>
      <c r="O149">
        <f>_xll.RssMarket("2323","信用倍率")</f>
        <v>0</v>
      </c>
      <c r="P149" t="str">
        <f>_xll.RssMarket("2323","配当落日")</f>
        <v>2026/03/30</v>
      </c>
      <c r="Q149" t="str">
        <f>_xll.RssMarket("2323","中配落日")</f>
        <v>2026/09/29</v>
      </c>
      <c r="R149" t="str">
        <f>_xll.RssMarket("2323","権利落日")</f>
        <v>2026/01/28</v>
      </c>
      <c r="S149" t="str">
        <f>_xll.RssMarket("2323","決算発表日")</f>
        <v>2026/02/13</v>
      </c>
      <c r="T149">
        <f>_xll.RssMarket("2323","年初来高値")</f>
        <v>473</v>
      </c>
      <c r="U149">
        <f>_xll.RssMarket("2323","年初来安値")</f>
        <v>310</v>
      </c>
      <c r="V149">
        <f>_xll.RssMarket("2323","上場来高値")</f>
        <v>824000</v>
      </c>
      <c r="W149">
        <f>_xll.RssMarket("2323","上場来安値")</f>
        <v>100</v>
      </c>
    </row>
    <row r="150" spans="1:23" x14ac:dyDescent="0.2">
      <c r="A150">
        <v>2325</v>
      </c>
      <c r="B150">
        <f>_xll.RssMarket("2325","銘柄コード")</f>
        <v>2325</v>
      </c>
      <c r="C150" t="str">
        <f>_xll.RssMarket("2325","銘柄名称")</f>
        <v>ＮＪＳ</v>
      </c>
      <c r="D150" t="str">
        <f>_xll.RssMarket("2325","現在日付")</f>
        <v>2026/03/05</v>
      </c>
      <c r="E150">
        <f>_xll.RssMarket("2325","現在値")</f>
        <v>4585</v>
      </c>
      <c r="F150">
        <f>_xll.RssMarket("2325","時価総額")</f>
        <v>46070</v>
      </c>
      <c r="G150">
        <f>_xll.RssMarket("2325","単位株数")</f>
        <v>100</v>
      </c>
      <c r="H150">
        <f>_xll.RssMarket("2325","配当")</f>
        <v>110</v>
      </c>
      <c r="I150">
        <f>_xll.RssMarket("2325","PER")</f>
        <v>17.809999999999999</v>
      </c>
      <c r="J150">
        <f>_xll.RssMarket("2325","PBR")</f>
        <v>1.53</v>
      </c>
      <c r="K150">
        <f>_xll.RssMarket("2325","信用売残")</f>
        <v>33300</v>
      </c>
      <c r="L150">
        <f>_xll.RssMarket("2325","信用売残前週比")</f>
        <v>2200</v>
      </c>
      <c r="M150">
        <f>_xll.RssMarket("2325","信用買残")</f>
        <v>143600</v>
      </c>
      <c r="N150">
        <f>_xll.RssMarket("2325","信用買残前週比")</f>
        <v>-13100</v>
      </c>
      <c r="O150">
        <f>_xll.RssMarket("2325","信用倍率")</f>
        <v>4.3099999999999996</v>
      </c>
      <c r="P150" t="str">
        <f>_xll.RssMarket("2325","配当落日")</f>
        <v>2026/12/29</v>
      </c>
      <c r="Q150" t="str">
        <f>_xll.RssMarket("2325","中配落日")</f>
        <v>2026/06/29</v>
      </c>
      <c r="R150" t="str">
        <f>_xll.RssMarket("2325","権利落日")</f>
        <v/>
      </c>
      <c r="S150" t="str">
        <f>_xll.RssMarket("2325","決算発表日")</f>
        <v>2026/02/13</v>
      </c>
      <c r="T150">
        <f>_xll.RssMarket("2325","年初来高値")</f>
        <v>6750</v>
      </c>
      <c r="U150">
        <f>_xll.RssMarket("2325","年初来安値")</f>
        <v>3155</v>
      </c>
      <c r="V150">
        <f>_xll.RssMarket("2325","上場来高値")</f>
        <v>929000</v>
      </c>
      <c r="W150">
        <f>_xll.RssMarket("2325","上場来安値")</f>
        <v>1086</v>
      </c>
    </row>
    <row r="151" spans="1:23" x14ac:dyDescent="0.2">
      <c r="A151">
        <v>2326</v>
      </c>
      <c r="B151">
        <f>_xll.RssMarket("2326","銘柄コード")</f>
        <v>2326</v>
      </c>
      <c r="C151" t="str">
        <f>_xll.RssMarket("2326","銘柄名称")</f>
        <v>デジタルアーツ</v>
      </c>
      <c r="D151" t="str">
        <f>_xll.RssMarket("2326","現在日付")</f>
        <v>2026/03/05</v>
      </c>
      <c r="E151">
        <f>_xll.RssMarket("2326","現在値")</f>
        <v>5180</v>
      </c>
      <c r="F151">
        <f>_xll.RssMarket("2326","時価総額")</f>
        <v>73208</v>
      </c>
      <c r="G151">
        <f>_xll.RssMarket("2326","単位株数")</f>
        <v>100</v>
      </c>
      <c r="H151">
        <f>_xll.RssMarket("2326","配当")</f>
        <v>95</v>
      </c>
      <c r="I151">
        <f>_xll.RssMarket("2326","PER")</f>
        <v>19.72</v>
      </c>
      <c r="J151">
        <f>_xll.RssMarket("2326","PBR")</f>
        <v>3.98</v>
      </c>
      <c r="K151">
        <f>_xll.RssMarket("2326","信用売残")</f>
        <v>28900</v>
      </c>
      <c r="L151">
        <f>_xll.RssMarket("2326","信用売残前週比")</f>
        <v>14200</v>
      </c>
      <c r="M151">
        <f>_xll.RssMarket("2326","信用買残")</f>
        <v>181600</v>
      </c>
      <c r="N151">
        <f>_xll.RssMarket("2326","信用買残前週比")</f>
        <v>300</v>
      </c>
      <c r="O151">
        <f>_xll.RssMarket("2326","信用倍率")</f>
        <v>6.28</v>
      </c>
      <c r="P151" t="str">
        <f>_xll.RssMarket("2326","配当落日")</f>
        <v>2026/03/30</v>
      </c>
      <c r="Q151" t="str">
        <f>_xll.RssMarket("2326","中配落日")</f>
        <v>2026/09/29</v>
      </c>
      <c r="R151" t="str">
        <f>_xll.RssMarket("2326","権利落日")</f>
        <v/>
      </c>
      <c r="S151" t="str">
        <f>_xll.RssMarket("2326","決算発表日")</f>
        <v>-</v>
      </c>
      <c r="T151">
        <f>_xll.RssMarket("2326","年初来高値")</f>
        <v>8280</v>
      </c>
      <c r="U151">
        <f>_xll.RssMarket("2326","年初来安値")</f>
        <v>4880</v>
      </c>
      <c r="V151">
        <f>_xll.RssMarket("2326","上場来高値")</f>
        <v>82200</v>
      </c>
      <c r="W151">
        <f>_xll.RssMarket("2326","上場来安値")</f>
        <v>673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崇 玉澤</cp:lastModifiedBy>
  <dcterms:created xsi:type="dcterms:W3CDTF">2026-03-01T09:10:50Z</dcterms:created>
  <dcterms:modified xsi:type="dcterms:W3CDTF">2026-03-05T05:38:19Z</dcterms:modified>
</cp:coreProperties>
</file>